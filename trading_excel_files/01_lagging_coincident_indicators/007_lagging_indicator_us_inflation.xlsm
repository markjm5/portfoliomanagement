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652A35C2-181A-4B6A-B1D6-E2144EA5D8A3}" xr6:coauthVersionLast="47" xr6:coauthVersionMax="47" xr10:uidLastSave="{00000000-0000-0000-0000-000000000000}"/>
  <bookViews>
    <workbookView xWindow="-20700" yWindow="-20490" windowWidth="40185" windowHeight="18525" activeTab="7"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E676" i="7"/>
  <c r="D676" i="7"/>
  <c r="B676" i="7"/>
  <c r="C676" i="7" s="1"/>
  <c r="E675" i="7"/>
  <c r="D675" i="7"/>
  <c r="B675" i="7"/>
  <c r="C675" i="7" s="1"/>
  <c r="E674" i="7"/>
  <c r="D674" i="7"/>
  <c r="B674" i="7"/>
  <c r="C674" i="7" s="1"/>
  <c r="E673" i="7"/>
  <c r="B673" i="7"/>
  <c r="C673" i="7" s="1"/>
  <c r="E672" i="7"/>
  <c r="D672" i="7"/>
  <c r="B672" i="7"/>
  <c r="E671" i="7"/>
  <c r="B671" i="7"/>
  <c r="E670" i="7"/>
  <c r="B670" i="7"/>
  <c r="C670" i="7" s="1"/>
  <c r="E669" i="7"/>
  <c r="D669" i="7"/>
  <c r="B669" i="7"/>
  <c r="E668" i="7"/>
  <c r="D668" i="7"/>
  <c r="C668" i="7"/>
  <c r="B668" i="7"/>
  <c r="E667" i="7"/>
  <c r="D667" i="7"/>
  <c r="B667" i="7"/>
  <c r="C667" i="7" s="1"/>
  <c r="E666" i="7"/>
  <c r="D666" i="7"/>
  <c r="B666" i="7"/>
  <c r="E665" i="7"/>
  <c r="C665" i="7"/>
  <c r="B665" i="7"/>
  <c r="D665" i="7" s="1"/>
  <c r="E664" i="7"/>
  <c r="D664" i="7"/>
  <c r="B664" i="7"/>
  <c r="C664" i="7" s="1"/>
  <c r="E663" i="7"/>
  <c r="D663" i="7"/>
  <c r="B663" i="7"/>
  <c r="E662" i="7"/>
  <c r="B662" i="7"/>
  <c r="E661" i="7"/>
  <c r="B661" i="7"/>
  <c r="E660" i="7"/>
  <c r="D660" i="7"/>
  <c r="B660" i="7"/>
  <c r="C660" i="7" s="1"/>
  <c r="E659" i="7"/>
  <c r="D659" i="7"/>
  <c r="B659" i="7"/>
  <c r="E658" i="7"/>
  <c r="B658" i="7"/>
  <c r="E657" i="7"/>
  <c r="B657" i="7"/>
  <c r="C657" i="7" s="1"/>
  <c r="E656" i="7"/>
  <c r="C656" i="7"/>
  <c r="B656" i="7"/>
  <c r="D656" i="7" s="1"/>
  <c r="E655" i="7"/>
  <c r="D655" i="7"/>
  <c r="B655" i="7"/>
  <c r="C655" i="7" s="1"/>
  <c r="E654" i="7"/>
  <c r="B654" i="7"/>
  <c r="C654" i="7" s="1"/>
  <c r="E653" i="7"/>
  <c r="D653" i="7"/>
  <c r="C653" i="7"/>
  <c r="B653" i="7"/>
  <c r="E652" i="7"/>
  <c r="D652" i="7"/>
  <c r="B652" i="7"/>
  <c r="C652" i="7" s="1"/>
  <c r="E651" i="7"/>
  <c r="B651" i="7"/>
  <c r="E650" i="7"/>
  <c r="B650" i="7"/>
  <c r="D650" i="7" s="1"/>
  <c r="E649" i="7"/>
  <c r="D649" i="7"/>
  <c r="B649" i="7"/>
  <c r="E648" i="7"/>
  <c r="B648" i="7"/>
  <c r="C648" i="7" s="1"/>
  <c r="E647" i="7"/>
  <c r="D647" i="7"/>
  <c r="B647" i="7"/>
  <c r="E646" i="7"/>
  <c r="B646" i="7"/>
  <c r="E645" i="7"/>
  <c r="B645" i="7"/>
  <c r="D657" i="7" s="1"/>
  <c r="E644" i="7"/>
  <c r="C644" i="7"/>
  <c r="B644" i="7"/>
  <c r="D644" i="7" s="1"/>
  <c r="E643" i="7"/>
  <c r="D643" i="7"/>
  <c r="B643" i="7"/>
  <c r="C643" i="7" s="1"/>
  <c r="E642" i="7"/>
  <c r="B642" i="7"/>
  <c r="D654" i="7" s="1"/>
  <c r="E641" i="7"/>
  <c r="C641" i="7"/>
  <c r="B641" i="7"/>
  <c r="E640" i="7"/>
  <c r="D640" i="7"/>
  <c r="B640" i="7"/>
  <c r="C640" i="7" s="1"/>
  <c r="E639" i="7"/>
  <c r="B639" i="7"/>
  <c r="D651" i="7" s="1"/>
  <c r="E638" i="7"/>
  <c r="B638" i="7"/>
  <c r="E637" i="7"/>
  <c r="B637" i="7"/>
  <c r="E636" i="7"/>
  <c r="B636" i="7"/>
  <c r="D648" i="7" s="1"/>
  <c r="E635" i="7"/>
  <c r="D635" i="7"/>
  <c r="B635" i="7"/>
  <c r="E634" i="7"/>
  <c r="B634" i="7"/>
  <c r="E633" i="7"/>
  <c r="B633" i="7"/>
  <c r="D645" i="7" s="1"/>
  <c r="E632" i="7"/>
  <c r="C632" i="7"/>
  <c r="B632" i="7"/>
  <c r="E631" i="7"/>
  <c r="D631" i="7"/>
  <c r="B631" i="7"/>
  <c r="C631" i="7" s="1"/>
  <c r="E630" i="7"/>
  <c r="B630" i="7"/>
  <c r="E629" i="7"/>
  <c r="B629" i="7"/>
  <c r="E628" i="7"/>
  <c r="D628" i="7"/>
  <c r="B628" i="7"/>
  <c r="C628" i="7" s="1"/>
  <c r="E627" i="7"/>
  <c r="B627" i="7"/>
  <c r="E626" i="7"/>
  <c r="C626" i="7"/>
  <c r="B626" i="7"/>
  <c r="E625" i="7"/>
  <c r="B625" i="7"/>
  <c r="E624" i="7"/>
  <c r="B624" i="7"/>
  <c r="E623" i="7"/>
  <c r="D623" i="7"/>
  <c r="B623" i="7"/>
  <c r="E622" i="7"/>
  <c r="B622" i="7"/>
  <c r="E621" i="7"/>
  <c r="B621" i="7"/>
  <c r="E620" i="7"/>
  <c r="B620" i="7"/>
  <c r="E619" i="7"/>
  <c r="D619" i="7"/>
  <c r="B619" i="7"/>
  <c r="E618" i="7"/>
  <c r="B618" i="7"/>
  <c r="E617" i="7"/>
  <c r="C617" i="7"/>
  <c r="B617" i="7"/>
  <c r="D617" i="7" s="1"/>
  <c r="E616" i="7"/>
  <c r="B616" i="7"/>
  <c r="E615" i="7"/>
  <c r="B615" i="7"/>
  <c r="E614" i="7"/>
  <c r="C614" i="7"/>
  <c r="B614" i="7"/>
  <c r="E613" i="7"/>
  <c r="D613" i="7"/>
  <c r="B613" i="7"/>
  <c r="E612" i="7"/>
  <c r="B612" i="7"/>
  <c r="E611" i="7"/>
  <c r="D611" i="7"/>
  <c r="B611" i="7"/>
  <c r="E610" i="7"/>
  <c r="B610" i="7"/>
  <c r="E609" i="7"/>
  <c r="B609" i="7"/>
  <c r="E608" i="7"/>
  <c r="B608" i="7"/>
  <c r="D608" i="7" s="1"/>
  <c r="E607" i="7"/>
  <c r="D607" i="7"/>
  <c r="B607" i="7"/>
  <c r="E606" i="7"/>
  <c r="B606" i="7"/>
  <c r="E605" i="7"/>
  <c r="C605" i="7"/>
  <c r="B605" i="7"/>
  <c r="E604" i="7"/>
  <c r="B604" i="7"/>
  <c r="C604" i="7" s="1"/>
  <c r="E603" i="7"/>
  <c r="B603" i="7"/>
  <c r="E602" i="7"/>
  <c r="B602" i="7"/>
  <c r="E601" i="7"/>
  <c r="D601" i="7"/>
  <c r="B601" i="7"/>
  <c r="E600" i="7"/>
  <c r="B600" i="7"/>
  <c r="E599" i="7"/>
  <c r="D599" i="7"/>
  <c r="B599" i="7"/>
  <c r="E598" i="7"/>
  <c r="B598" i="7"/>
  <c r="E597" i="7"/>
  <c r="B597" i="7"/>
  <c r="E596" i="7"/>
  <c r="B596" i="7"/>
  <c r="C596" i="7" s="1"/>
  <c r="E595" i="7"/>
  <c r="D595" i="7"/>
  <c r="B595" i="7"/>
  <c r="E594" i="7"/>
  <c r="B594" i="7"/>
  <c r="E593" i="7"/>
  <c r="B593" i="7"/>
  <c r="E592" i="7"/>
  <c r="B592" i="7"/>
  <c r="E591" i="7"/>
  <c r="B591" i="7"/>
  <c r="E590" i="7"/>
  <c r="B590" i="7"/>
  <c r="E589" i="7"/>
  <c r="D589" i="7"/>
  <c r="B589" i="7"/>
  <c r="E588" i="7"/>
  <c r="B588" i="7"/>
  <c r="E587" i="7"/>
  <c r="B587" i="7"/>
  <c r="E586" i="7"/>
  <c r="D586" i="7"/>
  <c r="B586" i="7"/>
  <c r="E585" i="7"/>
  <c r="B585" i="7"/>
  <c r="E584" i="7"/>
  <c r="B584" i="7"/>
  <c r="E583" i="7"/>
  <c r="B583" i="7"/>
  <c r="E582" i="7"/>
  <c r="B582" i="7"/>
  <c r="E581" i="7"/>
  <c r="B581" i="7"/>
  <c r="E580" i="7"/>
  <c r="D580" i="7"/>
  <c r="B580" i="7"/>
  <c r="C580" i="7" s="1"/>
  <c r="E579" i="7"/>
  <c r="B579" i="7"/>
  <c r="E578" i="7"/>
  <c r="B578" i="7"/>
  <c r="E577" i="7"/>
  <c r="B577" i="7"/>
  <c r="E576" i="7"/>
  <c r="D576" i="7"/>
  <c r="B576" i="7"/>
  <c r="E575" i="7"/>
  <c r="B575" i="7"/>
  <c r="E574" i="7"/>
  <c r="C574" i="7"/>
  <c r="B574" i="7"/>
  <c r="E573" i="7"/>
  <c r="B573" i="7"/>
  <c r="C573" i="7" s="1"/>
  <c r="E572" i="7"/>
  <c r="D572" i="7"/>
  <c r="B572" i="7"/>
  <c r="E571" i="7"/>
  <c r="D571" i="7"/>
  <c r="C571" i="7"/>
  <c r="B571" i="7"/>
  <c r="E570" i="7"/>
  <c r="D570" i="7"/>
  <c r="B570" i="7"/>
  <c r="C570" i="7" s="1"/>
  <c r="E569" i="7"/>
  <c r="D569" i="7"/>
  <c r="C569" i="7"/>
  <c r="B569" i="7"/>
  <c r="E568" i="7"/>
  <c r="D568" i="7"/>
  <c r="B568" i="7"/>
  <c r="E567" i="7"/>
  <c r="B567" i="7"/>
  <c r="E566" i="7"/>
  <c r="B566" i="7"/>
  <c r="D566" i="7" s="1"/>
  <c r="E565" i="7"/>
  <c r="C565" i="7"/>
  <c r="B565" i="7"/>
  <c r="E564" i="7"/>
  <c r="D564" i="7"/>
  <c r="B564" i="7"/>
  <c r="C564" i="7" s="1"/>
  <c r="E563" i="7"/>
  <c r="B563" i="7"/>
  <c r="E562" i="7"/>
  <c r="B562" i="7"/>
  <c r="E561" i="7"/>
  <c r="B561" i="7"/>
  <c r="E560" i="7"/>
  <c r="C560" i="7"/>
  <c r="B560" i="7"/>
  <c r="E559" i="7"/>
  <c r="B559" i="7"/>
  <c r="E558" i="7"/>
  <c r="B558" i="7"/>
  <c r="E557" i="7"/>
  <c r="C557" i="7"/>
  <c r="B557" i="7"/>
  <c r="D557" i="7" s="1"/>
  <c r="E556" i="7"/>
  <c r="B556" i="7"/>
  <c r="E555" i="7"/>
  <c r="B555" i="7"/>
  <c r="E554" i="7"/>
  <c r="B554" i="7"/>
  <c r="C554" i="7" s="1"/>
  <c r="E553" i="7"/>
  <c r="D553" i="7"/>
  <c r="C553" i="7"/>
  <c r="B553" i="7"/>
  <c r="E552" i="7"/>
  <c r="B552" i="7"/>
  <c r="E551" i="7"/>
  <c r="C551" i="7"/>
  <c r="B551" i="7"/>
  <c r="E550" i="7"/>
  <c r="C550" i="7"/>
  <c r="B550" i="7"/>
  <c r="D550" i="7" s="1"/>
  <c r="E549" i="7"/>
  <c r="B549" i="7"/>
  <c r="E548" i="7"/>
  <c r="C548" i="7"/>
  <c r="B548" i="7"/>
  <c r="D548" i="7" s="1"/>
  <c r="E547" i="7"/>
  <c r="D547" i="7"/>
  <c r="C547" i="7"/>
  <c r="B547" i="7"/>
  <c r="D559" i="7" s="1"/>
  <c r="E546" i="7"/>
  <c r="D546" i="7"/>
  <c r="B546" i="7"/>
  <c r="C546" i="7" s="1"/>
  <c r="E545" i="7"/>
  <c r="B545" i="7"/>
  <c r="E544" i="7"/>
  <c r="D544" i="7"/>
  <c r="B544" i="7"/>
  <c r="D556" i="7" s="1"/>
  <c r="E543" i="7"/>
  <c r="D543" i="7"/>
  <c r="B543" i="7"/>
  <c r="C543" i="7" s="1"/>
  <c r="E542" i="7"/>
  <c r="C542" i="7"/>
  <c r="B542" i="7"/>
  <c r="E541" i="7"/>
  <c r="B541" i="7"/>
  <c r="E540" i="7"/>
  <c r="D540" i="7"/>
  <c r="B540" i="7"/>
  <c r="E539" i="7"/>
  <c r="B539" i="7"/>
  <c r="E538" i="7"/>
  <c r="B538" i="7"/>
  <c r="C538" i="7" s="1"/>
  <c r="E537" i="7"/>
  <c r="B537" i="7"/>
  <c r="E536" i="7"/>
  <c r="C536" i="7"/>
  <c r="B536" i="7"/>
  <c r="E535" i="7"/>
  <c r="D535" i="7"/>
  <c r="C535" i="7"/>
  <c r="B535" i="7"/>
  <c r="E534" i="7"/>
  <c r="B534" i="7"/>
  <c r="E533" i="7"/>
  <c r="C533" i="7"/>
  <c r="B533" i="7"/>
  <c r="E532" i="7"/>
  <c r="C532" i="7"/>
  <c r="B532" i="7"/>
  <c r="D532" i="7" s="1"/>
  <c r="E531" i="7"/>
  <c r="D531" i="7"/>
  <c r="B531" i="7"/>
  <c r="E530" i="7"/>
  <c r="D530" i="7"/>
  <c r="C530" i="7"/>
  <c r="B530" i="7"/>
  <c r="E529" i="7"/>
  <c r="C529" i="7"/>
  <c r="B529" i="7"/>
  <c r="D529" i="7" s="1"/>
  <c r="E528" i="7"/>
  <c r="B528" i="7"/>
  <c r="E527" i="7"/>
  <c r="B527" i="7"/>
  <c r="E526" i="7"/>
  <c r="B526" i="7"/>
  <c r="C526" i="7" s="1"/>
  <c r="E525" i="7"/>
  <c r="B525" i="7"/>
  <c r="E524" i="7"/>
  <c r="B524" i="7"/>
  <c r="E523" i="7"/>
  <c r="B523" i="7"/>
  <c r="E522" i="7"/>
  <c r="D522" i="7"/>
  <c r="B522" i="7"/>
  <c r="E521" i="7"/>
  <c r="D521" i="7"/>
  <c r="B521" i="7"/>
  <c r="E520" i="7"/>
  <c r="D520" i="7"/>
  <c r="B520" i="7"/>
  <c r="E519" i="7"/>
  <c r="B519" i="7"/>
  <c r="E518" i="7"/>
  <c r="D518" i="7"/>
  <c r="C518" i="7"/>
  <c r="B518" i="7"/>
  <c r="E517" i="7"/>
  <c r="D517" i="7"/>
  <c r="C517" i="7"/>
  <c r="B517" i="7"/>
  <c r="E516" i="7"/>
  <c r="B516" i="7"/>
  <c r="E515" i="7"/>
  <c r="B515" i="7"/>
  <c r="E514" i="7"/>
  <c r="B514" i="7"/>
  <c r="E513" i="7"/>
  <c r="B513" i="7"/>
  <c r="E512" i="7"/>
  <c r="B512" i="7"/>
  <c r="E511" i="7"/>
  <c r="D511" i="7"/>
  <c r="B511" i="7"/>
  <c r="E510" i="7"/>
  <c r="D510" i="7"/>
  <c r="B510" i="7"/>
  <c r="C510" i="7" s="1"/>
  <c r="E509" i="7"/>
  <c r="B509" i="7"/>
  <c r="E508" i="7"/>
  <c r="B508" i="7"/>
  <c r="E507" i="7"/>
  <c r="D507" i="7"/>
  <c r="B507" i="7"/>
  <c r="E506" i="7"/>
  <c r="C506" i="7"/>
  <c r="B506" i="7"/>
  <c r="E505" i="7"/>
  <c r="C505" i="7"/>
  <c r="B505" i="7"/>
  <c r="D505" i="7" s="1"/>
  <c r="E504" i="7"/>
  <c r="B504" i="7"/>
  <c r="E503" i="7"/>
  <c r="B503" i="7"/>
  <c r="C503" i="7" s="1"/>
  <c r="E502" i="7"/>
  <c r="B502" i="7"/>
  <c r="E501" i="7"/>
  <c r="B501" i="7"/>
  <c r="E500" i="7"/>
  <c r="D500" i="7"/>
  <c r="C500" i="7"/>
  <c r="B500" i="7"/>
  <c r="E499" i="7"/>
  <c r="D499" i="7"/>
  <c r="C499" i="7"/>
  <c r="B499" i="7"/>
  <c r="E498" i="7"/>
  <c r="D498" i="7"/>
  <c r="B498" i="7"/>
  <c r="E497" i="7"/>
  <c r="B497" i="7"/>
  <c r="E496" i="7"/>
  <c r="C496" i="7"/>
  <c r="B496" i="7"/>
  <c r="D508" i="7" s="1"/>
  <c r="E495" i="7"/>
  <c r="B495" i="7"/>
  <c r="E494" i="7"/>
  <c r="B494" i="7"/>
  <c r="E493" i="7"/>
  <c r="B493" i="7"/>
  <c r="D493" i="7" s="1"/>
  <c r="E492" i="7"/>
  <c r="B492" i="7"/>
  <c r="C492" i="7" s="1"/>
  <c r="E491" i="7"/>
  <c r="B491" i="7"/>
  <c r="E490" i="7"/>
  <c r="D490" i="7"/>
  <c r="B490" i="7"/>
  <c r="C490" i="7" s="1"/>
  <c r="E489" i="7"/>
  <c r="D489" i="7"/>
  <c r="B489" i="7"/>
  <c r="C489" i="7" s="1"/>
  <c r="E488" i="7"/>
  <c r="D488" i="7"/>
  <c r="C488" i="7"/>
  <c r="B488" i="7"/>
  <c r="E487" i="7"/>
  <c r="D487" i="7"/>
  <c r="B487" i="7"/>
  <c r="E486" i="7"/>
  <c r="D486" i="7"/>
  <c r="B486" i="7"/>
  <c r="E485" i="7"/>
  <c r="B485" i="7"/>
  <c r="E484" i="7"/>
  <c r="B484" i="7"/>
  <c r="E483" i="7"/>
  <c r="D483" i="7"/>
  <c r="B483" i="7"/>
  <c r="E482" i="7"/>
  <c r="B482" i="7"/>
  <c r="E481" i="7"/>
  <c r="B481" i="7"/>
  <c r="E480" i="7"/>
  <c r="B480" i="7"/>
  <c r="E479" i="7"/>
  <c r="D479" i="7"/>
  <c r="B479" i="7"/>
  <c r="C479" i="7" s="1"/>
  <c r="E478" i="7"/>
  <c r="C478" i="7"/>
  <c r="B478" i="7"/>
  <c r="E477" i="7"/>
  <c r="B477" i="7"/>
  <c r="E476" i="7"/>
  <c r="B476" i="7"/>
  <c r="E475" i="7"/>
  <c r="D475" i="7"/>
  <c r="C475" i="7"/>
  <c r="B475" i="7"/>
  <c r="E474" i="7"/>
  <c r="B474" i="7"/>
  <c r="E473" i="7"/>
  <c r="B473" i="7"/>
  <c r="D473" i="7" s="1"/>
  <c r="E472" i="7"/>
  <c r="D472" i="7"/>
  <c r="C472" i="7"/>
  <c r="B472" i="7"/>
  <c r="D484" i="7" s="1"/>
  <c r="E471" i="7"/>
  <c r="B471" i="7"/>
  <c r="E470" i="7"/>
  <c r="B470" i="7"/>
  <c r="E469" i="7"/>
  <c r="B469" i="7"/>
  <c r="D481" i="7" s="1"/>
  <c r="E468" i="7"/>
  <c r="B468" i="7"/>
  <c r="C468" i="7" s="1"/>
  <c r="E467" i="7"/>
  <c r="B467" i="7"/>
  <c r="E466" i="7"/>
  <c r="B466" i="7"/>
  <c r="E465" i="7"/>
  <c r="D465" i="7"/>
  <c r="B465" i="7"/>
  <c r="E464" i="7"/>
  <c r="C464" i="7"/>
  <c r="B464" i="7"/>
  <c r="E463" i="7"/>
  <c r="B463" i="7"/>
  <c r="E462" i="7"/>
  <c r="B462" i="7"/>
  <c r="E461" i="7"/>
  <c r="B461" i="7"/>
  <c r="D461" i="7" s="1"/>
  <c r="E460" i="7"/>
  <c r="D460" i="7"/>
  <c r="B460" i="7"/>
  <c r="E459" i="7"/>
  <c r="B459" i="7"/>
  <c r="E458" i="7"/>
  <c r="D458" i="7"/>
  <c r="B458" i="7"/>
  <c r="C458" i="7" s="1"/>
  <c r="E457" i="7"/>
  <c r="B457" i="7"/>
  <c r="D457" i="7" s="1"/>
  <c r="E456" i="7"/>
  <c r="B456" i="7"/>
  <c r="E455" i="7"/>
  <c r="C455" i="7"/>
  <c r="B455" i="7"/>
  <c r="E454" i="7"/>
  <c r="B454" i="7"/>
  <c r="C454" i="7" s="1"/>
  <c r="E453" i="7"/>
  <c r="D453" i="7"/>
  <c r="B453" i="7"/>
  <c r="E452" i="7"/>
  <c r="B452" i="7"/>
  <c r="E451" i="7"/>
  <c r="D451" i="7"/>
  <c r="C451" i="7"/>
  <c r="B451" i="7"/>
  <c r="E450" i="7"/>
  <c r="D450" i="7"/>
  <c r="B450" i="7"/>
  <c r="C450" i="7" s="1"/>
  <c r="E449" i="7"/>
  <c r="B449" i="7"/>
  <c r="E448" i="7"/>
  <c r="B448" i="7"/>
  <c r="E447" i="7"/>
  <c r="D447" i="7"/>
  <c r="B447" i="7"/>
  <c r="E446" i="7"/>
  <c r="C446" i="7"/>
  <c r="B446" i="7"/>
  <c r="E445" i="7"/>
  <c r="D445" i="7"/>
  <c r="C445" i="7"/>
  <c r="B445" i="7"/>
  <c r="E444" i="7"/>
  <c r="B444" i="7"/>
  <c r="E443" i="7"/>
  <c r="D443" i="7"/>
  <c r="B443" i="7"/>
  <c r="E442" i="7"/>
  <c r="B442" i="7"/>
  <c r="D454" i="7" s="1"/>
  <c r="E441" i="7"/>
  <c r="D441" i="7"/>
  <c r="B441" i="7"/>
  <c r="E440" i="7"/>
  <c r="B440" i="7"/>
  <c r="E439" i="7"/>
  <c r="D439" i="7"/>
  <c r="B439" i="7"/>
  <c r="E438" i="7"/>
  <c r="D438" i="7"/>
  <c r="B438" i="7"/>
  <c r="E437" i="7"/>
  <c r="D437" i="7"/>
  <c r="B437" i="7"/>
  <c r="E436" i="7"/>
  <c r="B436" i="7"/>
  <c r="E435" i="7"/>
  <c r="B435" i="7"/>
  <c r="E434" i="7"/>
  <c r="C434" i="7"/>
  <c r="B434" i="7"/>
  <c r="D434" i="7" s="1"/>
  <c r="E433" i="7"/>
  <c r="D433" i="7"/>
  <c r="C433" i="7"/>
  <c r="B433" i="7"/>
  <c r="E432" i="7"/>
  <c r="B432" i="7"/>
  <c r="E431" i="7"/>
  <c r="B431" i="7"/>
  <c r="E430" i="7"/>
  <c r="D430" i="7"/>
  <c r="C430" i="7"/>
  <c r="B430" i="7"/>
  <c r="E429" i="7"/>
  <c r="B429" i="7"/>
  <c r="E428" i="7"/>
  <c r="B428" i="7"/>
  <c r="E427" i="7"/>
  <c r="C427" i="7"/>
  <c r="B427" i="7"/>
  <c r="E426" i="7"/>
  <c r="D426" i="7"/>
  <c r="B426" i="7"/>
  <c r="E425" i="7"/>
  <c r="B425" i="7"/>
  <c r="E424" i="7"/>
  <c r="D424" i="7"/>
  <c r="B424" i="7"/>
  <c r="C425" i="7" s="1"/>
  <c r="E423" i="7"/>
  <c r="D423" i="7"/>
  <c r="B423" i="7"/>
  <c r="E422" i="7"/>
  <c r="D422" i="7"/>
  <c r="C422" i="7"/>
  <c r="B422" i="7"/>
  <c r="E421" i="7"/>
  <c r="B421" i="7"/>
  <c r="E420" i="7"/>
  <c r="B420" i="7"/>
  <c r="E419" i="7"/>
  <c r="D419" i="7"/>
  <c r="B419" i="7"/>
  <c r="C419" i="7" s="1"/>
  <c r="E418" i="7"/>
  <c r="B418" i="7"/>
  <c r="E417" i="7"/>
  <c r="B417" i="7"/>
  <c r="E416" i="7"/>
  <c r="C416" i="7"/>
  <c r="B416" i="7"/>
  <c r="E415" i="7"/>
  <c r="C415" i="7"/>
  <c r="B415" i="7"/>
  <c r="E414" i="7"/>
  <c r="B414" i="7"/>
  <c r="E413" i="7"/>
  <c r="B413" i="7"/>
  <c r="D425" i="7" s="1"/>
  <c r="E412" i="7"/>
  <c r="B412" i="7"/>
  <c r="E411" i="7"/>
  <c r="D411" i="7"/>
  <c r="B411" i="7"/>
  <c r="C411" i="7" s="1"/>
  <c r="E410" i="7"/>
  <c r="C410" i="7"/>
  <c r="B410" i="7"/>
  <c r="E409" i="7"/>
  <c r="B409" i="7"/>
  <c r="E408" i="7"/>
  <c r="B408" i="7"/>
  <c r="E407" i="7"/>
  <c r="D407" i="7"/>
  <c r="C407" i="7"/>
  <c r="B407" i="7"/>
  <c r="E406" i="7"/>
  <c r="B406" i="7"/>
  <c r="E405" i="7"/>
  <c r="B405" i="7"/>
  <c r="E404" i="7"/>
  <c r="D404" i="7"/>
  <c r="B404" i="7"/>
  <c r="E403" i="7"/>
  <c r="B403" i="7"/>
  <c r="E402" i="7"/>
  <c r="B402" i="7"/>
  <c r="E401" i="7"/>
  <c r="B401" i="7"/>
  <c r="D401" i="7" s="1"/>
  <c r="E400" i="7"/>
  <c r="C400" i="7"/>
  <c r="B400" i="7"/>
  <c r="E399" i="7"/>
  <c r="D399" i="7"/>
  <c r="B399" i="7"/>
  <c r="E398" i="7"/>
  <c r="D398" i="7"/>
  <c r="C398" i="7"/>
  <c r="B398" i="7"/>
  <c r="E397" i="7"/>
  <c r="C397" i="7"/>
  <c r="B397" i="7"/>
  <c r="E396" i="7"/>
  <c r="B396" i="7"/>
  <c r="E395" i="7"/>
  <c r="D395" i="7"/>
  <c r="C395" i="7"/>
  <c r="B395" i="7"/>
  <c r="E394" i="7"/>
  <c r="B394" i="7"/>
  <c r="E393" i="7"/>
  <c r="B393" i="7"/>
  <c r="E392" i="7"/>
  <c r="C392" i="7"/>
  <c r="B392" i="7"/>
  <c r="D392" i="7" s="1"/>
  <c r="E391" i="7"/>
  <c r="D391" i="7"/>
  <c r="C391" i="7"/>
  <c r="B391" i="7"/>
  <c r="E390" i="7"/>
  <c r="D390" i="7"/>
  <c r="B390" i="7"/>
  <c r="E389" i="7"/>
  <c r="B389" i="7"/>
  <c r="E388" i="7"/>
  <c r="C388" i="7"/>
  <c r="B388" i="7"/>
  <c r="D388" i="7" s="1"/>
  <c r="E387" i="7"/>
  <c r="D387" i="7"/>
  <c r="B387" i="7"/>
  <c r="C387" i="7" s="1"/>
  <c r="E386" i="7"/>
  <c r="B386" i="7"/>
  <c r="E385" i="7"/>
  <c r="D385" i="7"/>
  <c r="B385" i="7"/>
  <c r="E384" i="7"/>
  <c r="B384" i="7"/>
  <c r="C384" i="7" s="1"/>
  <c r="E383" i="7"/>
  <c r="D383" i="7"/>
  <c r="B383" i="7"/>
  <c r="E382" i="7"/>
  <c r="B382" i="7"/>
  <c r="E381" i="7"/>
  <c r="B381" i="7"/>
  <c r="C381" i="7" s="1"/>
  <c r="E380" i="7"/>
  <c r="D380" i="7"/>
  <c r="C380" i="7"/>
  <c r="B380" i="7"/>
  <c r="E379" i="7"/>
  <c r="C379" i="7"/>
  <c r="B379" i="7"/>
  <c r="D379" i="7" s="1"/>
  <c r="E378" i="7"/>
  <c r="D378" i="7"/>
  <c r="B378" i="7"/>
  <c r="E377" i="7"/>
  <c r="B377" i="7"/>
  <c r="D377" i="7" s="1"/>
  <c r="E376" i="7"/>
  <c r="B376" i="7"/>
  <c r="E375" i="7"/>
  <c r="D375" i="7"/>
  <c r="B375" i="7"/>
  <c r="E374" i="7"/>
  <c r="B374" i="7"/>
  <c r="E373" i="7"/>
  <c r="B373" i="7"/>
  <c r="E372" i="7"/>
  <c r="B372" i="7"/>
  <c r="E371" i="7"/>
  <c r="B371" i="7"/>
  <c r="E370" i="7"/>
  <c r="C370" i="7"/>
  <c r="B370" i="7"/>
  <c r="E369" i="7"/>
  <c r="B369" i="7"/>
  <c r="D381" i="7" s="1"/>
  <c r="E368" i="7"/>
  <c r="D368" i="7"/>
  <c r="C368" i="7"/>
  <c r="B368" i="7"/>
  <c r="E367" i="7"/>
  <c r="C367" i="7"/>
  <c r="B367" i="7"/>
  <c r="E366" i="7"/>
  <c r="B366" i="7"/>
  <c r="E365" i="7"/>
  <c r="D365" i="7"/>
  <c r="B365" i="7"/>
  <c r="C365" i="7" s="1"/>
  <c r="E364" i="7"/>
  <c r="D364" i="7"/>
  <c r="C364" i="7"/>
  <c r="B364" i="7"/>
  <c r="D376" i="7" s="1"/>
  <c r="E363" i="7"/>
  <c r="B363" i="7"/>
  <c r="E362" i="7"/>
  <c r="C362" i="7"/>
  <c r="B362" i="7"/>
  <c r="D362" i="7" s="1"/>
  <c r="E361" i="7"/>
  <c r="B361" i="7"/>
  <c r="E360" i="7"/>
  <c r="B360" i="7"/>
  <c r="E359" i="7"/>
  <c r="B359" i="7"/>
  <c r="E358" i="7"/>
  <c r="C358" i="7"/>
  <c r="B358" i="7"/>
  <c r="E357" i="7"/>
  <c r="B357" i="7"/>
  <c r="C357" i="7" s="1"/>
  <c r="E356" i="7"/>
  <c r="B356" i="7"/>
  <c r="E355" i="7"/>
  <c r="B355" i="7"/>
  <c r="E354" i="7"/>
  <c r="B354" i="7"/>
  <c r="C354" i="7" s="1"/>
  <c r="E353" i="7"/>
  <c r="D353" i="7"/>
  <c r="B353" i="7"/>
  <c r="E352" i="7"/>
  <c r="B352" i="7"/>
  <c r="E351" i="7"/>
  <c r="B351" i="7"/>
  <c r="E350" i="7"/>
  <c r="D350" i="7"/>
  <c r="C350" i="7"/>
  <c r="B350" i="7"/>
  <c r="E349" i="7"/>
  <c r="D349" i="7"/>
  <c r="C349" i="7"/>
  <c r="B349" i="7"/>
  <c r="E348" i="7"/>
  <c r="B348" i="7"/>
  <c r="E347" i="7"/>
  <c r="B347" i="7"/>
  <c r="C347" i="7" s="1"/>
  <c r="E346" i="7"/>
  <c r="B346" i="7"/>
  <c r="C346" i="7" s="1"/>
  <c r="E345" i="7"/>
  <c r="D345" i="7"/>
  <c r="B345" i="7"/>
  <c r="E344" i="7"/>
  <c r="B344" i="7"/>
  <c r="D344" i="7" s="1"/>
  <c r="E343" i="7"/>
  <c r="C343" i="7"/>
  <c r="B343" i="7"/>
  <c r="D343" i="7" s="1"/>
  <c r="E342" i="7"/>
  <c r="D342" i="7"/>
  <c r="B342" i="7"/>
  <c r="E341" i="7"/>
  <c r="B341" i="7"/>
  <c r="E340" i="7"/>
  <c r="B340" i="7"/>
  <c r="C340" i="7" s="1"/>
  <c r="E339" i="7"/>
  <c r="D339" i="7"/>
  <c r="B339" i="7"/>
  <c r="E338" i="7"/>
  <c r="B338" i="7"/>
  <c r="E337" i="7"/>
  <c r="B337" i="7"/>
  <c r="E336" i="7"/>
  <c r="B336" i="7"/>
  <c r="E335" i="7"/>
  <c r="B335" i="7"/>
  <c r="E334" i="7"/>
  <c r="B334" i="7"/>
  <c r="E333" i="7"/>
  <c r="B333" i="7"/>
  <c r="C333" i="7" s="1"/>
  <c r="E332" i="7"/>
  <c r="D332" i="7"/>
  <c r="B332" i="7"/>
  <c r="E331" i="7"/>
  <c r="C331" i="7"/>
  <c r="B331" i="7"/>
  <c r="E330" i="7"/>
  <c r="B330" i="7"/>
  <c r="E329" i="7"/>
  <c r="B329" i="7"/>
  <c r="E328" i="7"/>
  <c r="B328" i="7"/>
  <c r="E327" i="7"/>
  <c r="B327" i="7"/>
  <c r="E326" i="7"/>
  <c r="D326" i="7"/>
  <c r="C326" i="7"/>
  <c r="B326" i="7"/>
  <c r="E325" i="7"/>
  <c r="B325" i="7"/>
  <c r="E324" i="7"/>
  <c r="D324" i="7"/>
  <c r="B324" i="7"/>
  <c r="E323" i="7"/>
  <c r="B323" i="7"/>
  <c r="E322" i="7"/>
  <c r="D322" i="7"/>
  <c r="B322" i="7"/>
  <c r="E321" i="7"/>
  <c r="B321" i="7"/>
  <c r="E320" i="7"/>
  <c r="B320" i="7"/>
  <c r="E319" i="7"/>
  <c r="B319" i="7"/>
  <c r="E318" i="7"/>
  <c r="B318" i="7"/>
  <c r="E317" i="7"/>
  <c r="B317" i="7"/>
  <c r="E316" i="7"/>
  <c r="C316" i="7"/>
  <c r="B316" i="7"/>
  <c r="E315" i="7"/>
  <c r="B315" i="7"/>
  <c r="C315" i="7" s="1"/>
  <c r="E314" i="7"/>
  <c r="B314" i="7"/>
  <c r="E313" i="7"/>
  <c r="C313" i="7"/>
  <c r="B313" i="7"/>
  <c r="E312" i="7"/>
  <c r="B312" i="7"/>
  <c r="C312" i="7" s="1"/>
  <c r="E311" i="7"/>
  <c r="C311" i="7"/>
  <c r="B311" i="7"/>
  <c r="D311" i="7" s="1"/>
  <c r="E310" i="7"/>
  <c r="B310" i="7"/>
  <c r="D310" i="7" s="1"/>
  <c r="E309" i="7"/>
  <c r="B309" i="7"/>
  <c r="E308" i="7"/>
  <c r="B308" i="7"/>
  <c r="C308" i="7" s="1"/>
  <c r="E307" i="7"/>
  <c r="C307" i="7"/>
  <c r="B307" i="7"/>
  <c r="D307" i="7" s="1"/>
  <c r="E306" i="7"/>
  <c r="B306" i="7"/>
  <c r="E305" i="7"/>
  <c r="B305" i="7"/>
  <c r="D305" i="7" s="1"/>
  <c r="E304" i="7"/>
  <c r="B304" i="7"/>
  <c r="C304" i="7" s="1"/>
  <c r="E303" i="7"/>
  <c r="D303" i="7"/>
  <c r="B303" i="7"/>
  <c r="E302" i="7"/>
  <c r="B302" i="7"/>
  <c r="E301" i="7"/>
  <c r="B301" i="7"/>
  <c r="E300" i="7"/>
  <c r="D300" i="7"/>
  <c r="B300" i="7"/>
  <c r="E299" i="7"/>
  <c r="C299" i="7"/>
  <c r="B299" i="7"/>
  <c r="E298" i="7"/>
  <c r="B298" i="7"/>
  <c r="E297" i="7"/>
  <c r="D297" i="7"/>
  <c r="B297" i="7"/>
  <c r="E296" i="7"/>
  <c r="B296" i="7"/>
  <c r="C296" i="7" s="1"/>
  <c r="E295" i="7"/>
  <c r="B295" i="7"/>
  <c r="E294" i="7"/>
  <c r="B294" i="7"/>
  <c r="E293" i="7"/>
  <c r="B293" i="7"/>
  <c r="E292" i="7"/>
  <c r="D292" i="7"/>
  <c r="C292" i="7"/>
  <c r="B292" i="7"/>
  <c r="E291" i="7"/>
  <c r="B291" i="7"/>
  <c r="E290" i="7"/>
  <c r="D290" i="7"/>
  <c r="B290" i="7"/>
  <c r="E289" i="7"/>
  <c r="B289" i="7"/>
  <c r="E288" i="7"/>
  <c r="B288" i="7"/>
  <c r="E287" i="7"/>
  <c r="D287" i="7"/>
  <c r="C287" i="7"/>
  <c r="B287" i="7"/>
  <c r="E286" i="7"/>
  <c r="B286" i="7"/>
  <c r="E285" i="7"/>
  <c r="B285" i="7"/>
  <c r="C285" i="7" s="1"/>
  <c r="E284" i="7"/>
  <c r="B284" i="7"/>
  <c r="E283" i="7"/>
  <c r="C283" i="7"/>
  <c r="B283" i="7"/>
  <c r="D283" i="7" s="1"/>
  <c r="E282" i="7"/>
  <c r="B282" i="7"/>
  <c r="E281" i="7"/>
  <c r="D281" i="7"/>
  <c r="B281" i="7"/>
  <c r="C281" i="7" s="1"/>
  <c r="E280" i="7"/>
  <c r="B280" i="7"/>
  <c r="D280" i="7" s="1"/>
  <c r="E279" i="7"/>
  <c r="D279" i="7"/>
  <c r="B279" i="7"/>
  <c r="E278" i="7"/>
  <c r="D278" i="7"/>
  <c r="C278" i="7"/>
  <c r="B278" i="7"/>
  <c r="E277" i="7"/>
  <c r="B277" i="7"/>
  <c r="D277" i="7" s="1"/>
  <c r="E276" i="7"/>
  <c r="B276" i="7"/>
  <c r="E275" i="7"/>
  <c r="D275" i="7"/>
  <c r="B275" i="7"/>
  <c r="C275" i="7" s="1"/>
  <c r="E274" i="7"/>
  <c r="B274" i="7"/>
  <c r="C274" i="7" s="1"/>
  <c r="E273" i="7"/>
  <c r="B273" i="7"/>
  <c r="E272" i="7"/>
  <c r="B272" i="7"/>
  <c r="E271" i="7"/>
  <c r="B271" i="7"/>
  <c r="D271" i="7" s="1"/>
  <c r="E270" i="7"/>
  <c r="D270" i="7"/>
  <c r="B270" i="7"/>
  <c r="C270" i="7" s="1"/>
  <c r="E269" i="7"/>
  <c r="B269" i="7"/>
  <c r="D269" i="7" s="1"/>
  <c r="E268" i="7"/>
  <c r="B268" i="7"/>
  <c r="C268" i="7" s="1"/>
  <c r="E267" i="7"/>
  <c r="D267" i="7"/>
  <c r="B267" i="7"/>
  <c r="E266" i="7"/>
  <c r="C266" i="7"/>
  <c r="B266" i="7"/>
  <c r="E265" i="7"/>
  <c r="B265" i="7"/>
  <c r="E264" i="7"/>
  <c r="B264" i="7"/>
  <c r="E263" i="7"/>
  <c r="B263" i="7"/>
  <c r="D263" i="7" s="1"/>
  <c r="E262" i="7"/>
  <c r="B262" i="7"/>
  <c r="E261" i="7"/>
  <c r="B261" i="7"/>
  <c r="E260" i="7"/>
  <c r="C260" i="7"/>
  <c r="B260" i="7"/>
  <c r="E259" i="7"/>
  <c r="D259" i="7"/>
  <c r="C259" i="7"/>
  <c r="B259" i="7"/>
  <c r="E258" i="7"/>
  <c r="B258" i="7"/>
  <c r="E257" i="7"/>
  <c r="B257" i="7"/>
  <c r="E256" i="7"/>
  <c r="D256" i="7"/>
  <c r="C256" i="7"/>
  <c r="B256" i="7"/>
  <c r="C257" i="7" s="1"/>
  <c r="E255" i="7"/>
  <c r="D255" i="7"/>
  <c r="B255" i="7"/>
  <c r="E254" i="7"/>
  <c r="B254" i="7"/>
  <c r="D266" i="7" s="1"/>
  <c r="E253" i="7"/>
  <c r="B253" i="7"/>
  <c r="E252" i="7"/>
  <c r="B252" i="7"/>
  <c r="C252" i="7" s="1"/>
  <c r="E251" i="7"/>
  <c r="B251" i="7"/>
  <c r="E250" i="7"/>
  <c r="B250" i="7"/>
  <c r="E249" i="7"/>
  <c r="B249" i="7"/>
  <c r="E248" i="7"/>
  <c r="C248" i="7"/>
  <c r="B248" i="7"/>
  <c r="D248" i="7" s="1"/>
  <c r="E247" i="7"/>
  <c r="B247" i="7"/>
  <c r="E246" i="7"/>
  <c r="D246" i="7"/>
  <c r="B246" i="7"/>
  <c r="E245" i="7"/>
  <c r="D245" i="7"/>
  <c r="B245" i="7"/>
  <c r="E244" i="7"/>
  <c r="D244" i="7"/>
  <c r="C244" i="7"/>
  <c r="B244" i="7"/>
  <c r="E243" i="7"/>
  <c r="B243" i="7"/>
  <c r="E242" i="7"/>
  <c r="D242" i="7"/>
  <c r="B242" i="7"/>
  <c r="E241" i="7"/>
  <c r="B241" i="7"/>
  <c r="E240" i="7"/>
  <c r="B240" i="7"/>
  <c r="E239" i="7"/>
  <c r="D239" i="7"/>
  <c r="B239" i="7"/>
  <c r="D251" i="7" s="1"/>
  <c r="E238" i="7"/>
  <c r="D238" i="7"/>
  <c r="C238" i="7"/>
  <c r="B238" i="7"/>
  <c r="E237" i="7"/>
  <c r="B237" i="7"/>
  <c r="E236" i="7"/>
  <c r="B236" i="7"/>
  <c r="E235" i="7"/>
  <c r="C235" i="7"/>
  <c r="B235" i="7"/>
  <c r="E234" i="7"/>
  <c r="D234" i="7"/>
  <c r="B234" i="7"/>
  <c r="C234" i="7" s="1"/>
  <c r="E233" i="7"/>
  <c r="B233" i="7"/>
  <c r="E232" i="7"/>
  <c r="B232" i="7"/>
  <c r="C232" i="7" s="1"/>
  <c r="E231" i="7"/>
  <c r="B231" i="7"/>
  <c r="C231" i="7" s="1"/>
  <c r="E230" i="7"/>
  <c r="C230" i="7"/>
  <c r="B230" i="7"/>
  <c r="E229" i="7"/>
  <c r="B229" i="7"/>
  <c r="E228" i="7"/>
  <c r="B228" i="7"/>
  <c r="E227" i="7"/>
  <c r="C227" i="7"/>
  <c r="B227" i="7"/>
  <c r="D227" i="7" s="1"/>
  <c r="E226" i="7"/>
  <c r="B226" i="7"/>
  <c r="E225" i="7"/>
  <c r="B225" i="7"/>
  <c r="E224" i="7"/>
  <c r="C224" i="7"/>
  <c r="B224" i="7"/>
  <c r="E223" i="7"/>
  <c r="D223" i="7"/>
  <c r="B223" i="7"/>
  <c r="C223" i="7" s="1"/>
  <c r="E222" i="7"/>
  <c r="B222" i="7"/>
  <c r="E221" i="7"/>
  <c r="B221" i="7"/>
  <c r="E220" i="7"/>
  <c r="B220" i="7"/>
  <c r="D220" i="7" s="1"/>
  <c r="E219" i="7"/>
  <c r="D219" i="7"/>
  <c r="B219" i="7"/>
  <c r="E218" i="7"/>
  <c r="B218" i="7"/>
  <c r="E217" i="7"/>
  <c r="B217" i="7"/>
  <c r="E216" i="7"/>
  <c r="B216" i="7"/>
  <c r="E215" i="7"/>
  <c r="B215" i="7"/>
  <c r="E214" i="7"/>
  <c r="C214" i="7"/>
  <c r="B214" i="7"/>
  <c r="D214" i="7" s="1"/>
  <c r="E213" i="7"/>
  <c r="B213" i="7"/>
  <c r="E212" i="7"/>
  <c r="B212" i="7"/>
  <c r="D212" i="7" s="1"/>
  <c r="E211" i="7"/>
  <c r="B211" i="7"/>
  <c r="E210" i="7"/>
  <c r="D210" i="7"/>
  <c r="B210" i="7"/>
  <c r="C210" i="7" s="1"/>
  <c r="E209" i="7"/>
  <c r="B209" i="7"/>
  <c r="E208" i="7"/>
  <c r="D208" i="7"/>
  <c r="C208" i="7"/>
  <c r="B208" i="7"/>
  <c r="E207" i="7"/>
  <c r="B207" i="7"/>
  <c r="C207" i="7" s="1"/>
  <c r="E206" i="7"/>
  <c r="D206" i="7"/>
  <c r="C206" i="7"/>
  <c r="B206" i="7"/>
  <c r="E205" i="7"/>
  <c r="B205" i="7"/>
  <c r="E204" i="7"/>
  <c r="B204" i="7"/>
  <c r="E203" i="7"/>
  <c r="B203" i="7"/>
  <c r="D215" i="7" s="1"/>
  <c r="E202" i="7"/>
  <c r="C202" i="7"/>
  <c r="B202" i="7"/>
  <c r="E201" i="7"/>
  <c r="B201" i="7"/>
  <c r="E200" i="7"/>
  <c r="B200" i="7"/>
  <c r="E199" i="7"/>
  <c r="B199" i="7"/>
  <c r="E198" i="7"/>
  <c r="D198" i="7"/>
  <c r="B198" i="7"/>
  <c r="C198" i="7" s="1"/>
  <c r="E197" i="7"/>
  <c r="C197" i="7"/>
  <c r="B197" i="7"/>
  <c r="D197" i="7" s="1"/>
  <c r="E196" i="7"/>
  <c r="B196" i="7"/>
  <c r="E195" i="7"/>
  <c r="D195" i="7"/>
  <c r="B195" i="7"/>
  <c r="C195" i="7" s="1"/>
  <c r="E194" i="7"/>
  <c r="D194" i="7"/>
  <c r="C194" i="7"/>
  <c r="B194" i="7"/>
  <c r="E193" i="7"/>
  <c r="D193" i="7"/>
  <c r="B193" i="7"/>
  <c r="E192" i="7"/>
  <c r="B192" i="7"/>
  <c r="E191" i="7"/>
  <c r="B191" i="7"/>
  <c r="E190" i="7"/>
  <c r="B190" i="7"/>
  <c r="E189" i="7"/>
  <c r="B189" i="7"/>
  <c r="E188" i="7"/>
  <c r="B188" i="7"/>
  <c r="D188" i="7" s="1"/>
  <c r="E187" i="7"/>
  <c r="B187" i="7"/>
  <c r="E186" i="7"/>
  <c r="B186" i="7"/>
  <c r="E185" i="7"/>
  <c r="B185" i="7"/>
  <c r="E184" i="7"/>
  <c r="B184" i="7"/>
  <c r="E183" i="7"/>
  <c r="B183" i="7"/>
  <c r="E182" i="7"/>
  <c r="D182" i="7"/>
  <c r="B182" i="7"/>
  <c r="C182" i="7" s="1"/>
  <c r="E181" i="7"/>
  <c r="B181" i="7"/>
  <c r="D181" i="7" s="1"/>
  <c r="E180" i="7"/>
  <c r="D180" i="7"/>
  <c r="B180" i="7"/>
  <c r="C180" i="7" s="1"/>
  <c r="E179" i="7"/>
  <c r="D179" i="7"/>
  <c r="C179" i="7"/>
  <c r="B179" i="7"/>
  <c r="E178" i="7"/>
  <c r="D178" i="7"/>
  <c r="B178" i="7"/>
  <c r="E177" i="7"/>
  <c r="B177" i="7"/>
  <c r="E176" i="7"/>
  <c r="B176" i="7"/>
  <c r="E175" i="7"/>
  <c r="C175" i="7"/>
  <c r="B175" i="7"/>
  <c r="D175" i="7" s="1"/>
  <c r="E174" i="7"/>
  <c r="D174" i="7"/>
  <c r="B174" i="7"/>
  <c r="E173" i="7"/>
  <c r="B173" i="7"/>
  <c r="E172" i="7"/>
  <c r="B172" i="7"/>
  <c r="E171" i="7"/>
  <c r="B171" i="7"/>
  <c r="E170" i="7"/>
  <c r="B170" i="7"/>
  <c r="E169" i="7"/>
  <c r="D169" i="7"/>
  <c r="B169" i="7"/>
  <c r="E168" i="7"/>
  <c r="B168" i="7"/>
  <c r="E167" i="7"/>
  <c r="B167" i="7"/>
  <c r="D167" i="7" s="1"/>
  <c r="E166" i="7"/>
  <c r="B166" i="7"/>
  <c r="E165" i="7"/>
  <c r="B165" i="7"/>
  <c r="E164" i="7"/>
  <c r="B164" i="7"/>
  <c r="E163" i="7"/>
  <c r="C163" i="7"/>
  <c r="B163" i="7"/>
  <c r="E162" i="7"/>
  <c r="B162" i="7"/>
  <c r="E161" i="7"/>
  <c r="D161" i="7"/>
  <c r="B161" i="7"/>
  <c r="E160" i="7"/>
  <c r="B160" i="7"/>
  <c r="E159" i="7"/>
  <c r="D159" i="7"/>
  <c r="B159" i="7"/>
  <c r="E158" i="7"/>
  <c r="B158" i="7"/>
  <c r="E157" i="7"/>
  <c r="D157" i="7"/>
  <c r="B157" i="7"/>
  <c r="E156" i="7"/>
  <c r="B156" i="7"/>
  <c r="E155" i="7"/>
  <c r="B155" i="7"/>
  <c r="E154" i="7"/>
  <c r="D154" i="7"/>
  <c r="C154" i="7"/>
  <c r="B154" i="7"/>
  <c r="E153" i="7"/>
  <c r="D153" i="7"/>
  <c r="B153" i="7"/>
  <c r="C153" i="7" s="1"/>
  <c r="E152" i="7"/>
  <c r="D152" i="7"/>
  <c r="B152" i="7"/>
  <c r="E151" i="7"/>
  <c r="B151" i="7"/>
  <c r="E150" i="7"/>
  <c r="B150" i="7"/>
  <c r="E149" i="7"/>
  <c r="C149" i="7"/>
  <c r="B149" i="7"/>
  <c r="E148" i="7"/>
  <c r="B148" i="7"/>
  <c r="C148" i="7" s="1"/>
  <c r="E147" i="7"/>
  <c r="B147" i="7"/>
  <c r="E146" i="7"/>
  <c r="B146" i="7"/>
  <c r="D146" i="7" s="1"/>
  <c r="E145" i="7"/>
  <c r="B145" i="7"/>
  <c r="E144" i="7"/>
  <c r="B144" i="7"/>
  <c r="E143" i="7"/>
  <c r="D143" i="7"/>
  <c r="B143" i="7"/>
  <c r="D155" i="7" s="1"/>
  <c r="E142" i="7"/>
  <c r="D142" i="7"/>
  <c r="C142" i="7"/>
  <c r="B142" i="7"/>
  <c r="E141" i="7"/>
  <c r="B141" i="7"/>
  <c r="E140" i="7"/>
  <c r="B140" i="7"/>
  <c r="D140" i="7" s="1"/>
  <c r="E139" i="7"/>
  <c r="D139" i="7"/>
  <c r="B139" i="7"/>
  <c r="C140" i="7" s="1"/>
  <c r="E138" i="7"/>
  <c r="B138" i="7"/>
  <c r="E137" i="7"/>
  <c r="B137" i="7"/>
  <c r="E136" i="7"/>
  <c r="B136" i="7"/>
  <c r="E135" i="7"/>
  <c r="D135" i="7"/>
  <c r="B135" i="7"/>
  <c r="E134" i="7"/>
  <c r="B134" i="7"/>
  <c r="E133" i="7"/>
  <c r="D133" i="7"/>
  <c r="B133" i="7"/>
  <c r="C134" i="7" s="1"/>
  <c r="E132" i="7"/>
  <c r="B132" i="7"/>
  <c r="D144" i="7" s="1"/>
  <c r="E131" i="7"/>
  <c r="B131" i="7"/>
  <c r="E130" i="7"/>
  <c r="B130" i="7"/>
  <c r="E129" i="7"/>
  <c r="D129" i="7"/>
  <c r="B129" i="7"/>
  <c r="C129" i="7" s="1"/>
  <c r="E128" i="7"/>
  <c r="D128" i="7"/>
  <c r="C128" i="7"/>
  <c r="B128" i="7"/>
  <c r="E127" i="7"/>
  <c r="B127" i="7"/>
  <c r="E126" i="7"/>
  <c r="B126" i="7"/>
  <c r="E125" i="7"/>
  <c r="D125" i="7"/>
  <c r="C125" i="7"/>
  <c r="B125" i="7"/>
  <c r="E124" i="7"/>
  <c r="B124" i="7"/>
  <c r="E123" i="7"/>
  <c r="D123" i="7"/>
  <c r="B123" i="7"/>
  <c r="E122" i="7"/>
  <c r="B122" i="7"/>
  <c r="E121" i="7"/>
  <c r="D121" i="7"/>
  <c r="C121" i="7"/>
  <c r="B121" i="7"/>
  <c r="E120" i="7"/>
  <c r="B120" i="7"/>
  <c r="E119" i="7"/>
  <c r="B119" i="7"/>
  <c r="E118" i="7"/>
  <c r="B118" i="7"/>
  <c r="E117" i="7"/>
  <c r="B117" i="7"/>
  <c r="C117" i="7" s="1"/>
  <c r="E116" i="7"/>
  <c r="B116" i="7"/>
  <c r="D116" i="7" s="1"/>
  <c r="E115" i="7"/>
  <c r="C115" i="7"/>
  <c r="B115" i="7"/>
  <c r="C116" i="7" s="1"/>
  <c r="E114" i="7"/>
  <c r="B114" i="7"/>
  <c r="E113" i="7"/>
  <c r="D113" i="7"/>
  <c r="C113" i="7"/>
  <c r="B113" i="7"/>
  <c r="E112" i="7"/>
  <c r="B112" i="7"/>
  <c r="E111" i="7"/>
  <c r="B111" i="7"/>
  <c r="E110" i="7"/>
  <c r="D110" i="7"/>
  <c r="C110" i="7"/>
  <c r="B110" i="7"/>
  <c r="E109" i="7"/>
  <c r="B109" i="7"/>
  <c r="D109" i="7" s="1"/>
  <c r="E108" i="7"/>
  <c r="B108" i="7"/>
  <c r="E107" i="7"/>
  <c r="C107" i="7"/>
  <c r="B107" i="7"/>
  <c r="E106" i="7"/>
  <c r="B106" i="7"/>
  <c r="E105" i="7"/>
  <c r="B105" i="7"/>
  <c r="C105" i="7" s="1"/>
  <c r="E104" i="7"/>
  <c r="C104" i="7"/>
  <c r="B104" i="7"/>
  <c r="E103" i="7"/>
  <c r="D103" i="7"/>
  <c r="C103" i="7"/>
  <c r="B103" i="7"/>
  <c r="D115" i="7" s="1"/>
  <c r="E102" i="7"/>
  <c r="D102" i="7"/>
  <c r="B102" i="7"/>
  <c r="E101" i="7"/>
  <c r="B101" i="7"/>
  <c r="E100" i="7"/>
  <c r="B100" i="7"/>
  <c r="D100" i="7" s="1"/>
  <c r="E99" i="7"/>
  <c r="B99" i="7"/>
  <c r="E98" i="7"/>
  <c r="D98" i="7"/>
  <c r="B98" i="7"/>
  <c r="E97" i="7"/>
  <c r="B97" i="7"/>
  <c r="E96" i="7"/>
  <c r="D96" i="7"/>
  <c r="B96" i="7"/>
  <c r="E95" i="7"/>
  <c r="B95" i="7"/>
  <c r="E94" i="7"/>
  <c r="B94" i="7"/>
  <c r="E93" i="7"/>
  <c r="D93" i="7"/>
  <c r="B93" i="7"/>
  <c r="E92" i="7"/>
  <c r="D92" i="7"/>
  <c r="C92" i="7"/>
  <c r="B92" i="7"/>
  <c r="E91" i="7"/>
  <c r="C91" i="7"/>
  <c r="B91" i="7"/>
  <c r="E90" i="7"/>
  <c r="B90" i="7"/>
  <c r="E89" i="7"/>
  <c r="D89" i="7"/>
  <c r="C89" i="7"/>
  <c r="B89" i="7"/>
  <c r="E88" i="7"/>
  <c r="D88" i="7"/>
  <c r="B88" i="7"/>
  <c r="E87" i="7"/>
  <c r="D87" i="7"/>
  <c r="B87" i="7"/>
  <c r="E86" i="7"/>
  <c r="C86" i="7"/>
  <c r="B86" i="7"/>
  <c r="D86" i="7" s="1"/>
  <c r="E85" i="7"/>
  <c r="C85" i="7"/>
  <c r="B85" i="7"/>
  <c r="E84" i="7"/>
  <c r="D84" i="7"/>
  <c r="B84" i="7"/>
  <c r="C84" i="7" s="1"/>
  <c r="E83" i="7"/>
  <c r="B83" i="7"/>
  <c r="E82" i="7"/>
  <c r="B82" i="7"/>
  <c r="E81" i="7"/>
  <c r="D81" i="7"/>
  <c r="B81" i="7"/>
  <c r="E80" i="7"/>
  <c r="D80" i="7"/>
  <c r="B80" i="7"/>
  <c r="E79" i="7"/>
  <c r="C79" i="7"/>
  <c r="B79" i="7"/>
  <c r="E78" i="7"/>
  <c r="B78" i="7"/>
  <c r="E77" i="7"/>
  <c r="B77" i="7"/>
  <c r="C77" i="7" s="1"/>
  <c r="E76" i="7"/>
  <c r="D76" i="7"/>
  <c r="C76" i="7"/>
  <c r="B76" i="7"/>
  <c r="E75" i="7"/>
  <c r="D75" i="7"/>
  <c r="B75" i="7"/>
  <c r="E74" i="7"/>
  <c r="D74" i="7"/>
  <c r="C74" i="7"/>
  <c r="B74" i="7"/>
  <c r="E73" i="7"/>
  <c r="B73" i="7"/>
  <c r="E72" i="7"/>
  <c r="B72" i="7"/>
  <c r="E71" i="7"/>
  <c r="B71" i="7"/>
  <c r="E70" i="7"/>
  <c r="B70" i="7"/>
  <c r="E69" i="7"/>
  <c r="D69" i="7"/>
  <c r="B69" i="7"/>
  <c r="C69" i="7" s="1"/>
  <c r="E68" i="7"/>
  <c r="B68" i="7"/>
  <c r="E67" i="7"/>
  <c r="D67" i="7"/>
  <c r="B67" i="7"/>
  <c r="E66" i="7"/>
  <c r="B66" i="7"/>
  <c r="E65" i="7"/>
  <c r="D65" i="7"/>
  <c r="B65" i="7"/>
  <c r="E64" i="7"/>
  <c r="B64" i="7"/>
  <c r="E63" i="7"/>
  <c r="D63" i="7"/>
  <c r="B63" i="7"/>
  <c r="C63" i="7" s="1"/>
  <c r="E62" i="7"/>
  <c r="B62" i="7"/>
  <c r="E61" i="7"/>
  <c r="B61" i="7"/>
  <c r="E60" i="7"/>
  <c r="B60" i="7"/>
  <c r="E59" i="7"/>
  <c r="C59" i="7"/>
  <c r="B59" i="7"/>
  <c r="D59" i="7" s="1"/>
  <c r="E58" i="7"/>
  <c r="B58" i="7"/>
  <c r="E57" i="7"/>
  <c r="B57" i="7"/>
  <c r="C57" i="7" s="1"/>
  <c r="E56" i="7"/>
  <c r="B56" i="7"/>
  <c r="E55" i="7"/>
  <c r="C55" i="7"/>
  <c r="B55" i="7"/>
  <c r="D55" i="7" s="1"/>
  <c r="E54" i="7"/>
  <c r="B54" i="7"/>
  <c r="C54" i="7" s="1"/>
  <c r="E53" i="7"/>
  <c r="C53" i="7"/>
  <c r="B53" i="7"/>
  <c r="E52" i="7"/>
  <c r="D52" i="7"/>
  <c r="B52" i="7"/>
  <c r="E51" i="7"/>
  <c r="D51" i="7"/>
  <c r="B51" i="7"/>
  <c r="E50" i="7"/>
  <c r="B50" i="7"/>
  <c r="E49" i="7"/>
  <c r="B49" i="7"/>
  <c r="E48" i="7"/>
  <c r="D48" i="7"/>
  <c r="B48" i="7"/>
  <c r="E47" i="7"/>
  <c r="D47" i="7"/>
  <c r="B47" i="7"/>
  <c r="E46" i="7"/>
  <c r="B46" i="7"/>
  <c r="E45" i="7"/>
  <c r="B45" i="7"/>
  <c r="E44" i="7"/>
  <c r="D44" i="7"/>
  <c r="C44" i="7"/>
  <c r="B44" i="7"/>
  <c r="E43" i="7"/>
  <c r="B43" i="7"/>
  <c r="E42" i="7"/>
  <c r="B42" i="7"/>
  <c r="E41" i="7"/>
  <c r="D41" i="7"/>
  <c r="C41" i="7"/>
  <c r="B41" i="7"/>
  <c r="D53" i="7" s="1"/>
  <c r="E40" i="7"/>
  <c r="D40" i="7"/>
  <c r="C40" i="7"/>
  <c r="B40" i="7"/>
  <c r="E39" i="7"/>
  <c r="B39" i="7"/>
  <c r="E38" i="7"/>
  <c r="B38" i="7"/>
  <c r="E37" i="7"/>
  <c r="D37" i="7"/>
  <c r="B37" i="7"/>
  <c r="D49" i="7" s="1"/>
  <c r="E36" i="7"/>
  <c r="D36" i="7"/>
  <c r="B36" i="7"/>
  <c r="E35" i="7"/>
  <c r="B35" i="7"/>
  <c r="E34" i="7"/>
  <c r="B34" i="7"/>
  <c r="E33" i="7"/>
  <c r="B33" i="7"/>
  <c r="C33" i="7" s="1"/>
  <c r="E32" i="7"/>
  <c r="B32" i="7"/>
  <c r="E31" i="7"/>
  <c r="B31" i="7"/>
  <c r="E30" i="7"/>
  <c r="D30" i="7"/>
  <c r="B30" i="7"/>
  <c r="C30" i="7" s="1"/>
  <c r="E29" i="7"/>
  <c r="D29" i="7"/>
  <c r="B29" i="7"/>
  <c r="E28" i="7"/>
  <c r="D28" i="7"/>
  <c r="B28" i="7"/>
  <c r="E27" i="7"/>
  <c r="B27" i="7"/>
  <c r="E26" i="7"/>
  <c r="D26" i="7"/>
  <c r="C26" i="7"/>
  <c r="B26" i="7"/>
  <c r="E25" i="7"/>
  <c r="B25" i="7"/>
  <c r="D25" i="7" s="1"/>
  <c r="E24" i="7"/>
  <c r="B24" i="7"/>
  <c r="E23" i="7"/>
  <c r="C23" i="7"/>
  <c r="B23" i="7"/>
  <c r="E22" i="7"/>
  <c r="D22" i="7"/>
  <c r="B22" i="7"/>
  <c r="E21" i="7"/>
  <c r="B21" i="7"/>
  <c r="E20" i="7"/>
  <c r="D20" i="7"/>
  <c r="B20" i="7"/>
  <c r="E19" i="7"/>
  <c r="B19" i="7"/>
  <c r="E18" i="7"/>
  <c r="D18" i="7"/>
  <c r="B18" i="7"/>
  <c r="E17" i="7"/>
  <c r="B17" i="7"/>
  <c r="C17" i="7" s="1"/>
  <c r="E16" i="7"/>
  <c r="B16" i="7"/>
  <c r="E15" i="7"/>
  <c r="C15" i="7"/>
  <c r="B15" i="7"/>
  <c r="C16" i="7" s="1"/>
  <c r="E14" i="7"/>
  <c r="B14" i="7"/>
  <c r="E13" i="7"/>
  <c r="C13" i="7"/>
  <c r="B13" i="7"/>
  <c r="C14" i="7" s="1"/>
  <c r="E12" i="7"/>
  <c r="B12" i="7"/>
  <c r="E11" i="7"/>
  <c r="C11" i="7"/>
  <c r="B11" i="7"/>
  <c r="C12" i="7" s="1"/>
  <c r="E10" i="7"/>
  <c r="B10" i="7"/>
  <c r="E9" i="7"/>
  <c r="B9" i="7"/>
  <c r="C10" i="7" s="1"/>
  <c r="E8" i="7"/>
  <c r="C8" i="7"/>
  <c r="B8" i="7"/>
  <c r="E7" i="7"/>
  <c r="B7" i="7"/>
  <c r="C7" i="7" s="1"/>
  <c r="E6" i="7"/>
  <c r="B6" i="7"/>
  <c r="E5" i="7"/>
  <c r="B5" i="7"/>
  <c r="B676" i="6"/>
  <c r="D676" i="6" s="1"/>
  <c r="C675" i="6"/>
  <c r="B675" i="6"/>
  <c r="D675" i="6" s="1"/>
  <c r="B674" i="6"/>
  <c r="C674" i="6" s="1"/>
  <c r="B673" i="6"/>
  <c r="B672" i="6"/>
  <c r="B671" i="6"/>
  <c r="C671" i="6" s="1"/>
  <c r="D670" i="6"/>
  <c r="B670" i="6"/>
  <c r="C670" i="6" s="1"/>
  <c r="D669" i="6"/>
  <c r="C669" i="6"/>
  <c r="B669" i="6"/>
  <c r="B668" i="6"/>
  <c r="C668" i="6" s="1"/>
  <c r="D667" i="6"/>
  <c r="B667" i="6"/>
  <c r="B666" i="6"/>
  <c r="B665" i="6"/>
  <c r="B664" i="6"/>
  <c r="B663" i="6"/>
  <c r="B662" i="6"/>
  <c r="B661" i="6"/>
  <c r="C660" i="6"/>
  <c r="B660" i="6"/>
  <c r="D660" i="6" s="1"/>
  <c r="B659" i="6"/>
  <c r="B658" i="6"/>
  <c r="D657" i="6"/>
  <c r="B657" i="6"/>
  <c r="C657" i="6" s="1"/>
  <c r="D656" i="6"/>
  <c r="C656" i="6"/>
  <c r="B656" i="6"/>
  <c r="C655" i="6"/>
  <c r="B655" i="6"/>
  <c r="B654" i="6"/>
  <c r="D653" i="6"/>
  <c r="B653" i="6"/>
  <c r="C653" i="6" s="1"/>
  <c r="B652" i="6"/>
  <c r="D651" i="6"/>
  <c r="C651" i="6"/>
  <c r="B651" i="6"/>
  <c r="B650" i="6"/>
  <c r="B649" i="6"/>
  <c r="D648" i="6"/>
  <c r="B648" i="6"/>
  <c r="C648" i="6" s="1"/>
  <c r="D647" i="6"/>
  <c r="B647" i="6"/>
  <c r="D659" i="6" s="1"/>
  <c r="B646" i="6"/>
  <c r="B645" i="6"/>
  <c r="D645" i="6" s="1"/>
  <c r="D644" i="6"/>
  <c r="B644" i="6"/>
  <c r="C643" i="6"/>
  <c r="B643" i="6"/>
  <c r="D642" i="6"/>
  <c r="B642" i="6"/>
  <c r="C642" i="6" s="1"/>
  <c r="B641" i="6"/>
  <c r="B640" i="6"/>
  <c r="D639" i="6"/>
  <c r="B639" i="6"/>
  <c r="C639" i="6" s="1"/>
  <c r="B638" i="6"/>
  <c r="B637" i="6"/>
  <c r="D636" i="6"/>
  <c r="B636" i="6"/>
  <c r="B635" i="6"/>
  <c r="B634" i="6"/>
  <c r="C633" i="6"/>
  <c r="B633" i="6"/>
  <c r="D632" i="6"/>
  <c r="B632" i="6"/>
  <c r="B631" i="6"/>
  <c r="B630" i="6"/>
  <c r="D629" i="6"/>
  <c r="B629" i="6"/>
  <c r="B628" i="6"/>
  <c r="D627" i="6"/>
  <c r="B627" i="6"/>
  <c r="B626" i="6"/>
  <c r="D638" i="6" s="1"/>
  <c r="D625" i="6"/>
  <c r="B625" i="6"/>
  <c r="B624" i="6"/>
  <c r="C623" i="6"/>
  <c r="B623" i="6"/>
  <c r="D623" i="6" s="1"/>
  <c r="B622" i="6"/>
  <c r="B621" i="6"/>
  <c r="D620" i="6"/>
  <c r="C620" i="6"/>
  <c r="B620" i="6"/>
  <c r="B619" i="6"/>
  <c r="B618" i="6"/>
  <c r="B617" i="6"/>
  <c r="D616" i="6"/>
  <c r="B616" i="6"/>
  <c r="B615" i="6"/>
  <c r="D614" i="6"/>
  <c r="B614" i="6"/>
  <c r="C614" i="6" s="1"/>
  <c r="B613" i="6"/>
  <c r="B612" i="6"/>
  <c r="D611" i="6"/>
  <c r="B611" i="6"/>
  <c r="D610" i="6"/>
  <c r="B610" i="6"/>
  <c r="C609" i="6"/>
  <c r="B609" i="6"/>
  <c r="B608" i="6"/>
  <c r="B607" i="6"/>
  <c r="B606" i="6"/>
  <c r="C606" i="6" s="1"/>
  <c r="D605" i="6"/>
  <c r="C605" i="6"/>
  <c r="B605" i="6"/>
  <c r="B604" i="6"/>
  <c r="D604" i="6" s="1"/>
  <c r="D603" i="6"/>
  <c r="B603" i="6"/>
  <c r="C603" i="6" s="1"/>
  <c r="D602" i="6"/>
  <c r="B602" i="6"/>
  <c r="C601" i="6"/>
  <c r="B601" i="6"/>
  <c r="D600" i="6"/>
  <c r="B600" i="6"/>
  <c r="C599" i="6"/>
  <c r="B599" i="6"/>
  <c r="B598" i="6"/>
  <c r="C597" i="6"/>
  <c r="B597" i="6"/>
  <c r="D597" i="6" s="1"/>
  <c r="B596" i="6"/>
  <c r="B595" i="6"/>
  <c r="B594" i="6"/>
  <c r="C594" i="6" s="1"/>
  <c r="D593" i="6"/>
  <c r="C593" i="6"/>
  <c r="B593" i="6"/>
  <c r="C592" i="6"/>
  <c r="B592" i="6"/>
  <c r="D592" i="6" s="1"/>
  <c r="B591" i="6"/>
  <c r="D591" i="6" s="1"/>
  <c r="B590" i="6"/>
  <c r="B589" i="6"/>
  <c r="C588" i="6"/>
  <c r="B588" i="6"/>
  <c r="B587" i="6"/>
  <c r="B586" i="6"/>
  <c r="C585" i="6"/>
  <c r="B585" i="6"/>
  <c r="C584" i="6"/>
  <c r="B584" i="6"/>
  <c r="C583" i="6"/>
  <c r="B583" i="6"/>
  <c r="B582" i="6"/>
  <c r="D581" i="6"/>
  <c r="C581" i="6"/>
  <c r="B581" i="6"/>
  <c r="D580" i="6"/>
  <c r="B580" i="6"/>
  <c r="C580" i="6" s="1"/>
  <c r="D579" i="6"/>
  <c r="C579" i="6"/>
  <c r="B579" i="6"/>
  <c r="B578" i="6"/>
  <c r="B577" i="6"/>
  <c r="C576" i="6"/>
  <c r="B576" i="6"/>
  <c r="D576" i="6" s="1"/>
  <c r="C575" i="6"/>
  <c r="B575" i="6"/>
  <c r="D587" i="6" s="1"/>
  <c r="B574" i="6"/>
  <c r="B573" i="6"/>
  <c r="D572" i="6"/>
  <c r="B572" i="6"/>
  <c r="B571" i="6"/>
  <c r="B570" i="6"/>
  <c r="D569" i="6"/>
  <c r="B569" i="6"/>
  <c r="B568" i="6"/>
  <c r="C567" i="6"/>
  <c r="B567" i="6"/>
  <c r="B566" i="6"/>
  <c r="B565" i="6"/>
  <c r="C565" i="6" s="1"/>
  <c r="B564" i="6"/>
  <c r="B563" i="6"/>
  <c r="D563" i="6" s="1"/>
  <c r="D562" i="6"/>
  <c r="B562" i="6"/>
  <c r="D574" i="6" s="1"/>
  <c r="B561" i="6"/>
  <c r="C561" i="6" s="1"/>
  <c r="D560" i="6"/>
  <c r="B560" i="6"/>
  <c r="B559" i="6"/>
  <c r="B558" i="6"/>
  <c r="C558" i="6" s="1"/>
  <c r="B557" i="6"/>
  <c r="C557" i="6" s="1"/>
  <c r="B556" i="6"/>
  <c r="B555" i="6"/>
  <c r="D554" i="6"/>
  <c r="C554" i="6"/>
  <c r="B554" i="6"/>
  <c r="B553" i="6"/>
  <c r="C553" i="6" s="1"/>
  <c r="D552" i="6"/>
  <c r="B552" i="6"/>
  <c r="C552" i="6" s="1"/>
  <c r="B551" i="6"/>
  <c r="D551" i="6" s="1"/>
  <c r="B550" i="6"/>
  <c r="B549" i="6"/>
  <c r="B548" i="6"/>
  <c r="D548" i="6" s="1"/>
  <c r="D547" i="6"/>
  <c r="B547" i="6"/>
  <c r="C546" i="6"/>
  <c r="B546" i="6"/>
  <c r="B545" i="6"/>
  <c r="B544" i="6"/>
  <c r="D556" i="6" s="1"/>
  <c r="C543" i="6"/>
  <c r="B543" i="6"/>
  <c r="B542" i="6"/>
  <c r="D541" i="6"/>
  <c r="B541" i="6"/>
  <c r="C541" i="6" s="1"/>
  <c r="D540" i="6"/>
  <c r="B540" i="6"/>
  <c r="C540" i="6" s="1"/>
  <c r="D539" i="6"/>
  <c r="C539" i="6"/>
  <c r="B539" i="6"/>
  <c r="B538" i="6"/>
  <c r="B537" i="6"/>
  <c r="C537" i="6" s="1"/>
  <c r="C536" i="6"/>
  <c r="B536" i="6"/>
  <c r="D536" i="6" s="1"/>
  <c r="D535" i="6"/>
  <c r="B535" i="6"/>
  <c r="C535" i="6" s="1"/>
  <c r="B534" i="6"/>
  <c r="B533" i="6"/>
  <c r="B532" i="6"/>
  <c r="D531" i="6"/>
  <c r="C531" i="6"/>
  <c r="B531" i="6"/>
  <c r="D543" i="6" s="1"/>
  <c r="C530" i="6"/>
  <c r="B530" i="6"/>
  <c r="B529" i="6"/>
  <c r="D528" i="6"/>
  <c r="C528" i="6"/>
  <c r="B528" i="6"/>
  <c r="B527" i="6"/>
  <c r="C526" i="6"/>
  <c r="B526" i="6"/>
  <c r="D526" i="6" s="1"/>
  <c r="B525" i="6"/>
  <c r="B524" i="6"/>
  <c r="B523" i="6"/>
  <c r="B522" i="6"/>
  <c r="D521" i="6"/>
  <c r="B521" i="6"/>
  <c r="B520" i="6"/>
  <c r="B519" i="6"/>
  <c r="C518" i="6"/>
  <c r="B518" i="6"/>
  <c r="D530" i="6" s="1"/>
  <c r="B517" i="6"/>
  <c r="C517" i="6" s="1"/>
  <c r="B516" i="6"/>
  <c r="D516" i="6" s="1"/>
  <c r="B515" i="6"/>
  <c r="D515" i="6" s="1"/>
  <c r="B514" i="6"/>
  <c r="B513" i="6"/>
  <c r="D512" i="6"/>
  <c r="B512" i="6"/>
  <c r="C511" i="6"/>
  <c r="B511" i="6"/>
  <c r="D510" i="6"/>
  <c r="B510" i="6"/>
  <c r="C510" i="6" s="1"/>
  <c r="B509" i="6"/>
  <c r="C509" i="6" s="1"/>
  <c r="C508" i="6"/>
  <c r="B508" i="6"/>
  <c r="B507" i="6"/>
  <c r="B506" i="6"/>
  <c r="D506" i="6" s="1"/>
  <c r="B505" i="6"/>
  <c r="B504" i="6"/>
  <c r="C504" i="6" s="1"/>
  <c r="B503" i="6"/>
  <c r="D503" i="6" s="1"/>
  <c r="B502" i="6"/>
  <c r="D502" i="6" s="1"/>
  <c r="B501" i="6"/>
  <c r="B500" i="6"/>
  <c r="D500" i="6" s="1"/>
  <c r="D499" i="6"/>
  <c r="B499" i="6"/>
  <c r="B498" i="6"/>
  <c r="D497" i="6"/>
  <c r="B497" i="6"/>
  <c r="C496" i="6"/>
  <c r="B496" i="6"/>
  <c r="D508" i="6" s="1"/>
  <c r="D495" i="6"/>
  <c r="B495" i="6"/>
  <c r="B494" i="6"/>
  <c r="B493" i="6"/>
  <c r="B492" i="6"/>
  <c r="D491" i="6"/>
  <c r="C491" i="6"/>
  <c r="B491" i="6"/>
  <c r="B490" i="6"/>
  <c r="D489" i="6"/>
  <c r="B489" i="6"/>
  <c r="C489" i="6" s="1"/>
  <c r="B488" i="6"/>
  <c r="C488" i="6" s="1"/>
  <c r="B487" i="6"/>
  <c r="C487" i="6" s="1"/>
  <c r="D486" i="6"/>
  <c r="B486" i="6"/>
  <c r="B485" i="6"/>
  <c r="C484" i="6"/>
  <c r="B484" i="6"/>
  <c r="B483" i="6"/>
  <c r="C483" i="6" s="1"/>
  <c r="D482" i="6"/>
  <c r="C482" i="6"/>
  <c r="B482" i="6"/>
  <c r="B481" i="6"/>
  <c r="D480" i="6"/>
  <c r="C480" i="6"/>
  <c r="B480" i="6"/>
  <c r="B479" i="6"/>
  <c r="B478" i="6"/>
  <c r="B477" i="6"/>
  <c r="B476" i="6"/>
  <c r="D476" i="6" s="1"/>
  <c r="B475" i="6"/>
  <c r="D487" i="6" s="1"/>
  <c r="D474" i="6"/>
  <c r="C474" i="6"/>
  <c r="B474" i="6"/>
  <c r="B473" i="6"/>
  <c r="B472" i="6"/>
  <c r="D484" i="6" s="1"/>
  <c r="B471" i="6"/>
  <c r="D470" i="6"/>
  <c r="B470" i="6"/>
  <c r="B469" i="6"/>
  <c r="B468" i="6"/>
  <c r="B467" i="6"/>
  <c r="B466" i="6"/>
  <c r="D466" i="6" s="1"/>
  <c r="B465" i="6"/>
  <c r="D464" i="6"/>
  <c r="B464" i="6"/>
  <c r="B463" i="6"/>
  <c r="B462" i="6"/>
  <c r="B461" i="6"/>
  <c r="B460" i="6"/>
  <c r="B459" i="6"/>
  <c r="D458" i="6"/>
  <c r="C458" i="6"/>
  <c r="B458" i="6"/>
  <c r="B457" i="6"/>
  <c r="B456" i="6"/>
  <c r="B455" i="6"/>
  <c r="D455" i="6" s="1"/>
  <c r="C454" i="6"/>
  <c r="B454" i="6"/>
  <c r="D454" i="6" s="1"/>
  <c r="D453" i="6"/>
  <c r="B453" i="6"/>
  <c r="C453" i="6" s="1"/>
  <c r="D452" i="6"/>
  <c r="B452" i="6"/>
  <c r="C452" i="6" s="1"/>
  <c r="B451" i="6"/>
  <c r="B450" i="6"/>
  <c r="B449" i="6"/>
  <c r="C449" i="6" s="1"/>
  <c r="D448" i="6"/>
  <c r="B448" i="6"/>
  <c r="C448" i="6" s="1"/>
  <c r="D447" i="6"/>
  <c r="B447" i="6"/>
  <c r="B446" i="6"/>
  <c r="B445" i="6"/>
  <c r="D444" i="6"/>
  <c r="B444" i="6"/>
  <c r="C443" i="6"/>
  <c r="B443" i="6"/>
  <c r="B442" i="6"/>
  <c r="B441" i="6"/>
  <c r="B440" i="6"/>
  <c r="C439" i="6"/>
  <c r="B439" i="6"/>
  <c r="D451" i="6" s="1"/>
  <c r="B438" i="6"/>
  <c r="B437" i="6"/>
  <c r="D436" i="6"/>
  <c r="B436" i="6"/>
  <c r="C436" i="6" s="1"/>
  <c r="D435" i="6"/>
  <c r="C435" i="6"/>
  <c r="B435" i="6"/>
  <c r="C434" i="6"/>
  <c r="B434" i="6"/>
  <c r="B433" i="6"/>
  <c r="D432" i="6"/>
  <c r="B432" i="6"/>
  <c r="B431" i="6"/>
  <c r="B430" i="6"/>
  <c r="C430" i="6" s="1"/>
  <c r="B429" i="6"/>
  <c r="B428" i="6"/>
  <c r="D440" i="6" s="1"/>
  <c r="B427" i="6"/>
  <c r="B426" i="6"/>
  <c r="D438" i="6" s="1"/>
  <c r="B425" i="6"/>
  <c r="B424" i="6"/>
  <c r="D423" i="6"/>
  <c r="C423" i="6"/>
  <c r="B423" i="6"/>
  <c r="C422" i="6"/>
  <c r="B422" i="6"/>
  <c r="B421" i="6"/>
  <c r="C421" i="6" s="1"/>
  <c r="B420" i="6"/>
  <c r="D419" i="6"/>
  <c r="B419" i="6"/>
  <c r="B418" i="6"/>
  <c r="B417" i="6"/>
  <c r="B416" i="6"/>
  <c r="B415" i="6"/>
  <c r="B414" i="6"/>
  <c r="D414" i="6" s="1"/>
  <c r="B413" i="6"/>
  <c r="C413" i="6" s="1"/>
  <c r="D412" i="6"/>
  <c r="C412" i="6"/>
  <c r="B412" i="6"/>
  <c r="B411" i="6"/>
  <c r="B410" i="6"/>
  <c r="B409" i="6"/>
  <c r="C409" i="6" s="1"/>
  <c r="B408" i="6"/>
  <c r="D408" i="6" s="1"/>
  <c r="B407" i="6"/>
  <c r="D407" i="6" s="1"/>
  <c r="B406" i="6"/>
  <c r="B405" i="6"/>
  <c r="B404" i="6"/>
  <c r="B403" i="6"/>
  <c r="B402" i="6"/>
  <c r="D401" i="6"/>
  <c r="B401" i="6"/>
  <c r="C401" i="6" s="1"/>
  <c r="D400" i="6"/>
  <c r="B400" i="6"/>
  <c r="C400" i="6" s="1"/>
  <c r="B399" i="6"/>
  <c r="B398" i="6"/>
  <c r="D397" i="6"/>
  <c r="B397" i="6"/>
  <c r="C397" i="6" s="1"/>
  <c r="D396" i="6"/>
  <c r="C396" i="6"/>
  <c r="B396" i="6"/>
  <c r="D395" i="6"/>
  <c r="B395" i="6"/>
  <c r="C395" i="6" s="1"/>
  <c r="B394" i="6"/>
  <c r="D394" i="6" s="1"/>
  <c r="B393" i="6"/>
  <c r="B392" i="6"/>
  <c r="D392" i="6" s="1"/>
  <c r="D391" i="6"/>
  <c r="C391" i="6"/>
  <c r="B391" i="6"/>
  <c r="D403" i="6" s="1"/>
  <c r="D390" i="6"/>
  <c r="B390" i="6"/>
  <c r="B389" i="6"/>
  <c r="D388" i="6"/>
  <c r="B388" i="6"/>
  <c r="B387" i="6"/>
  <c r="C386" i="6"/>
  <c r="B386" i="6"/>
  <c r="B385" i="6"/>
  <c r="B384" i="6"/>
  <c r="C383" i="6"/>
  <c r="B383" i="6"/>
  <c r="C382" i="6"/>
  <c r="B382" i="6"/>
  <c r="B381" i="6"/>
  <c r="B380" i="6"/>
  <c r="D380" i="6" s="1"/>
  <c r="B379" i="6"/>
  <c r="B378" i="6"/>
  <c r="D377" i="6"/>
  <c r="B377" i="6"/>
  <c r="B376" i="6"/>
  <c r="D375" i="6"/>
  <c r="B375" i="6"/>
  <c r="B374" i="6"/>
  <c r="D386" i="6" s="1"/>
  <c r="B373" i="6"/>
  <c r="C373" i="6" s="1"/>
  <c r="B372" i="6"/>
  <c r="D371" i="6"/>
  <c r="C371" i="6"/>
  <c r="B371" i="6"/>
  <c r="D383" i="6" s="1"/>
  <c r="B370" i="6"/>
  <c r="B369" i="6"/>
  <c r="D368" i="6"/>
  <c r="B368" i="6"/>
  <c r="B367" i="6"/>
  <c r="D366" i="6"/>
  <c r="B366" i="6"/>
  <c r="C366" i="6" s="1"/>
  <c r="D365" i="6"/>
  <c r="B365" i="6"/>
  <c r="C365" i="6" s="1"/>
  <c r="B364" i="6"/>
  <c r="B363" i="6"/>
  <c r="B362" i="6"/>
  <c r="B361" i="6"/>
  <c r="D360" i="6"/>
  <c r="B360" i="6"/>
  <c r="C360" i="6" s="1"/>
  <c r="B359" i="6"/>
  <c r="B358" i="6"/>
  <c r="B357" i="6"/>
  <c r="C357" i="6" s="1"/>
  <c r="C356" i="6"/>
  <c r="B356" i="6"/>
  <c r="D355" i="6"/>
  <c r="B355" i="6"/>
  <c r="C354" i="6"/>
  <c r="B354" i="6"/>
  <c r="B353" i="6"/>
  <c r="B352" i="6"/>
  <c r="D351" i="6"/>
  <c r="B351" i="6"/>
  <c r="B350" i="6"/>
  <c r="D349" i="6"/>
  <c r="B349" i="6"/>
  <c r="C349" i="6" s="1"/>
  <c r="D348" i="6"/>
  <c r="B348" i="6"/>
  <c r="C348" i="6" s="1"/>
  <c r="D347" i="6"/>
  <c r="B347" i="6"/>
  <c r="C347" i="6" s="1"/>
  <c r="B346" i="6"/>
  <c r="D346" i="6" s="1"/>
  <c r="D345" i="6"/>
  <c r="B345" i="6"/>
  <c r="C345" i="6" s="1"/>
  <c r="B344" i="6"/>
  <c r="D344" i="6" s="1"/>
  <c r="D343" i="6"/>
  <c r="B343" i="6"/>
  <c r="C343" i="6" s="1"/>
  <c r="B342" i="6"/>
  <c r="B341" i="6"/>
  <c r="B340" i="6"/>
  <c r="D340" i="6" s="1"/>
  <c r="D339" i="6"/>
  <c r="C339" i="6"/>
  <c r="B339" i="6"/>
  <c r="C338" i="6"/>
  <c r="B338" i="6"/>
  <c r="B337" i="6"/>
  <c r="D336" i="6"/>
  <c r="B336" i="6"/>
  <c r="B335" i="6"/>
  <c r="D335" i="6" s="1"/>
  <c r="D334" i="6"/>
  <c r="C334" i="6"/>
  <c r="B334" i="6"/>
  <c r="B333" i="6"/>
  <c r="B332" i="6"/>
  <c r="B331" i="6"/>
  <c r="B330" i="6"/>
  <c r="D329" i="6"/>
  <c r="B329" i="6"/>
  <c r="B328" i="6"/>
  <c r="B327" i="6"/>
  <c r="B326" i="6"/>
  <c r="D326" i="6" s="1"/>
  <c r="D325" i="6"/>
  <c r="B325" i="6"/>
  <c r="C325" i="6" s="1"/>
  <c r="B324" i="6"/>
  <c r="D324" i="6" s="1"/>
  <c r="D323" i="6"/>
  <c r="B323" i="6"/>
  <c r="C323" i="6" s="1"/>
  <c r="B322" i="6"/>
  <c r="B321" i="6"/>
  <c r="B320" i="6"/>
  <c r="C319" i="6"/>
  <c r="B319" i="6"/>
  <c r="B318" i="6"/>
  <c r="B317" i="6"/>
  <c r="C317" i="6" s="1"/>
  <c r="C316" i="6"/>
  <c r="B316" i="6"/>
  <c r="B315" i="6"/>
  <c r="C314" i="6"/>
  <c r="B314" i="6"/>
  <c r="D313" i="6"/>
  <c r="B313" i="6"/>
  <c r="C313" i="6" s="1"/>
  <c r="B312" i="6"/>
  <c r="C312" i="6" s="1"/>
  <c r="B311" i="6"/>
  <c r="C310" i="6"/>
  <c r="B310" i="6"/>
  <c r="D310" i="6" s="1"/>
  <c r="D309" i="6"/>
  <c r="B309" i="6"/>
  <c r="C309" i="6" s="1"/>
  <c r="D308" i="6"/>
  <c r="C308" i="6"/>
  <c r="B308" i="6"/>
  <c r="D320" i="6" s="1"/>
  <c r="B307" i="6"/>
  <c r="B306" i="6"/>
  <c r="B305" i="6"/>
  <c r="B304" i="6"/>
  <c r="D303" i="6"/>
  <c r="B303" i="6"/>
  <c r="B302" i="6"/>
  <c r="D314" i="6" s="1"/>
  <c r="B301" i="6"/>
  <c r="B300" i="6"/>
  <c r="D299" i="6"/>
  <c r="B299" i="6"/>
  <c r="C299" i="6" s="1"/>
  <c r="B298" i="6"/>
  <c r="B297" i="6"/>
  <c r="C297" i="6" s="1"/>
  <c r="D296" i="6"/>
  <c r="B296" i="6"/>
  <c r="C296" i="6" s="1"/>
  <c r="B295" i="6"/>
  <c r="B294" i="6"/>
  <c r="B293" i="6"/>
  <c r="D305" i="6" s="1"/>
  <c r="D292" i="6"/>
  <c r="B292" i="6"/>
  <c r="C292" i="6" s="1"/>
  <c r="B291" i="6"/>
  <c r="C291" i="6" s="1"/>
  <c r="C290" i="6"/>
  <c r="B290" i="6"/>
  <c r="B289" i="6"/>
  <c r="B288" i="6"/>
  <c r="D288" i="6" s="1"/>
  <c r="D287" i="6"/>
  <c r="B287" i="6"/>
  <c r="C287" i="6" s="1"/>
  <c r="B286" i="6"/>
  <c r="B285" i="6"/>
  <c r="C284" i="6"/>
  <c r="B284" i="6"/>
  <c r="D284" i="6" s="1"/>
  <c r="C283" i="6"/>
  <c r="B283" i="6"/>
  <c r="B282" i="6"/>
  <c r="D294" i="6" s="1"/>
  <c r="B281" i="6"/>
  <c r="B280" i="6"/>
  <c r="B279" i="6"/>
  <c r="D279" i="6" s="1"/>
  <c r="B278" i="6"/>
  <c r="D277" i="6"/>
  <c r="B277" i="6"/>
  <c r="C277" i="6" s="1"/>
  <c r="B276" i="6"/>
  <c r="B275" i="6"/>
  <c r="C274" i="6"/>
  <c r="B274" i="6"/>
  <c r="D274" i="6" s="1"/>
  <c r="B273" i="6"/>
  <c r="D272" i="6"/>
  <c r="B272" i="6"/>
  <c r="B271" i="6"/>
  <c r="B270" i="6"/>
  <c r="B269" i="6"/>
  <c r="C268" i="6"/>
  <c r="B268" i="6"/>
  <c r="B267" i="6"/>
  <c r="D266" i="6"/>
  <c r="B266" i="6"/>
  <c r="C266" i="6" s="1"/>
  <c r="B265" i="6"/>
  <c r="D264" i="6"/>
  <c r="C264" i="6"/>
  <c r="B264" i="6"/>
  <c r="B263" i="6"/>
  <c r="D263" i="6" s="1"/>
  <c r="B262" i="6"/>
  <c r="D262" i="6" s="1"/>
  <c r="D261" i="6"/>
  <c r="B261" i="6"/>
  <c r="C261" i="6" s="1"/>
  <c r="B260" i="6"/>
  <c r="C260" i="6" s="1"/>
  <c r="B259" i="6"/>
  <c r="B258" i="6"/>
  <c r="B257" i="6"/>
  <c r="B256" i="6"/>
  <c r="D256" i="6" s="1"/>
  <c r="D255" i="6"/>
  <c r="B255" i="6"/>
  <c r="B254" i="6"/>
  <c r="D253" i="6"/>
  <c r="B253" i="6"/>
  <c r="B252" i="6"/>
  <c r="D252" i="6" s="1"/>
  <c r="D251" i="6"/>
  <c r="C251" i="6"/>
  <c r="B251" i="6"/>
  <c r="B250" i="6"/>
  <c r="D250" i="6" s="1"/>
  <c r="B249" i="6"/>
  <c r="B248" i="6"/>
  <c r="B247" i="6"/>
  <c r="D259" i="6" s="1"/>
  <c r="B246" i="6"/>
  <c r="B245" i="6"/>
  <c r="D244" i="6"/>
  <c r="B244" i="6"/>
  <c r="C244" i="6" s="1"/>
  <c r="B243" i="6"/>
  <c r="C243" i="6" s="1"/>
  <c r="D242" i="6"/>
  <c r="C242" i="6"/>
  <c r="B242" i="6"/>
  <c r="B241" i="6"/>
  <c r="D240" i="6"/>
  <c r="C240" i="6"/>
  <c r="B240" i="6"/>
  <c r="C239" i="6"/>
  <c r="B239" i="6"/>
  <c r="B238" i="6"/>
  <c r="C238" i="6" s="1"/>
  <c r="B237" i="6"/>
  <c r="B236" i="6"/>
  <c r="D236" i="6" s="1"/>
  <c r="C235" i="6"/>
  <c r="B235" i="6"/>
  <c r="C234" i="6"/>
  <c r="B234" i="6"/>
  <c r="D246" i="6" s="1"/>
  <c r="D233" i="6"/>
  <c r="B233" i="6"/>
  <c r="B232" i="6"/>
  <c r="B231" i="6"/>
  <c r="D231" i="6" s="1"/>
  <c r="B230" i="6"/>
  <c r="B229" i="6"/>
  <c r="B228" i="6"/>
  <c r="D228" i="6" s="1"/>
  <c r="D227" i="6"/>
  <c r="C227" i="6"/>
  <c r="B227" i="6"/>
  <c r="B226" i="6"/>
  <c r="D225" i="6"/>
  <c r="B225" i="6"/>
  <c r="D224" i="6"/>
  <c r="B224" i="6"/>
  <c r="B223" i="6"/>
  <c r="B222" i="6"/>
  <c r="D222" i="6" s="1"/>
  <c r="B221" i="6"/>
  <c r="C221" i="6" s="1"/>
  <c r="C220" i="6"/>
  <c r="B220" i="6"/>
  <c r="B219" i="6"/>
  <c r="C218" i="6"/>
  <c r="B218" i="6"/>
  <c r="B217" i="6"/>
  <c r="C217" i="6" s="1"/>
  <c r="D216" i="6"/>
  <c r="C216" i="6"/>
  <c r="B216" i="6"/>
  <c r="B215" i="6"/>
  <c r="D214" i="6"/>
  <c r="C214" i="6"/>
  <c r="B214" i="6"/>
  <c r="B213" i="6"/>
  <c r="D212" i="6"/>
  <c r="C212" i="6"/>
  <c r="B212" i="6"/>
  <c r="D211" i="6"/>
  <c r="B211" i="6"/>
  <c r="B210" i="6"/>
  <c r="B209" i="6"/>
  <c r="C210" i="6" s="1"/>
  <c r="B208" i="6"/>
  <c r="C208" i="6" s="1"/>
  <c r="B207" i="6"/>
  <c r="B206" i="6"/>
  <c r="B205" i="6"/>
  <c r="C205" i="6" s="1"/>
  <c r="B204" i="6"/>
  <c r="C204" i="6" s="1"/>
  <c r="B203" i="6"/>
  <c r="C203" i="6" s="1"/>
  <c r="B202" i="6"/>
  <c r="D202" i="6" s="1"/>
  <c r="D201" i="6"/>
  <c r="B201" i="6"/>
  <c r="C200" i="6"/>
  <c r="B200" i="6"/>
  <c r="D200" i="6" s="1"/>
  <c r="C199" i="6"/>
  <c r="B199" i="6"/>
  <c r="B198" i="6"/>
  <c r="B197" i="6"/>
  <c r="D196" i="6"/>
  <c r="B196" i="6"/>
  <c r="C196" i="6" s="1"/>
  <c r="B195" i="6"/>
  <c r="D207" i="6" s="1"/>
  <c r="D194" i="6"/>
  <c r="C194" i="6"/>
  <c r="B194" i="6"/>
  <c r="B193" i="6"/>
  <c r="B192" i="6"/>
  <c r="B191" i="6"/>
  <c r="D191" i="6" s="1"/>
  <c r="B190" i="6"/>
  <c r="D190" i="6" s="1"/>
  <c r="B189" i="6"/>
  <c r="B188" i="6"/>
  <c r="D188" i="6" s="1"/>
  <c r="B187" i="6"/>
  <c r="C186" i="6"/>
  <c r="B186" i="6"/>
  <c r="B185" i="6"/>
  <c r="B184" i="6"/>
  <c r="C183" i="6"/>
  <c r="B183" i="6"/>
  <c r="D183" i="6" s="1"/>
  <c r="B182" i="6"/>
  <c r="B181" i="6"/>
  <c r="B180" i="6"/>
  <c r="B179" i="6"/>
  <c r="D178" i="6"/>
  <c r="B178" i="6"/>
  <c r="B177" i="6"/>
  <c r="B176" i="6"/>
  <c r="B175" i="6"/>
  <c r="B174" i="6"/>
  <c r="C174" i="6" s="1"/>
  <c r="B173" i="6"/>
  <c r="C173" i="6" s="1"/>
  <c r="D172" i="6"/>
  <c r="B172" i="6"/>
  <c r="B171" i="6"/>
  <c r="B170" i="6"/>
  <c r="B169" i="6"/>
  <c r="B168" i="6"/>
  <c r="D168" i="6" s="1"/>
  <c r="B167" i="6"/>
  <c r="B166" i="6"/>
  <c r="D166" i="6" s="1"/>
  <c r="D165" i="6"/>
  <c r="B165" i="6"/>
  <c r="B164" i="6"/>
  <c r="B163" i="6"/>
  <c r="B162" i="6"/>
  <c r="B161" i="6"/>
  <c r="D160" i="6"/>
  <c r="B160" i="6"/>
  <c r="C160" i="6" s="1"/>
  <c r="B159" i="6"/>
  <c r="B158" i="6"/>
  <c r="B157" i="6"/>
  <c r="C157" i="6" s="1"/>
  <c r="D156" i="6"/>
  <c r="B156" i="6"/>
  <c r="B155" i="6"/>
  <c r="B154" i="6"/>
  <c r="B153" i="6"/>
  <c r="D152" i="6"/>
  <c r="C152" i="6"/>
  <c r="B152" i="6"/>
  <c r="B151" i="6"/>
  <c r="C151" i="6" s="1"/>
  <c r="D150" i="6"/>
  <c r="B150" i="6"/>
  <c r="B149" i="6"/>
  <c r="C148" i="6"/>
  <c r="B148" i="6"/>
  <c r="C147" i="6"/>
  <c r="B147" i="6"/>
  <c r="D146" i="6"/>
  <c r="C146" i="6"/>
  <c r="B146" i="6"/>
  <c r="B145" i="6"/>
  <c r="D144" i="6"/>
  <c r="B144" i="6"/>
  <c r="C144" i="6" s="1"/>
  <c r="B143" i="6"/>
  <c r="B142" i="6"/>
  <c r="D142" i="6" s="1"/>
  <c r="B141" i="6"/>
  <c r="C140" i="6"/>
  <c r="B140" i="6"/>
  <c r="D140" i="6" s="1"/>
  <c r="D139" i="6"/>
  <c r="C139" i="6"/>
  <c r="B139" i="6"/>
  <c r="D138" i="6"/>
  <c r="B138" i="6"/>
  <c r="C138" i="6" s="1"/>
  <c r="D137" i="6"/>
  <c r="B137" i="6"/>
  <c r="B136" i="6"/>
  <c r="C135" i="6"/>
  <c r="B135" i="6"/>
  <c r="D135" i="6" s="1"/>
  <c r="B134" i="6"/>
  <c r="D134" i="6" s="1"/>
  <c r="D133" i="6"/>
  <c r="B133" i="6"/>
  <c r="C133" i="6" s="1"/>
  <c r="B132" i="6"/>
  <c r="B131" i="6"/>
  <c r="D131" i="6" s="1"/>
  <c r="B130" i="6"/>
  <c r="D130" i="6" s="1"/>
  <c r="B129" i="6"/>
  <c r="B128" i="6"/>
  <c r="C127" i="6"/>
  <c r="B127" i="6"/>
  <c r="B126" i="6"/>
  <c r="B125" i="6"/>
  <c r="B124" i="6"/>
  <c r="B123" i="6"/>
  <c r="D122" i="6"/>
  <c r="C122" i="6"/>
  <c r="B122" i="6"/>
  <c r="D121" i="6"/>
  <c r="B121" i="6"/>
  <c r="B120" i="6"/>
  <c r="B119" i="6"/>
  <c r="B118" i="6"/>
  <c r="D118" i="6" s="1"/>
  <c r="B117" i="6"/>
  <c r="C117" i="6" s="1"/>
  <c r="D116" i="6"/>
  <c r="C116" i="6"/>
  <c r="B116" i="6"/>
  <c r="D128" i="6" s="1"/>
  <c r="B115" i="6"/>
  <c r="C114" i="6"/>
  <c r="B114" i="6"/>
  <c r="B113" i="6"/>
  <c r="B112" i="6"/>
  <c r="D112" i="6" s="1"/>
  <c r="C111" i="6"/>
  <c r="B111" i="6"/>
  <c r="B110" i="6"/>
  <c r="B109" i="6"/>
  <c r="D108" i="6"/>
  <c r="B108" i="6"/>
  <c r="B107" i="6"/>
  <c r="B106" i="6"/>
  <c r="B105" i="6"/>
  <c r="C105" i="6" s="1"/>
  <c r="B104" i="6"/>
  <c r="B103" i="6"/>
  <c r="D102" i="6"/>
  <c r="B102" i="6"/>
  <c r="B101" i="6"/>
  <c r="B100" i="6"/>
  <c r="C100" i="6" s="1"/>
  <c r="B99" i="6"/>
  <c r="C99" i="6" s="1"/>
  <c r="C98" i="6"/>
  <c r="B98" i="6"/>
  <c r="B97" i="6"/>
  <c r="D96" i="6"/>
  <c r="B96" i="6"/>
  <c r="B95" i="6"/>
  <c r="C94" i="6"/>
  <c r="B94" i="6"/>
  <c r="D94" i="6" s="1"/>
  <c r="B93" i="6"/>
  <c r="B92" i="6"/>
  <c r="D104" i="6" s="1"/>
  <c r="B91" i="6"/>
  <c r="D91" i="6" s="1"/>
  <c r="B90" i="6"/>
  <c r="C90" i="6" s="1"/>
  <c r="B89" i="6"/>
  <c r="B88" i="6"/>
  <c r="B87" i="6"/>
  <c r="C87" i="6" s="1"/>
  <c r="D86" i="6"/>
  <c r="C86" i="6"/>
  <c r="B86" i="6"/>
  <c r="D98" i="6" s="1"/>
  <c r="B85" i="6"/>
  <c r="C85" i="6" s="1"/>
  <c r="B84" i="6"/>
  <c r="B83" i="6"/>
  <c r="D83" i="6" s="1"/>
  <c r="D82" i="6"/>
  <c r="B82" i="6"/>
  <c r="B81" i="6"/>
  <c r="B80" i="6"/>
  <c r="B79" i="6"/>
  <c r="C78" i="6"/>
  <c r="B78" i="6"/>
  <c r="B77" i="6"/>
  <c r="D76" i="6"/>
  <c r="B76" i="6"/>
  <c r="B75" i="6"/>
  <c r="D87" i="6" s="1"/>
  <c r="B74" i="6"/>
  <c r="D74" i="6" s="1"/>
  <c r="B73" i="6"/>
  <c r="C72" i="6"/>
  <c r="B72" i="6"/>
  <c r="D72" i="6" s="1"/>
  <c r="B71" i="6"/>
  <c r="D71" i="6" s="1"/>
  <c r="D70" i="6"/>
  <c r="B70" i="6"/>
  <c r="C70" i="6" s="1"/>
  <c r="D69" i="6"/>
  <c r="B69" i="6"/>
  <c r="B68" i="6"/>
  <c r="C68" i="6" s="1"/>
  <c r="B67" i="6"/>
  <c r="B66" i="6"/>
  <c r="D65" i="6"/>
  <c r="B65" i="6"/>
  <c r="B64" i="6"/>
  <c r="D63" i="6"/>
  <c r="B63" i="6"/>
  <c r="B62" i="6"/>
  <c r="B61" i="6"/>
  <c r="C61" i="6" s="1"/>
  <c r="D60" i="6"/>
  <c r="C60" i="6"/>
  <c r="B60" i="6"/>
  <c r="B59" i="6"/>
  <c r="C59" i="6" s="1"/>
  <c r="B58" i="6"/>
  <c r="B57" i="6"/>
  <c r="D56" i="6"/>
  <c r="C56" i="6"/>
  <c r="B56" i="6"/>
  <c r="B55" i="6"/>
  <c r="C55" i="6" s="1"/>
  <c r="D54" i="6"/>
  <c r="B54" i="6"/>
  <c r="B53" i="6"/>
  <c r="B52" i="6"/>
  <c r="B51" i="6"/>
  <c r="C50" i="6"/>
  <c r="B50" i="6"/>
  <c r="B49" i="6"/>
  <c r="D48" i="6"/>
  <c r="B48" i="6"/>
  <c r="B47" i="6"/>
  <c r="D46" i="6"/>
  <c r="B46" i="6"/>
  <c r="C46" i="6" s="1"/>
  <c r="B45" i="6"/>
  <c r="B44" i="6"/>
  <c r="D44" i="6" s="1"/>
  <c r="B43" i="6"/>
  <c r="D43" i="6" s="1"/>
  <c r="C42" i="6"/>
  <c r="B42" i="6"/>
  <c r="D41" i="6"/>
  <c r="B41" i="6"/>
  <c r="B40" i="6"/>
  <c r="B39" i="6"/>
  <c r="D39" i="6" s="1"/>
  <c r="B38" i="6"/>
  <c r="D38" i="6" s="1"/>
  <c r="B37" i="6"/>
  <c r="B36" i="6"/>
  <c r="B35" i="6"/>
  <c r="D35" i="6" s="1"/>
  <c r="D34" i="6"/>
  <c r="B34" i="6"/>
  <c r="B33" i="6"/>
  <c r="B32" i="6"/>
  <c r="C31" i="6"/>
  <c r="B31" i="6"/>
  <c r="B30" i="6"/>
  <c r="D30" i="6" s="1"/>
  <c r="D29" i="6"/>
  <c r="B29" i="6"/>
  <c r="C29" i="6" s="1"/>
  <c r="D28" i="6"/>
  <c r="C28" i="6"/>
  <c r="B28" i="6"/>
  <c r="C27" i="6"/>
  <c r="B27" i="6"/>
  <c r="D26" i="6"/>
  <c r="B26" i="6"/>
  <c r="D25" i="6"/>
  <c r="B25" i="6"/>
  <c r="C24" i="6"/>
  <c r="B24" i="6"/>
  <c r="D24" i="6" s="1"/>
  <c r="B23" i="6"/>
  <c r="D22" i="6"/>
  <c r="C22" i="6"/>
  <c r="B22" i="6"/>
  <c r="D21" i="6"/>
  <c r="B21" i="6"/>
  <c r="B20" i="6"/>
  <c r="D19" i="6"/>
  <c r="B19" i="6"/>
  <c r="C18" i="6"/>
  <c r="B18" i="6"/>
  <c r="C19" i="6" s="1"/>
  <c r="D17" i="6"/>
  <c r="B17" i="6"/>
  <c r="C16" i="6"/>
  <c r="B16" i="6"/>
  <c r="B15" i="6"/>
  <c r="C15" i="6" s="1"/>
  <c r="C14" i="6"/>
  <c r="B14" i="6"/>
  <c r="B13" i="6"/>
  <c r="B12" i="6"/>
  <c r="C12" i="6" s="1"/>
  <c r="B11" i="6"/>
  <c r="C11" i="6" s="1"/>
  <c r="C10" i="6"/>
  <c r="B10" i="6"/>
  <c r="B9" i="6"/>
  <c r="B8" i="6"/>
  <c r="C8" i="6" s="1"/>
  <c r="B7" i="6"/>
  <c r="B6" i="6"/>
  <c r="B5" i="6"/>
  <c r="C676" i="5"/>
  <c r="B676" i="5"/>
  <c r="D676" i="5" s="1"/>
  <c r="B675" i="5"/>
  <c r="D674" i="5"/>
  <c r="C674" i="5"/>
  <c r="B674" i="5"/>
  <c r="D673" i="5"/>
  <c r="C673" i="5"/>
  <c r="B673" i="5"/>
  <c r="B672" i="5"/>
  <c r="C671" i="5"/>
  <c r="B671" i="5"/>
  <c r="D670" i="5"/>
  <c r="C670" i="5"/>
  <c r="B670" i="5"/>
  <c r="D669" i="5"/>
  <c r="C669" i="5"/>
  <c r="B669" i="5"/>
  <c r="D668" i="5"/>
  <c r="B668" i="5"/>
  <c r="C667" i="5"/>
  <c r="B667" i="5"/>
  <c r="D666" i="5"/>
  <c r="C666" i="5"/>
  <c r="B666" i="5"/>
  <c r="D665" i="5"/>
  <c r="C665" i="5"/>
  <c r="B665" i="5"/>
  <c r="D664" i="5"/>
  <c r="C664" i="5"/>
  <c r="B664" i="5"/>
  <c r="B663" i="5"/>
  <c r="D662" i="5"/>
  <c r="C662" i="5"/>
  <c r="B662" i="5"/>
  <c r="D661" i="5"/>
  <c r="B661" i="5"/>
  <c r="B660" i="5"/>
  <c r="C661" i="5" s="1"/>
  <c r="C659" i="5"/>
  <c r="B659" i="5"/>
  <c r="D659" i="5" s="1"/>
  <c r="D658" i="5"/>
  <c r="C658" i="5"/>
  <c r="B658" i="5"/>
  <c r="D657" i="5"/>
  <c r="B657" i="5"/>
  <c r="B656" i="5"/>
  <c r="C657" i="5" s="1"/>
  <c r="B655" i="5"/>
  <c r="D655" i="5" s="1"/>
  <c r="D654" i="5"/>
  <c r="C654" i="5"/>
  <c r="B654" i="5"/>
  <c r="D653" i="5"/>
  <c r="B653" i="5"/>
  <c r="B652" i="5"/>
  <c r="C651" i="5"/>
  <c r="B651" i="5"/>
  <c r="D651" i="5" s="1"/>
  <c r="D650" i="5"/>
  <c r="C650" i="5"/>
  <c r="B650" i="5"/>
  <c r="D649" i="5"/>
  <c r="B649" i="5"/>
  <c r="B648" i="5"/>
  <c r="B647" i="5"/>
  <c r="D647" i="5" s="1"/>
  <c r="D646" i="5"/>
  <c r="C646" i="5"/>
  <c r="B646" i="5"/>
  <c r="D645" i="5"/>
  <c r="C645" i="5"/>
  <c r="B645" i="5"/>
  <c r="B644" i="5"/>
  <c r="C643" i="5"/>
  <c r="B643" i="5"/>
  <c r="D642" i="5"/>
  <c r="C642" i="5"/>
  <c r="B642" i="5"/>
  <c r="D641" i="5"/>
  <c r="C641" i="5"/>
  <c r="B641" i="5"/>
  <c r="C640" i="5"/>
  <c r="B640" i="5"/>
  <c r="B639" i="5"/>
  <c r="D638" i="5"/>
  <c r="C638" i="5"/>
  <c r="B638" i="5"/>
  <c r="D637" i="5"/>
  <c r="B637" i="5"/>
  <c r="B636" i="5"/>
  <c r="D636" i="5" s="1"/>
  <c r="C635" i="5"/>
  <c r="B635" i="5"/>
  <c r="D634" i="5"/>
  <c r="C634" i="5"/>
  <c r="B634" i="5"/>
  <c r="D633" i="5"/>
  <c r="B633" i="5"/>
  <c r="D632" i="5"/>
  <c r="C632" i="5"/>
  <c r="B632" i="5"/>
  <c r="C631" i="5"/>
  <c r="B631" i="5"/>
  <c r="D630" i="5"/>
  <c r="C630" i="5"/>
  <c r="B630" i="5"/>
  <c r="D629" i="5"/>
  <c r="B629" i="5"/>
  <c r="D628" i="5"/>
  <c r="C628" i="5"/>
  <c r="B628" i="5"/>
  <c r="C629" i="5" s="1"/>
  <c r="C627" i="5"/>
  <c r="B627" i="5"/>
  <c r="D626" i="5"/>
  <c r="C626" i="5"/>
  <c r="B626" i="5"/>
  <c r="D625" i="5"/>
  <c r="B625" i="5"/>
  <c r="B624" i="5"/>
  <c r="B623" i="5"/>
  <c r="D623" i="5" s="1"/>
  <c r="D622" i="5"/>
  <c r="C622" i="5"/>
  <c r="B622" i="5"/>
  <c r="D621" i="5"/>
  <c r="B621" i="5"/>
  <c r="B620" i="5"/>
  <c r="C619" i="5"/>
  <c r="B619" i="5"/>
  <c r="D619" i="5" s="1"/>
  <c r="D618" i="5"/>
  <c r="C618" i="5"/>
  <c r="B618" i="5"/>
  <c r="D617" i="5"/>
  <c r="C617" i="5"/>
  <c r="B617" i="5"/>
  <c r="B616" i="5"/>
  <c r="B615" i="5"/>
  <c r="D615" i="5" s="1"/>
  <c r="D614" i="5"/>
  <c r="C614" i="5"/>
  <c r="B614" i="5"/>
  <c r="D613" i="5"/>
  <c r="B613" i="5"/>
  <c r="C612" i="5"/>
  <c r="B612" i="5"/>
  <c r="C613" i="5" s="1"/>
  <c r="B611" i="5"/>
  <c r="D610" i="5"/>
  <c r="C610" i="5"/>
  <c r="B610" i="5"/>
  <c r="D609" i="5"/>
  <c r="B609" i="5"/>
  <c r="D608" i="5"/>
  <c r="B608" i="5"/>
  <c r="C609" i="5" s="1"/>
  <c r="C607" i="5"/>
  <c r="B607" i="5"/>
  <c r="D606" i="5"/>
  <c r="C606" i="5"/>
  <c r="B606" i="5"/>
  <c r="D605" i="5"/>
  <c r="C605" i="5"/>
  <c r="B605" i="5"/>
  <c r="C604" i="5"/>
  <c r="B604" i="5"/>
  <c r="C603" i="5"/>
  <c r="B603" i="5"/>
  <c r="D602" i="5"/>
  <c r="C602" i="5"/>
  <c r="B602" i="5"/>
  <c r="D601" i="5"/>
  <c r="C601" i="5"/>
  <c r="B601" i="5"/>
  <c r="B600" i="5"/>
  <c r="B599" i="5"/>
  <c r="D599" i="5" s="1"/>
  <c r="D598" i="5"/>
  <c r="C598" i="5"/>
  <c r="B598" i="5"/>
  <c r="D597" i="5"/>
  <c r="C597" i="5"/>
  <c r="B597" i="5"/>
  <c r="B596" i="5"/>
  <c r="B595" i="5"/>
  <c r="D594" i="5"/>
  <c r="C594" i="5"/>
  <c r="B594" i="5"/>
  <c r="D593" i="5"/>
  <c r="C593" i="5"/>
  <c r="B593" i="5"/>
  <c r="D592" i="5"/>
  <c r="B592" i="5"/>
  <c r="B591" i="5"/>
  <c r="D590" i="5"/>
  <c r="C590" i="5"/>
  <c r="B590" i="5"/>
  <c r="D589" i="5"/>
  <c r="C589" i="5"/>
  <c r="B589" i="5"/>
  <c r="C588" i="5"/>
  <c r="B588" i="5"/>
  <c r="D588" i="5" s="1"/>
  <c r="C587" i="5"/>
  <c r="B587" i="5"/>
  <c r="D586" i="5"/>
  <c r="C586" i="5"/>
  <c r="B586" i="5"/>
  <c r="D585" i="5"/>
  <c r="C585" i="5"/>
  <c r="B585" i="5"/>
  <c r="B584" i="5"/>
  <c r="C583" i="5"/>
  <c r="B583" i="5"/>
  <c r="D582" i="5"/>
  <c r="C582" i="5"/>
  <c r="B582" i="5"/>
  <c r="D581" i="5"/>
  <c r="C581" i="5"/>
  <c r="B581" i="5"/>
  <c r="B580" i="5"/>
  <c r="C579" i="5"/>
  <c r="B579" i="5"/>
  <c r="D579" i="5" s="1"/>
  <c r="D578" i="5"/>
  <c r="C578" i="5"/>
  <c r="B578" i="5"/>
  <c r="D577" i="5"/>
  <c r="C577" i="5"/>
  <c r="B577" i="5"/>
  <c r="D576" i="5"/>
  <c r="C576" i="5"/>
  <c r="B576" i="5"/>
  <c r="B575" i="5"/>
  <c r="D574" i="5"/>
  <c r="C574" i="5"/>
  <c r="B574" i="5"/>
  <c r="D573" i="5"/>
  <c r="B573" i="5"/>
  <c r="B572" i="5"/>
  <c r="C571" i="5"/>
  <c r="B571" i="5"/>
  <c r="D570" i="5"/>
  <c r="C570" i="5"/>
  <c r="B570" i="5"/>
  <c r="D569" i="5"/>
  <c r="B569" i="5"/>
  <c r="B568" i="5"/>
  <c r="C569" i="5" s="1"/>
  <c r="C567" i="5"/>
  <c r="B567" i="5"/>
  <c r="D566" i="5"/>
  <c r="C566" i="5"/>
  <c r="B566" i="5"/>
  <c r="D565" i="5"/>
  <c r="B565" i="5"/>
  <c r="B564" i="5"/>
  <c r="C565" i="5" s="1"/>
  <c r="B563" i="5"/>
  <c r="D563" i="5" s="1"/>
  <c r="D562" i="5"/>
  <c r="C562" i="5"/>
  <c r="B562" i="5"/>
  <c r="D561" i="5"/>
  <c r="B561" i="5"/>
  <c r="B560" i="5"/>
  <c r="C559" i="5"/>
  <c r="B559" i="5"/>
  <c r="D559" i="5" s="1"/>
  <c r="D558" i="5"/>
  <c r="C558" i="5"/>
  <c r="B558" i="5"/>
  <c r="D557" i="5"/>
  <c r="C557" i="5"/>
  <c r="B557" i="5"/>
  <c r="B556" i="5"/>
  <c r="D556" i="5" s="1"/>
  <c r="B555" i="5"/>
  <c r="D554" i="5"/>
  <c r="C554" i="5"/>
  <c r="B554" i="5"/>
  <c r="D553" i="5"/>
  <c r="C553" i="5"/>
  <c r="B553" i="5"/>
  <c r="B552" i="5"/>
  <c r="C551" i="5"/>
  <c r="B551" i="5"/>
  <c r="D551" i="5" s="1"/>
  <c r="D550" i="5"/>
  <c r="C550" i="5"/>
  <c r="B550" i="5"/>
  <c r="D549" i="5"/>
  <c r="C549" i="5"/>
  <c r="B549" i="5"/>
  <c r="B548" i="5"/>
  <c r="C547" i="5"/>
  <c r="B547" i="5"/>
  <c r="D546" i="5"/>
  <c r="C546" i="5"/>
  <c r="B546" i="5"/>
  <c r="D545" i="5"/>
  <c r="C545" i="5"/>
  <c r="B545" i="5"/>
  <c r="D544" i="5"/>
  <c r="C544" i="5"/>
  <c r="B544" i="5"/>
  <c r="B543" i="5"/>
  <c r="D542" i="5"/>
  <c r="C542" i="5"/>
  <c r="B542" i="5"/>
  <c r="D541" i="5"/>
  <c r="B541" i="5"/>
  <c r="C540" i="5"/>
  <c r="B540" i="5"/>
  <c r="C541" i="5" s="1"/>
  <c r="C539" i="5"/>
  <c r="B539" i="5"/>
  <c r="D538" i="5"/>
  <c r="C538" i="5"/>
  <c r="B538" i="5"/>
  <c r="D537" i="5"/>
  <c r="B537" i="5"/>
  <c r="B536" i="5"/>
  <c r="C535" i="5"/>
  <c r="B535" i="5"/>
  <c r="D534" i="5"/>
  <c r="C534" i="5"/>
  <c r="B534" i="5"/>
  <c r="D533" i="5"/>
  <c r="B533" i="5"/>
  <c r="B532" i="5"/>
  <c r="D531" i="5"/>
  <c r="C531" i="5"/>
  <c r="B531" i="5"/>
  <c r="D530" i="5"/>
  <c r="C530" i="5"/>
  <c r="B530" i="5"/>
  <c r="D529" i="5"/>
  <c r="B529" i="5"/>
  <c r="B528" i="5"/>
  <c r="D540" i="5" s="1"/>
  <c r="D527" i="5"/>
  <c r="C527" i="5"/>
  <c r="B527" i="5"/>
  <c r="D526" i="5"/>
  <c r="C526" i="5"/>
  <c r="B526" i="5"/>
  <c r="D525" i="5"/>
  <c r="B525" i="5"/>
  <c r="B524" i="5"/>
  <c r="D523" i="5"/>
  <c r="C523" i="5"/>
  <c r="B523" i="5"/>
  <c r="D522" i="5"/>
  <c r="C522" i="5"/>
  <c r="B522" i="5"/>
  <c r="D521" i="5"/>
  <c r="B521" i="5"/>
  <c r="B520" i="5"/>
  <c r="D519" i="5"/>
  <c r="C519" i="5"/>
  <c r="B519" i="5"/>
  <c r="D518" i="5"/>
  <c r="C518" i="5"/>
  <c r="B518" i="5"/>
  <c r="D517" i="5"/>
  <c r="B517" i="5"/>
  <c r="B516" i="5"/>
  <c r="D515" i="5"/>
  <c r="C515" i="5"/>
  <c r="B515" i="5"/>
  <c r="D514" i="5"/>
  <c r="C514" i="5"/>
  <c r="B514" i="5"/>
  <c r="D513" i="5"/>
  <c r="B513" i="5"/>
  <c r="B512" i="5"/>
  <c r="D511" i="5"/>
  <c r="C511" i="5"/>
  <c r="B511" i="5"/>
  <c r="D510" i="5"/>
  <c r="C510" i="5"/>
  <c r="B510" i="5"/>
  <c r="D509" i="5"/>
  <c r="B509" i="5"/>
  <c r="B508" i="5"/>
  <c r="D507" i="5"/>
  <c r="C507" i="5"/>
  <c r="B507" i="5"/>
  <c r="D506" i="5"/>
  <c r="C506" i="5"/>
  <c r="B506" i="5"/>
  <c r="D505" i="5"/>
  <c r="B505" i="5"/>
  <c r="B504" i="5"/>
  <c r="D503" i="5"/>
  <c r="C503" i="5"/>
  <c r="B503" i="5"/>
  <c r="D502" i="5"/>
  <c r="C502" i="5"/>
  <c r="B502" i="5"/>
  <c r="D501" i="5"/>
  <c r="B501" i="5"/>
  <c r="B500" i="5"/>
  <c r="D499" i="5"/>
  <c r="C499" i="5"/>
  <c r="B499" i="5"/>
  <c r="D498" i="5"/>
  <c r="C498" i="5"/>
  <c r="B498" i="5"/>
  <c r="D497" i="5"/>
  <c r="B497" i="5"/>
  <c r="B496" i="5"/>
  <c r="D495" i="5"/>
  <c r="C495" i="5"/>
  <c r="B495" i="5"/>
  <c r="D494" i="5"/>
  <c r="C494" i="5"/>
  <c r="B494" i="5"/>
  <c r="D493" i="5"/>
  <c r="B493" i="5"/>
  <c r="B492" i="5"/>
  <c r="D491" i="5"/>
  <c r="C491" i="5"/>
  <c r="B491" i="5"/>
  <c r="D490" i="5"/>
  <c r="C490" i="5"/>
  <c r="B490" i="5"/>
  <c r="D489" i="5"/>
  <c r="B489" i="5"/>
  <c r="B488" i="5"/>
  <c r="D487" i="5"/>
  <c r="C487" i="5"/>
  <c r="B487" i="5"/>
  <c r="D486" i="5"/>
  <c r="C486" i="5"/>
  <c r="B486" i="5"/>
  <c r="D485" i="5"/>
  <c r="B485" i="5"/>
  <c r="B484" i="5"/>
  <c r="D483" i="5"/>
  <c r="C483" i="5"/>
  <c r="B483" i="5"/>
  <c r="D482" i="5"/>
  <c r="C482" i="5"/>
  <c r="B482" i="5"/>
  <c r="D481" i="5"/>
  <c r="B481" i="5"/>
  <c r="B480" i="5"/>
  <c r="D479" i="5"/>
  <c r="C479" i="5"/>
  <c r="B479" i="5"/>
  <c r="D478" i="5"/>
  <c r="C478" i="5"/>
  <c r="B478" i="5"/>
  <c r="D477" i="5"/>
  <c r="B477" i="5"/>
  <c r="B476" i="5"/>
  <c r="D475" i="5"/>
  <c r="C475" i="5"/>
  <c r="B475" i="5"/>
  <c r="D474" i="5"/>
  <c r="C474" i="5"/>
  <c r="B474" i="5"/>
  <c r="D473" i="5"/>
  <c r="B473" i="5"/>
  <c r="B472" i="5"/>
  <c r="D471" i="5"/>
  <c r="C471" i="5"/>
  <c r="B471" i="5"/>
  <c r="D470" i="5"/>
  <c r="C470" i="5"/>
  <c r="B470" i="5"/>
  <c r="D469" i="5"/>
  <c r="B469" i="5"/>
  <c r="B468" i="5"/>
  <c r="D467" i="5"/>
  <c r="C467" i="5"/>
  <c r="B467" i="5"/>
  <c r="D466" i="5"/>
  <c r="C466" i="5"/>
  <c r="B466" i="5"/>
  <c r="D465" i="5"/>
  <c r="B465" i="5"/>
  <c r="B464" i="5"/>
  <c r="D463" i="5"/>
  <c r="C463" i="5"/>
  <c r="B463" i="5"/>
  <c r="D462" i="5"/>
  <c r="C462" i="5"/>
  <c r="B462" i="5"/>
  <c r="D461" i="5"/>
  <c r="B461" i="5"/>
  <c r="B460" i="5"/>
  <c r="D459" i="5"/>
  <c r="C459" i="5"/>
  <c r="B459" i="5"/>
  <c r="D458" i="5"/>
  <c r="C458" i="5"/>
  <c r="B458" i="5"/>
  <c r="D457" i="5"/>
  <c r="B457" i="5"/>
  <c r="B456" i="5"/>
  <c r="D455" i="5"/>
  <c r="C455" i="5"/>
  <c r="B455" i="5"/>
  <c r="D454" i="5"/>
  <c r="C454" i="5"/>
  <c r="B454" i="5"/>
  <c r="D453" i="5"/>
  <c r="B453" i="5"/>
  <c r="B452" i="5"/>
  <c r="D451" i="5"/>
  <c r="C451" i="5"/>
  <c r="B451" i="5"/>
  <c r="D450" i="5"/>
  <c r="C450" i="5"/>
  <c r="B450" i="5"/>
  <c r="D449" i="5"/>
  <c r="B449" i="5"/>
  <c r="B448" i="5"/>
  <c r="D447" i="5"/>
  <c r="C447" i="5"/>
  <c r="B447" i="5"/>
  <c r="D446" i="5"/>
  <c r="C446" i="5"/>
  <c r="B446" i="5"/>
  <c r="D445" i="5"/>
  <c r="B445" i="5"/>
  <c r="B444" i="5"/>
  <c r="D443" i="5"/>
  <c r="C443" i="5"/>
  <c r="B443" i="5"/>
  <c r="D442" i="5"/>
  <c r="C442" i="5"/>
  <c r="B442" i="5"/>
  <c r="D441" i="5"/>
  <c r="B441" i="5"/>
  <c r="B440" i="5"/>
  <c r="D439" i="5"/>
  <c r="C439" i="5"/>
  <c r="B439" i="5"/>
  <c r="D438" i="5"/>
  <c r="C438" i="5"/>
  <c r="B438" i="5"/>
  <c r="D437" i="5"/>
  <c r="B437" i="5"/>
  <c r="B436" i="5"/>
  <c r="D435" i="5"/>
  <c r="C435" i="5"/>
  <c r="B435" i="5"/>
  <c r="D434" i="5"/>
  <c r="C434" i="5"/>
  <c r="B434" i="5"/>
  <c r="D433" i="5"/>
  <c r="B433" i="5"/>
  <c r="B432" i="5"/>
  <c r="D431" i="5"/>
  <c r="C431" i="5"/>
  <c r="B431" i="5"/>
  <c r="D430" i="5"/>
  <c r="C430" i="5"/>
  <c r="B430" i="5"/>
  <c r="D429" i="5"/>
  <c r="B429" i="5"/>
  <c r="B428" i="5"/>
  <c r="D427" i="5"/>
  <c r="C427" i="5"/>
  <c r="B427" i="5"/>
  <c r="D426" i="5"/>
  <c r="C426" i="5"/>
  <c r="B426" i="5"/>
  <c r="D425" i="5"/>
  <c r="B425" i="5"/>
  <c r="B424" i="5"/>
  <c r="D423" i="5"/>
  <c r="C423" i="5"/>
  <c r="B423" i="5"/>
  <c r="D422" i="5"/>
  <c r="C422" i="5"/>
  <c r="B422" i="5"/>
  <c r="D421" i="5"/>
  <c r="B421" i="5"/>
  <c r="B420" i="5"/>
  <c r="D419" i="5"/>
  <c r="C419" i="5"/>
  <c r="B419" i="5"/>
  <c r="D418" i="5"/>
  <c r="C418" i="5"/>
  <c r="B418" i="5"/>
  <c r="D417" i="5"/>
  <c r="B417" i="5"/>
  <c r="B416" i="5"/>
  <c r="D415" i="5"/>
  <c r="C415" i="5"/>
  <c r="B415" i="5"/>
  <c r="D414" i="5"/>
  <c r="C414" i="5"/>
  <c r="B414" i="5"/>
  <c r="D413" i="5"/>
  <c r="B413" i="5"/>
  <c r="B412" i="5"/>
  <c r="D411" i="5"/>
  <c r="C411" i="5"/>
  <c r="B411" i="5"/>
  <c r="D410" i="5"/>
  <c r="C410" i="5"/>
  <c r="B410" i="5"/>
  <c r="D409" i="5"/>
  <c r="B409" i="5"/>
  <c r="B408" i="5"/>
  <c r="D407" i="5"/>
  <c r="C407" i="5"/>
  <c r="B407" i="5"/>
  <c r="D406" i="5"/>
  <c r="C406" i="5"/>
  <c r="B406" i="5"/>
  <c r="D405" i="5"/>
  <c r="B405" i="5"/>
  <c r="B404" i="5"/>
  <c r="D403" i="5"/>
  <c r="C403" i="5"/>
  <c r="B403" i="5"/>
  <c r="D402" i="5"/>
  <c r="C402" i="5"/>
  <c r="B402" i="5"/>
  <c r="D401" i="5"/>
  <c r="B401" i="5"/>
  <c r="B400" i="5"/>
  <c r="D399" i="5"/>
  <c r="C399" i="5"/>
  <c r="B399" i="5"/>
  <c r="D398" i="5"/>
  <c r="C398" i="5"/>
  <c r="B398" i="5"/>
  <c r="D397" i="5"/>
  <c r="B397" i="5"/>
  <c r="B396" i="5"/>
  <c r="D395" i="5"/>
  <c r="C395" i="5"/>
  <c r="B395" i="5"/>
  <c r="D394" i="5"/>
  <c r="C394" i="5"/>
  <c r="B394" i="5"/>
  <c r="D393" i="5"/>
  <c r="B393" i="5"/>
  <c r="B392" i="5"/>
  <c r="D391" i="5"/>
  <c r="C391" i="5"/>
  <c r="B391" i="5"/>
  <c r="D390" i="5"/>
  <c r="C390" i="5"/>
  <c r="B390" i="5"/>
  <c r="D389" i="5"/>
  <c r="B389" i="5"/>
  <c r="B388" i="5"/>
  <c r="D387" i="5"/>
  <c r="C387" i="5"/>
  <c r="B387" i="5"/>
  <c r="D386" i="5"/>
  <c r="C386" i="5"/>
  <c r="B386" i="5"/>
  <c r="D385" i="5"/>
  <c r="B385" i="5"/>
  <c r="B384" i="5"/>
  <c r="D383" i="5"/>
  <c r="C383" i="5"/>
  <c r="B383" i="5"/>
  <c r="D382" i="5"/>
  <c r="C382" i="5"/>
  <c r="B382" i="5"/>
  <c r="D381" i="5"/>
  <c r="B381" i="5"/>
  <c r="B380" i="5"/>
  <c r="D379" i="5"/>
  <c r="C379" i="5"/>
  <c r="B379" i="5"/>
  <c r="D378" i="5"/>
  <c r="C378" i="5"/>
  <c r="B378" i="5"/>
  <c r="D377" i="5"/>
  <c r="B377" i="5"/>
  <c r="B376" i="5"/>
  <c r="D375" i="5"/>
  <c r="C375" i="5"/>
  <c r="B375" i="5"/>
  <c r="D374" i="5"/>
  <c r="C374" i="5"/>
  <c r="B374" i="5"/>
  <c r="D373" i="5"/>
  <c r="B373" i="5"/>
  <c r="B372" i="5"/>
  <c r="D371" i="5"/>
  <c r="C371" i="5"/>
  <c r="B371" i="5"/>
  <c r="D370" i="5"/>
  <c r="C370" i="5"/>
  <c r="B370" i="5"/>
  <c r="D369" i="5"/>
  <c r="B369" i="5"/>
  <c r="B368" i="5"/>
  <c r="D367" i="5"/>
  <c r="C367" i="5"/>
  <c r="B367" i="5"/>
  <c r="D366" i="5"/>
  <c r="C366" i="5"/>
  <c r="B366" i="5"/>
  <c r="D365" i="5"/>
  <c r="B365" i="5"/>
  <c r="B364" i="5"/>
  <c r="D363" i="5"/>
  <c r="C363" i="5"/>
  <c r="B363" i="5"/>
  <c r="D362" i="5"/>
  <c r="C362" i="5"/>
  <c r="B362" i="5"/>
  <c r="D361" i="5"/>
  <c r="B361" i="5"/>
  <c r="B360" i="5"/>
  <c r="D359" i="5"/>
  <c r="C359" i="5"/>
  <c r="B359" i="5"/>
  <c r="D358" i="5"/>
  <c r="C358" i="5"/>
  <c r="B358" i="5"/>
  <c r="D357" i="5"/>
  <c r="B357" i="5"/>
  <c r="B356" i="5"/>
  <c r="D355" i="5"/>
  <c r="C355" i="5"/>
  <c r="B355" i="5"/>
  <c r="D354" i="5"/>
  <c r="C354" i="5"/>
  <c r="B354" i="5"/>
  <c r="D353" i="5"/>
  <c r="B353" i="5"/>
  <c r="B352" i="5"/>
  <c r="D351" i="5"/>
  <c r="C351" i="5"/>
  <c r="B351" i="5"/>
  <c r="D350" i="5"/>
  <c r="C350" i="5"/>
  <c r="B350" i="5"/>
  <c r="D349" i="5"/>
  <c r="B349" i="5"/>
  <c r="B348" i="5"/>
  <c r="D347" i="5"/>
  <c r="C347" i="5"/>
  <c r="B347" i="5"/>
  <c r="D346" i="5"/>
  <c r="C346" i="5"/>
  <c r="B346" i="5"/>
  <c r="D345" i="5"/>
  <c r="B345" i="5"/>
  <c r="B344" i="5"/>
  <c r="D343" i="5"/>
  <c r="C343" i="5"/>
  <c r="B343" i="5"/>
  <c r="D342" i="5"/>
  <c r="C342" i="5"/>
  <c r="B342" i="5"/>
  <c r="D341" i="5"/>
  <c r="B341" i="5"/>
  <c r="B340" i="5"/>
  <c r="D339" i="5"/>
  <c r="C339" i="5"/>
  <c r="B339" i="5"/>
  <c r="D338" i="5"/>
  <c r="C338" i="5"/>
  <c r="B338" i="5"/>
  <c r="D337" i="5"/>
  <c r="B337" i="5"/>
  <c r="B336" i="5"/>
  <c r="D335" i="5"/>
  <c r="C335" i="5"/>
  <c r="B335" i="5"/>
  <c r="D334" i="5"/>
  <c r="C334" i="5"/>
  <c r="B334" i="5"/>
  <c r="D333" i="5"/>
  <c r="B333" i="5"/>
  <c r="B332" i="5"/>
  <c r="D331" i="5"/>
  <c r="C331" i="5"/>
  <c r="B331" i="5"/>
  <c r="D330" i="5"/>
  <c r="C330" i="5"/>
  <c r="B330" i="5"/>
  <c r="D329" i="5"/>
  <c r="B329" i="5"/>
  <c r="B328" i="5"/>
  <c r="D327" i="5"/>
  <c r="C327" i="5"/>
  <c r="B327" i="5"/>
  <c r="D326" i="5"/>
  <c r="C326" i="5"/>
  <c r="B326" i="5"/>
  <c r="D325" i="5"/>
  <c r="B325" i="5"/>
  <c r="B324" i="5"/>
  <c r="D323" i="5"/>
  <c r="C323" i="5"/>
  <c r="B323" i="5"/>
  <c r="D322" i="5"/>
  <c r="C322" i="5"/>
  <c r="B322" i="5"/>
  <c r="D321" i="5"/>
  <c r="B321" i="5"/>
  <c r="B320" i="5"/>
  <c r="D319" i="5"/>
  <c r="C319" i="5"/>
  <c r="B319" i="5"/>
  <c r="D318" i="5"/>
  <c r="C318" i="5"/>
  <c r="B318" i="5"/>
  <c r="D317" i="5"/>
  <c r="B317" i="5"/>
  <c r="B316" i="5"/>
  <c r="D315" i="5"/>
  <c r="C315" i="5"/>
  <c r="B315" i="5"/>
  <c r="D314" i="5"/>
  <c r="C314" i="5"/>
  <c r="B314" i="5"/>
  <c r="D313" i="5"/>
  <c r="B313" i="5"/>
  <c r="B312" i="5"/>
  <c r="D311" i="5"/>
  <c r="C311" i="5"/>
  <c r="B311" i="5"/>
  <c r="D310" i="5"/>
  <c r="C310" i="5"/>
  <c r="B310" i="5"/>
  <c r="D309" i="5"/>
  <c r="B309" i="5"/>
  <c r="B308" i="5"/>
  <c r="D307" i="5"/>
  <c r="C307" i="5"/>
  <c r="B307" i="5"/>
  <c r="D306" i="5"/>
  <c r="C306" i="5"/>
  <c r="B306" i="5"/>
  <c r="D305" i="5"/>
  <c r="B305" i="5"/>
  <c r="B304" i="5"/>
  <c r="D303" i="5"/>
  <c r="C303" i="5"/>
  <c r="B303" i="5"/>
  <c r="D302" i="5"/>
  <c r="C302" i="5"/>
  <c r="B302" i="5"/>
  <c r="D301" i="5"/>
  <c r="B301" i="5"/>
  <c r="B300" i="5"/>
  <c r="D299" i="5"/>
  <c r="C299" i="5"/>
  <c r="B299" i="5"/>
  <c r="D298" i="5"/>
  <c r="C298" i="5"/>
  <c r="B298" i="5"/>
  <c r="D297" i="5"/>
  <c r="B297" i="5"/>
  <c r="B296" i="5"/>
  <c r="D295" i="5"/>
  <c r="C295" i="5"/>
  <c r="B295" i="5"/>
  <c r="D294" i="5"/>
  <c r="C294" i="5"/>
  <c r="B294" i="5"/>
  <c r="D293" i="5"/>
  <c r="B293" i="5"/>
  <c r="B292" i="5"/>
  <c r="D291" i="5"/>
  <c r="C291" i="5"/>
  <c r="B291" i="5"/>
  <c r="D290" i="5"/>
  <c r="C290" i="5"/>
  <c r="B290" i="5"/>
  <c r="D289" i="5"/>
  <c r="B289" i="5"/>
  <c r="B288" i="5"/>
  <c r="D287" i="5"/>
  <c r="C287" i="5"/>
  <c r="B287" i="5"/>
  <c r="D286" i="5"/>
  <c r="C286" i="5"/>
  <c r="B286" i="5"/>
  <c r="D285" i="5"/>
  <c r="B285" i="5"/>
  <c r="B284" i="5"/>
  <c r="D283" i="5"/>
  <c r="C283" i="5"/>
  <c r="B283" i="5"/>
  <c r="D282" i="5"/>
  <c r="C282" i="5"/>
  <c r="B282" i="5"/>
  <c r="D281" i="5"/>
  <c r="B281" i="5"/>
  <c r="B280" i="5"/>
  <c r="D279" i="5"/>
  <c r="C279" i="5"/>
  <c r="B279" i="5"/>
  <c r="D278" i="5"/>
  <c r="C278" i="5"/>
  <c r="B278" i="5"/>
  <c r="D277" i="5"/>
  <c r="B277" i="5"/>
  <c r="B276" i="5"/>
  <c r="D275" i="5"/>
  <c r="C275" i="5"/>
  <c r="B275" i="5"/>
  <c r="D274" i="5"/>
  <c r="C274" i="5"/>
  <c r="B274" i="5"/>
  <c r="D273" i="5"/>
  <c r="B273" i="5"/>
  <c r="B272" i="5"/>
  <c r="D271" i="5"/>
  <c r="C271" i="5"/>
  <c r="B271" i="5"/>
  <c r="D270" i="5"/>
  <c r="C270" i="5"/>
  <c r="B270" i="5"/>
  <c r="D269" i="5"/>
  <c r="B269" i="5"/>
  <c r="B268" i="5"/>
  <c r="D267" i="5"/>
  <c r="C267" i="5"/>
  <c r="B267" i="5"/>
  <c r="D266" i="5"/>
  <c r="C266" i="5"/>
  <c r="B266" i="5"/>
  <c r="D265" i="5"/>
  <c r="B265" i="5"/>
  <c r="B264" i="5"/>
  <c r="D263" i="5"/>
  <c r="C263" i="5"/>
  <c r="B263" i="5"/>
  <c r="D262" i="5"/>
  <c r="C262" i="5"/>
  <c r="B262" i="5"/>
  <c r="D261" i="5"/>
  <c r="B261" i="5"/>
  <c r="B260" i="5"/>
  <c r="D259" i="5"/>
  <c r="C259" i="5"/>
  <c r="B259" i="5"/>
  <c r="D258" i="5"/>
  <c r="C258" i="5"/>
  <c r="B258" i="5"/>
  <c r="D257" i="5"/>
  <c r="B257" i="5"/>
  <c r="B256" i="5"/>
  <c r="D255" i="5"/>
  <c r="C255" i="5"/>
  <c r="B255" i="5"/>
  <c r="D254" i="5"/>
  <c r="C254" i="5"/>
  <c r="B254" i="5"/>
  <c r="D253" i="5"/>
  <c r="B253" i="5"/>
  <c r="B252" i="5"/>
  <c r="D251" i="5"/>
  <c r="C251" i="5"/>
  <c r="B251" i="5"/>
  <c r="D250" i="5"/>
  <c r="C250" i="5"/>
  <c r="B250" i="5"/>
  <c r="D249" i="5"/>
  <c r="B249" i="5"/>
  <c r="B248" i="5"/>
  <c r="D247" i="5"/>
  <c r="C247" i="5"/>
  <c r="B247" i="5"/>
  <c r="D246" i="5"/>
  <c r="C246" i="5"/>
  <c r="B246" i="5"/>
  <c r="D245" i="5"/>
  <c r="B245" i="5"/>
  <c r="B244" i="5"/>
  <c r="D243" i="5"/>
  <c r="C243" i="5"/>
  <c r="B243" i="5"/>
  <c r="D242" i="5"/>
  <c r="C242" i="5"/>
  <c r="B242" i="5"/>
  <c r="D241" i="5"/>
  <c r="B241" i="5"/>
  <c r="B240" i="5"/>
  <c r="D239" i="5"/>
  <c r="C239" i="5"/>
  <c r="B239" i="5"/>
  <c r="D238" i="5"/>
  <c r="C238" i="5"/>
  <c r="B238" i="5"/>
  <c r="D237" i="5"/>
  <c r="B237" i="5"/>
  <c r="B236" i="5"/>
  <c r="D235" i="5"/>
  <c r="C235" i="5"/>
  <c r="B235" i="5"/>
  <c r="D234" i="5"/>
  <c r="C234" i="5"/>
  <c r="B234" i="5"/>
  <c r="D233" i="5"/>
  <c r="B233" i="5"/>
  <c r="B232" i="5"/>
  <c r="D231" i="5"/>
  <c r="C231" i="5"/>
  <c r="B231" i="5"/>
  <c r="D230" i="5"/>
  <c r="C230" i="5"/>
  <c r="B230" i="5"/>
  <c r="D229" i="5"/>
  <c r="B229" i="5"/>
  <c r="B228" i="5"/>
  <c r="D227" i="5"/>
  <c r="C227" i="5"/>
  <c r="B227" i="5"/>
  <c r="D226" i="5"/>
  <c r="C226" i="5"/>
  <c r="B226" i="5"/>
  <c r="D225" i="5"/>
  <c r="B225" i="5"/>
  <c r="B224" i="5"/>
  <c r="D223" i="5"/>
  <c r="C223" i="5"/>
  <c r="B223" i="5"/>
  <c r="D222" i="5"/>
  <c r="C222" i="5"/>
  <c r="B222" i="5"/>
  <c r="D221" i="5"/>
  <c r="B221" i="5"/>
  <c r="B220" i="5"/>
  <c r="D219" i="5"/>
  <c r="C219" i="5"/>
  <c r="B219" i="5"/>
  <c r="D218" i="5"/>
  <c r="C218" i="5"/>
  <c r="B218" i="5"/>
  <c r="D217" i="5"/>
  <c r="B217" i="5"/>
  <c r="B216" i="5"/>
  <c r="D215" i="5"/>
  <c r="C215" i="5"/>
  <c r="B215" i="5"/>
  <c r="D214" i="5"/>
  <c r="C214" i="5"/>
  <c r="B214" i="5"/>
  <c r="D213" i="5"/>
  <c r="B213" i="5"/>
  <c r="B212" i="5"/>
  <c r="D211" i="5"/>
  <c r="C211" i="5"/>
  <c r="B211" i="5"/>
  <c r="D210" i="5"/>
  <c r="C210" i="5"/>
  <c r="B210" i="5"/>
  <c r="D209" i="5"/>
  <c r="B209" i="5"/>
  <c r="B208" i="5"/>
  <c r="D207" i="5"/>
  <c r="C207" i="5"/>
  <c r="B207" i="5"/>
  <c r="D206" i="5"/>
  <c r="C206" i="5"/>
  <c r="B206" i="5"/>
  <c r="D205" i="5"/>
  <c r="B205" i="5"/>
  <c r="B204" i="5"/>
  <c r="D203" i="5"/>
  <c r="C203" i="5"/>
  <c r="B203" i="5"/>
  <c r="D202" i="5"/>
  <c r="C202" i="5"/>
  <c r="B202" i="5"/>
  <c r="D201" i="5"/>
  <c r="B201" i="5"/>
  <c r="B200" i="5"/>
  <c r="D199" i="5"/>
  <c r="C199" i="5"/>
  <c r="B199" i="5"/>
  <c r="D198" i="5"/>
  <c r="C198" i="5"/>
  <c r="B198" i="5"/>
  <c r="D197" i="5"/>
  <c r="B197" i="5"/>
  <c r="B196" i="5"/>
  <c r="D195" i="5"/>
  <c r="C195" i="5"/>
  <c r="B195" i="5"/>
  <c r="D194" i="5"/>
  <c r="C194" i="5"/>
  <c r="B194" i="5"/>
  <c r="D193" i="5"/>
  <c r="B193" i="5"/>
  <c r="B192" i="5"/>
  <c r="D191" i="5"/>
  <c r="C191" i="5"/>
  <c r="B191" i="5"/>
  <c r="D190" i="5"/>
  <c r="C190" i="5"/>
  <c r="B190" i="5"/>
  <c r="D189" i="5"/>
  <c r="B189" i="5"/>
  <c r="B188" i="5"/>
  <c r="D187" i="5"/>
  <c r="C187" i="5"/>
  <c r="B187" i="5"/>
  <c r="D186" i="5"/>
  <c r="C186" i="5"/>
  <c r="B186" i="5"/>
  <c r="D185" i="5"/>
  <c r="B185" i="5"/>
  <c r="B184" i="5"/>
  <c r="D183" i="5"/>
  <c r="C183" i="5"/>
  <c r="B183" i="5"/>
  <c r="D182" i="5"/>
  <c r="C182" i="5"/>
  <c r="B182" i="5"/>
  <c r="D181" i="5"/>
  <c r="B181" i="5"/>
  <c r="B180" i="5"/>
  <c r="D179" i="5"/>
  <c r="C179" i="5"/>
  <c r="B179" i="5"/>
  <c r="D178" i="5"/>
  <c r="C178" i="5"/>
  <c r="B178" i="5"/>
  <c r="D177" i="5"/>
  <c r="B177" i="5"/>
  <c r="B176" i="5"/>
  <c r="D175" i="5"/>
  <c r="C175" i="5"/>
  <c r="B175" i="5"/>
  <c r="D174" i="5"/>
  <c r="C174" i="5"/>
  <c r="B174" i="5"/>
  <c r="D173" i="5"/>
  <c r="B173" i="5"/>
  <c r="B172" i="5"/>
  <c r="D171" i="5"/>
  <c r="C171" i="5"/>
  <c r="B171" i="5"/>
  <c r="D170" i="5"/>
  <c r="C170" i="5"/>
  <c r="B170" i="5"/>
  <c r="D169" i="5"/>
  <c r="B169" i="5"/>
  <c r="B168" i="5"/>
  <c r="D167" i="5"/>
  <c r="C167" i="5"/>
  <c r="B167" i="5"/>
  <c r="D166" i="5"/>
  <c r="C166" i="5"/>
  <c r="B166" i="5"/>
  <c r="D165" i="5"/>
  <c r="B165" i="5"/>
  <c r="B164" i="5"/>
  <c r="D163" i="5"/>
  <c r="C163" i="5"/>
  <c r="B163" i="5"/>
  <c r="D162" i="5"/>
  <c r="C162" i="5"/>
  <c r="B162" i="5"/>
  <c r="D161" i="5"/>
  <c r="B161" i="5"/>
  <c r="B160" i="5"/>
  <c r="D159" i="5"/>
  <c r="C159" i="5"/>
  <c r="B159" i="5"/>
  <c r="D158" i="5"/>
  <c r="C158" i="5"/>
  <c r="B158" i="5"/>
  <c r="D157" i="5"/>
  <c r="B157" i="5"/>
  <c r="B156" i="5"/>
  <c r="D155" i="5"/>
  <c r="C155" i="5"/>
  <c r="B155" i="5"/>
  <c r="D154" i="5"/>
  <c r="C154" i="5"/>
  <c r="B154" i="5"/>
  <c r="D153" i="5"/>
  <c r="B153" i="5"/>
  <c r="B152" i="5"/>
  <c r="D151" i="5"/>
  <c r="C151" i="5"/>
  <c r="B151" i="5"/>
  <c r="D150" i="5"/>
  <c r="C150" i="5"/>
  <c r="B150" i="5"/>
  <c r="D149" i="5"/>
  <c r="B149" i="5"/>
  <c r="B148" i="5"/>
  <c r="D147" i="5"/>
  <c r="C147" i="5"/>
  <c r="B147" i="5"/>
  <c r="D146" i="5"/>
  <c r="C146" i="5"/>
  <c r="B146" i="5"/>
  <c r="D145" i="5"/>
  <c r="B145" i="5"/>
  <c r="B144" i="5"/>
  <c r="D143" i="5"/>
  <c r="C143" i="5"/>
  <c r="B143" i="5"/>
  <c r="D142" i="5"/>
  <c r="C142" i="5"/>
  <c r="B142" i="5"/>
  <c r="D141" i="5"/>
  <c r="B141" i="5"/>
  <c r="B140" i="5"/>
  <c r="D139" i="5"/>
  <c r="C139" i="5"/>
  <c r="B139" i="5"/>
  <c r="D138" i="5"/>
  <c r="C138" i="5"/>
  <c r="B138" i="5"/>
  <c r="D137" i="5"/>
  <c r="B137" i="5"/>
  <c r="B136" i="5"/>
  <c r="D135" i="5"/>
  <c r="C135" i="5"/>
  <c r="B135" i="5"/>
  <c r="D134" i="5"/>
  <c r="C134" i="5"/>
  <c r="B134" i="5"/>
  <c r="D133" i="5"/>
  <c r="B133" i="5"/>
  <c r="B132" i="5"/>
  <c r="D131" i="5"/>
  <c r="C131" i="5"/>
  <c r="B131" i="5"/>
  <c r="D130" i="5"/>
  <c r="C130" i="5"/>
  <c r="B130" i="5"/>
  <c r="D129" i="5"/>
  <c r="B129" i="5"/>
  <c r="B128" i="5"/>
  <c r="D127" i="5"/>
  <c r="C127" i="5"/>
  <c r="B127" i="5"/>
  <c r="D126" i="5"/>
  <c r="C126" i="5"/>
  <c r="B126" i="5"/>
  <c r="D125" i="5"/>
  <c r="B125" i="5"/>
  <c r="B124" i="5"/>
  <c r="D123" i="5"/>
  <c r="C123" i="5"/>
  <c r="B123" i="5"/>
  <c r="D122" i="5"/>
  <c r="C122" i="5"/>
  <c r="B122" i="5"/>
  <c r="D121" i="5"/>
  <c r="B121" i="5"/>
  <c r="B120" i="5"/>
  <c r="D119" i="5"/>
  <c r="C119" i="5"/>
  <c r="B119" i="5"/>
  <c r="D118" i="5"/>
  <c r="C118" i="5"/>
  <c r="B118" i="5"/>
  <c r="D117" i="5"/>
  <c r="B117" i="5"/>
  <c r="B116" i="5"/>
  <c r="D115" i="5"/>
  <c r="C115" i="5"/>
  <c r="B115" i="5"/>
  <c r="D114" i="5"/>
  <c r="C114" i="5"/>
  <c r="B114" i="5"/>
  <c r="D113" i="5"/>
  <c r="B113" i="5"/>
  <c r="B112" i="5"/>
  <c r="D111" i="5"/>
  <c r="C111" i="5"/>
  <c r="B111" i="5"/>
  <c r="D110" i="5"/>
  <c r="C110" i="5"/>
  <c r="B110" i="5"/>
  <c r="D109" i="5"/>
  <c r="B109" i="5"/>
  <c r="B108" i="5"/>
  <c r="D107" i="5"/>
  <c r="C107" i="5"/>
  <c r="B107" i="5"/>
  <c r="D106" i="5"/>
  <c r="C106" i="5"/>
  <c r="B106" i="5"/>
  <c r="D105" i="5"/>
  <c r="B105" i="5"/>
  <c r="B104" i="5"/>
  <c r="D103" i="5"/>
  <c r="C103" i="5"/>
  <c r="B103" i="5"/>
  <c r="D102" i="5"/>
  <c r="C102" i="5"/>
  <c r="B102" i="5"/>
  <c r="D101" i="5"/>
  <c r="B101" i="5"/>
  <c r="B100" i="5"/>
  <c r="D99" i="5"/>
  <c r="C99" i="5"/>
  <c r="B99" i="5"/>
  <c r="D98" i="5"/>
  <c r="C98" i="5"/>
  <c r="B98" i="5"/>
  <c r="D97" i="5"/>
  <c r="B97" i="5"/>
  <c r="B96" i="5"/>
  <c r="D95" i="5"/>
  <c r="C95" i="5"/>
  <c r="B95" i="5"/>
  <c r="D94" i="5"/>
  <c r="C94" i="5"/>
  <c r="B94" i="5"/>
  <c r="D93" i="5"/>
  <c r="B93" i="5"/>
  <c r="B92" i="5"/>
  <c r="D91" i="5"/>
  <c r="C91" i="5"/>
  <c r="B91" i="5"/>
  <c r="D90" i="5"/>
  <c r="C90" i="5"/>
  <c r="B90" i="5"/>
  <c r="D89" i="5"/>
  <c r="B89" i="5"/>
  <c r="B88" i="5"/>
  <c r="D87" i="5"/>
  <c r="C87" i="5"/>
  <c r="B87" i="5"/>
  <c r="D86" i="5"/>
  <c r="C86" i="5"/>
  <c r="B86" i="5"/>
  <c r="D85" i="5"/>
  <c r="B85" i="5"/>
  <c r="B84" i="5"/>
  <c r="D83" i="5"/>
  <c r="C83" i="5"/>
  <c r="B83" i="5"/>
  <c r="D82" i="5"/>
  <c r="C82" i="5"/>
  <c r="B82" i="5"/>
  <c r="D81" i="5"/>
  <c r="B81" i="5"/>
  <c r="B80" i="5"/>
  <c r="D79" i="5"/>
  <c r="C79" i="5"/>
  <c r="B79" i="5"/>
  <c r="D78" i="5"/>
  <c r="C78" i="5"/>
  <c r="B78" i="5"/>
  <c r="D77" i="5"/>
  <c r="B77" i="5"/>
  <c r="B76" i="5"/>
  <c r="D75" i="5"/>
  <c r="C75" i="5"/>
  <c r="B75" i="5"/>
  <c r="D74" i="5"/>
  <c r="C74" i="5"/>
  <c r="B74" i="5"/>
  <c r="D73" i="5"/>
  <c r="B73" i="5"/>
  <c r="B72" i="5"/>
  <c r="D71" i="5"/>
  <c r="C71" i="5"/>
  <c r="B71" i="5"/>
  <c r="D70" i="5"/>
  <c r="C70" i="5"/>
  <c r="B70" i="5"/>
  <c r="D69" i="5"/>
  <c r="B69" i="5"/>
  <c r="B68" i="5"/>
  <c r="D67" i="5"/>
  <c r="C67" i="5"/>
  <c r="B67" i="5"/>
  <c r="D66" i="5"/>
  <c r="C66" i="5"/>
  <c r="B66" i="5"/>
  <c r="D65" i="5"/>
  <c r="B65" i="5"/>
  <c r="B64" i="5"/>
  <c r="D63" i="5"/>
  <c r="C63" i="5"/>
  <c r="B63" i="5"/>
  <c r="D62" i="5"/>
  <c r="C62" i="5"/>
  <c r="B62" i="5"/>
  <c r="D61" i="5"/>
  <c r="B61" i="5"/>
  <c r="B60" i="5"/>
  <c r="D59" i="5"/>
  <c r="C59" i="5"/>
  <c r="B59" i="5"/>
  <c r="D58" i="5"/>
  <c r="C58" i="5"/>
  <c r="B58" i="5"/>
  <c r="D57" i="5"/>
  <c r="B57" i="5"/>
  <c r="B56" i="5"/>
  <c r="D55" i="5"/>
  <c r="C55" i="5"/>
  <c r="B55" i="5"/>
  <c r="D54" i="5"/>
  <c r="C54" i="5"/>
  <c r="B54" i="5"/>
  <c r="D53" i="5"/>
  <c r="B53" i="5"/>
  <c r="B52" i="5"/>
  <c r="D51" i="5"/>
  <c r="C51" i="5"/>
  <c r="B51" i="5"/>
  <c r="D50" i="5"/>
  <c r="C50" i="5"/>
  <c r="B50" i="5"/>
  <c r="D49" i="5"/>
  <c r="B49" i="5"/>
  <c r="B48" i="5"/>
  <c r="D47" i="5"/>
  <c r="C47" i="5"/>
  <c r="B47" i="5"/>
  <c r="D46" i="5"/>
  <c r="C46" i="5"/>
  <c r="B46" i="5"/>
  <c r="D45" i="5"/>
  <c r="B45" i="5"/>
  <c r="B44" i="5"/>
  <c r="D43" i="5"/>
  <c r="C43" i="5"/>
  <c r="B43" i="5"/>
  <c r="D42" i="5"/>
  <c r="C42" i="5"/>
  <c r="B42" i="5"/>
  <c r="D41" i="5"/>
  <c r="B41" i="5"/>
  <c r="B40" i="5"/>
  <c r="D39" i="5"/>
  <c r="C39" i="5"/>
  <c r="B39" i="5"/>
  <c r="D38" i="5"/>
  <c r="C38" i="5"/>
  <c r="B38" i="5"/>
  <c r="D37" i="5"/>
  <c r="B37" i="5"/>
  <c r="B36" i="5"/>
  <c r="D35" i="5"/>
  <c r="C35" i="5"/>
  <c r="B35" i="5"/>
  <c r="D34" i="5"/>
  <c r="C34" i="5"/>
  <c r="B34" i="5"/>
  <c r="D33" i="5"/>
  <c r="B33" i="5"/>
  <c r="B32" i="5"/>
  <c r="D31" i="5"/>
  <c r="C31" i="5"/>
  <c r="B31" i="5"/>
  <c r="D30" i="5"/>
  <c r="C30" i="5"/>
  <c r="B30" i="5"/>
  <c r="D29" i="5"/>
  <c r="B29" i="5"/>
  <c r="B28" i="5"/>
  <c r="D27" i="5"/>
  <c r="C27" i="5"/>
  <c r="B27" i="5"/>
  <c r="C26" i="5"/>
  <c r="B26" i="5"/>
  <c r="C25" i="5"/>
  <c r="B25" i="5"/>
  <c r="B24" i="5"/>
  <c r="C24" i="5" s="1"/>
  <c r="D23" i="5"/>
  <c r="C23" i="5"/>
  <c r="B23" i="5"/>
  <c r="C22" i="5"/>
  <c r="B22" i="5"/>
  <c r="D21" i="5"/>
  <c r="C21" i="5"/>
  <c r="B21" i="5"/>
  <c r="D20" i="5"/>
  <c r="C20" i="5"/>
  <c r="B20" i="5"/>
  <c r="D19" i="5"/>
  <c r="C19" i="5"/>
  <c r="B19" i="5"/>
  <c r="C18" i="5"/>
  <c r="B18" i="5"/>
  <c r="C17" i="5"/>
  <c r="B17" i="5"/>
  <c r="C16" i="5"/>
  <c r="B16" i="5"/>
  <c r="C15" i="5"/>
  <c r="B15" i="5"/>
  <c r="B14" i="5"/>
  <c r="D26" i="5" s="1"/>
  <c r="B13" i="5"/>
  <c r="B12" i="5"/>
  <c r="C11" i="5"/>
  <c r="B11" i="5"/>
  <c r="C10" i="5"/>
  <c r="B10" i="5"/>
  <c r="D22" i="5" s="1"/>
  <c r="C9" i="5"/>
  <c r="B9" i="5"/>
  <c r="C8" i="5"/>
  <c r="B8" i="5"/>
  <c r="B7" i="5"/>
  <c r="B6" i="5"/>
  <c r="B5" i="5"/>
  <c r="D17" i="5" s="1"/>
  <c r="F916" i="4"/>
  <c r="E916" i="4"/>
  <c r="B916" i="4"/>
  <c r="F915" i="4"/>
  <c r="E915" i="4"/>
  <c r="B915" i="4"/>
  <c r="F914" i="4"/>
  <c r="E914" i="4"/>
  <c r="B914" i="4"/>
  <c r="F913" i="4"/>
  <c r="E913" i="4"/>
  <c r="B913" i="4"/>
  <c r="F912" i="4"/>
  <c r="E912" i="4"/>
  <c r="B912" i="4"/>
  <c r="F911" i="4"/>
  <c r="E911" i="4"/>
  <c r="B911" i="4"/>
  <c r="F910" i="4"/>
  <c r="E910" i="4"/>
  <c r="B910" i="4"/>
  <c r="F909" i="4"/>
  <c r="E909" i="4"/>
  <c r="B909" i="4"/>
  <c r="F908" i="4"/>
  <c r="E908" i="4"/>
  <c r="B908" i="4"/>
  <c r="F907" i="4"/>
  <c r="E907" i="4"/>
  <c r="B907" i="4"/>
  <c r="F906" i="4"/>
  <c r="E906" i="4"/>
  <c r="B906" i="4"/>
  <c r="F905" i="4"/>
  <c r="E905" i="4"/>
  <c r="B905" i="4"/>
  <c r="F904" i="4"/>
  <c r="E904" i="4"/>
  <c r="B904" i="4"/>
  <c r="F903" i="4"/>
  <c r="E903" i="4"/>
  <c r="B903" i="4"/>
  <c r="F902" i="4"/>
  <c r="E902" i="4"/>
  <c r="B902" i="4"/>
  <c r="F901" i="4"/>
  <c r="E901" i="4"/>
  <c r="B901" i="4"/>
  <c r="F900" i="4"/>
  <c r="E900" i="4"/>
  <c r="B900" i="4"/>
  <c r="F899" i="4"/>
  <c r="E899" i="4"/>
  <c r="B899" i="4"/>
  <c r="F898" i="4"/>
  <c r="E898" i="4"/>
  <c r="B898" i="4"/>
  <c r="D910" i="4" s="1"/>
  <c r="F897" i="4"/>
  <c r="E897" i="4"/>
  <c r="B897" i="4"/>
  <c r="F896" i="4"/>
  <c r="E896" i="4"/>
  <c r="B896" i="4"/>
  <c r="F895" i="4"/>
  <c r="E895" i="4"/>
  <c r="B895" i="4"/>
  <c r="F894" i="4"/>
  <c r="E894" i="4"/>
  <c r="B894" i="4"/>
  <c r="F893" i="4"/>
  <c r="E893" i="4"/>
  <c r="B893" i="4"/>
  <c r="F892" i="4"/>
  <c r="E892" i="4"/>
  <c r="B892" i="4"/>
  <c r="C893" i="4" s="1"/>
  <c r="F891" i="4"/>
  <c r="E891" i="4"/>
  <c r="B891" i="4"/>
  <c r="C892" i="4" s="1"/>
  <c r="F890" i="4"/>
  <c r="E890" i="4"/>
  <c r="B890" i="4"/>
  <c r="F889" i="4"/>
  <c r="E889" i="4"/>
  <c r="B889" i="4"/>
  <c r="F888" i="4"/>
  <c r="E888" i="4"/>
  <c r="B888" i="4"/>
  <c r="F887" i="4"/>
  <c r="E887" i="4"/>
  <c r="B887" i="4"/>
  <c r="F886" i="4"/>
  <c r="E886" i="4"/>
  <c r="B886" i="4"/>
  <c r="F885" i="4"/>
  <c r="E885" i="4"/>
  <c r="B885" i="4"/>
  <c r="F884" i="4"/>
  <c r="E884" i="4"/>
  <c r="B884" i="4"/>
  <c r="F883" i="4"/>
  <c r="E883" i="4"/>
  <c r="B883" i="4"/>
  <c r="F882" i="4"/>
  <c r="E882" i="4"/>
  <c r="B882" i="4"/>
  <c r="F881" i="4"/>
  <c r="E881" i="4"/>
  <c r="B881" i="4"/>
  <c r="D893" i="4" s="1"/>
  <c r="F880" i="4"/>
  <c r="E880" i="4"/>
  <c r="B880" i="4"/>
  <c r="F879" i="4"/>
  <c r="E879" i="4"/>
  <c r="B879" i="4"/>
  <c r="F878" i="4"/>
  <c r="E878" i="4"/>
  <c r="B878" i="4"/>
  <c r="F877" i="4"/>
  <c r="E877" i="4"/>
  <c r="B877" i="4"/>
  <c r="F876" i="4"/>
  <c r="E876" i="4"/>
  <c r="B876" i="4"/>
  <c r="F875" i="4"/>
  <c r="E875" i="4"/>
  <c r="B875" i="4"/>
  <c r="C876" i="4" s="1"/>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F858" i="4"/>
  <c r="E858" i="4"/>
  <c r="B858" i="4"/>
  <c r="F857" i="4"/>
  <c r="E857" i="4"/>
  <c r="B857" i="4"/>
  <c r="F856" i="4"/>
  <c r="E856" i="4"/>
  <c r="B856" i="4"/>
  <c r="F855" i="4"/>
  <c r="E855" i="4"/>
  <c r="B855" i="4"/>
  <c r="F854" i="4"/>
  <c r="E854" i="4"/>
  <c r="B854" i="4"/>
  <c r="F853" i="4"/>
  <c r="E853" i="4"/>
  <c r="B853" i="4"/>
  <c r="D853" i="4" s="1"/>
  <c r="F852" i="4"/>
  <c r="E852" i="4"/>
  <c r="B852" i="4"/>
  <c r="F851" i="4"/>
  <c r="E851" i="4"/>
  <c r="B851" i="4"/>
  <c r="F850" i="4"/>
  <c r="E850" i="4"/>
  <c r="B850" i="4"/>
  <c r="D862" i="4" s="1"/>
  <c r="F849" i="4"/>
  <c r="E849" i="4"/>
  <c r="B849" i="4"/>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D852" i="4" s="1"/>
  <c r="F839" i="4"/>
  <c r="E839" i="4"/>
  <c r="B839" i="4"/>
  <c r="F838" i="4"/>
  <c r="E838" i="4"/>
  <c r="B838" i="4"/>
  <c r="F837" i="4"/>
  <c r="E837" i="4"/>
  <c r="B837" i="4"/>
  <c r="D849" i="4" s="1"/>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F824" i="4"/>
  <c r="E824" i="4"/>
  <c r="B824" i="4"/>
  <c r="F823" i="4"/>
  <c r="E823" i="4"/>
  <c r="B823" i="4"/>
  <c r="D835" i="4" s="1"/>
  <c r="F822" i="4"/>
  <c r="E822" i="4"/>
  <c r="B822" i="4"/>
  <c r="F821" i="4"/>
  <c r="E821" i="4"/>
  <c r="B821" i="4"/>
  <c r="F820" i="4"/>
  <c r="E820" i="4"/>
  <c r="B820" i="4"/>
  <c r="F819" i="4"/>
  <c r="E819" i="4"/>
  <c r="B819" i="4"/>
  <c r="D831" i="4" s="1"/>
  <c r="F818" i="4"/>
  <c r="E818" i="4"/>
  <c r="B818" i="4"/>
  <c r="F817" i="4"/>
  <c r="E817" i="4"/>
  <c r="B817" i="4"/>
  <c r="F816" i="4"/>
  <c r="E816" i="4"/>
  <c r="B816" i="4"/>
  <c r="F815" i="4"/>
  <c r="E815" i="4"/>
  <c r="B815" i="4"/>
  <c r="F814" i="4"/>
  <c r="E814" i="4"/>
  <c r="B814" i="4"/>
  <c r="F813" i="4"/>
  <c r="E813" i="4"/>
  <c r="B813" i="4"/>
  <c r="F812" i="4"/>
  <c r="E812" i="4"/>
  <c r="B812" i="4"/>
  <c r="F811" i="4"/>
  <c r="E811" i="4"/>
  <c r="B811" i="4"/>
  <c r="D823" i="4" s="1"/>
  <c r="F810" i="4"/>
  <c r="E810" i="4"/>
  <c r="B810" i="4"/>
  <c r="D822" i="4" s="1"/>
  <c r="F809" i="4"/>
  <c r="E809" i="4"/>
  <c r="B809" i="4"/>
  <c r="F808" i="4"/>
  <c r="E808" i="4"/>
  <c r="B808" i="4"/>
  <c r="F807" i="4"/>
  <c r="E807" i="4"/>
  <c r="B807" i="4"/>
  <c r="F806" i="4"/>
  <c r="E806" i="4"/>
  <c r="B806" i="4"/>
  <c r="F805" i="4"/>
  <c r="E805" i="4"/>
  <c r="B805" i="4"/>
  <c r="F804" i="4"/>
  <c r="E804" i="4"/>
  <c r="B804" i="4"/>
  <c r="F803" i="4"/>
  <c r="E803" i="4"/>
  <c r="B803" i="4"/>
  <c r="F802" i="4"/>
  <c r="E802" i="4"/>
  <c r="B802" i="4"/>
  <c r="F801" i="4"/>
  <c r="E801" i="4"/>
  <c r="B801" i="4"/>
  <c r="F800" i="4"/>
  <c r="E800" i="4"/>
  <c r="B800" i="4"/>
  <c r="F799" i="4"/>
  <c r="E799" i="4"/>
  <c r="B799" i="4"/>
  <c r="F798" i="4"/>
  <c r="E798" i="4"/>
  <c r="B798" i="4"/>
  <c r="F797" i="4"/>
  <c r="E797" i="4"/>
  <c r="B797" i="4"/>
  <c r="D809" i="4" s="1"/>
  <c r="F796" i="4"/>
  <c r="E796" i="4"/>
  <c r="B796" i="4"/>
  <c r="F795" i="4"/>
  <c r="E795" i="4"/>
  <c r="B795" i="4"/>
  <c r="F794" i="4"/>
  <c r="E794" i="4"/>
  <c r="B794" i="4"/>
  <c r="F793" i="4"/>
  <c r="E793" i="4"/>
  <c r="B793" i="4"/>
  <c r="F792" i="4"/>
  <c r="E792" i="4"/>
  <c r="B792" i="4"/>
  <c r="F791" i="4"/>
  <c r="E791" i="4"/>
  <c r="B791" i="4"/>
  <c r="F790" i="4"/>
  <c r="E790" i="4"/>
  <c r="B790" i="4"/>
  <c r="D802" i="4" s="1"/>
  <c r="F789" i="4"/>
  <c r="E789" i="4"/>
  <c r="B789" i="4"/>
  <c r="F788" i="4"/>
  <c r="E788" i="4"/>
  <c r="B788" i="4"/>
  <c r="F787" i="4"/>
  <c r="E787" i="4"/>
  <c r="B787" i="4"/>
  <c r="F786" i="4"/>
  <c r="E786" i="4"/>
  <c r="B786" i="4"/>
  <c r="D798" i="4" s="1"/>
  <c r="F785" i="4"/>
  <c r="E785" i="4"/>
  <c r="B785" i="4"/>
  <c r="F784" i="4"/>
  <c r="E784" i="4"/>
  <c r="B784" i="4"/>
  <c r="D784" i="4" s="1"/>
  <c r="F783" i="4"/>
  <c r="E783" i="4"/>
  <c r="B783" i="4"/>
  <c r="D795" i="4" s="1"/>
  <c r="F782" i="4"/>
  <c r="E782" i="4"/>
  <c r="B782" i="4"/>
  <c r="F781" i="4"/>
  <c r="E781" i="4"/>
  <c r="B781" i="4"/>
  <c r="F780" i="4"/>
  <c r="E780" i="4"/>
  <c r="B780" i="4"/>
  <c r="D780" i="4" s="1"/>
  <c r="F779" i="4"/>
  <c r="E779" i="4"/>
  <c r="B779" i="4"/>
  <c r="F778" i="4"/>
  <c r="E778" i="4"/>
  <c r="B778" i="4"/>
  <c r="F777" i="4"/>
  <c r="E777" i="4"/>
  <c r="B777" i="4"/>
  <c r="C777" i="4" s="1"/>
  <c r="F776" i="4"/>
  <c r="E776" i="4"/>
  <c r="C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C753" i="4" s="1"/>
  <c r="F752" i="4"/>
  <c r="E752" i="4"/>
  <c r="B752" i="4"/>
  <c r="F751" i="4"/>
  <c r="E751" i="4"/>
  <c r="B751" i="4"/>
  <c r="F750" i="4"/>
  <c r="E750" i="4"/>
  <c r="B750" i="4"/>
  <c r="F749" i="4"/>
  <c r="E749" i="4"/>
  <c r="B749" i="4"/>
  <c r="F748" i="4"/>
  <c r="E748" i="4"/>
  <c r="B748" i="4"/>
  <c r="F747" i="4"/>
  <c r="E747" i="4"/>
  <c r="B747" i="4"/>
  <c r="F746" i="4"/>
  <c r="E746" i="4"/>
  <c r="B746" i="4"/>
  <c r="F745" i="4"/>
  <c r="E745" i="4"/>
  <c r="B745" i="4"/>
  <c r="F744" i="4"/>
  <c r="E744" i="4"/>
  <c r="B744" i="4"/>
  <c r="F743" i="4"/>
  <c r="E743" i="4"/>
  <c r="B743" i="4"/>
  <c r="F742" i="4"/>
  <c r="E742" i="4"/>
  <c r="B742" i="4"/>
  <c r="F741" i="4"/>
  <c r="E741" i="4"/>
  <c r="B741" i="4"/>
  <c r="F740" i="4"/>
  <c r="E740" i="4"/>
  <c r="B740" i="4"/>
  <c r="F739" i="4"/>
  <c r="E739" i="4"/>
  <c r="B739" i="4"/>
  <c r="F738" i="4"/>
  <c r="E738" i="4"/>
  <c r="B738" i="4"/>
  <c r="D738" i="4" s="1"/>
  <c r="F737" i="4"/>
  <c r="E737" i="4"/>
  <c r="B737" i="4"/>
  <c r="F736" i="4"/>
  <c r="E736" i="4"/>
  <c r="B736" i="4"/>
  <c r="F735" i="4"/>
  <c r="E735" i="4"/>
  <c r="B735" i="4"/>
  <c r="D735" i="4" s="1"/>
  <c r="F734" i="4"/>
  <c r="E734" i="4"/>
  <c r="B734" i="4"/>
  <c r="F733" i="4"/>
  <c r="E733" i="4"/>
  <c r="B733" i="4"/>
  <c r="F732" i="4"/>
  <c r="E732" i="4"/>
  <c r="B732" i="4"/>
  <c r="F731" i="4"/>
  <c r="E731" i="4"/>
  <c r="B731" i="4"/>
  <c r="D731" i="4" s="1"/>
  <c r="F730" i="4"/>
  <c r="E730" i="4"/>
  <c r="C730" i="4"/>
  <c r="B730" i="4"/>
  <c r="F729" i="4"/>
  <c r="E729" i="4"/>
  <c r="B729" i="4"/>
  <c r="F728" i="4"/>
  <c r="E728" i="4"/>
  <c r="B728" i="4"/>
  <c r="F727" i="4"/>
  <c r="E727" i="4"/>
  <c r="B727" i="4"/>
  <c r="F726" i="4"/>
  <c r="E726" i="4"/>
  <c r="B726" i="4"/>
  <c r="F725" i="4"/>
  <c r="E725" i="4"/>
  <c r="B725" i="4"/>
  <c r="F724" i="4"/>
  <c r="E724" i="4"/>
  <c r="B724" i="4"/>
  <c r="F723" i="4"/>
  <c r="E723" i="4"/>
  <c r="B723" i="4"/>
  <c r="F722" i="4"/>
  <c r="E722" i="4"/>
  <c r="B722" i="4"/>
  <c r="F721" i="4"/>
  <c r="E721" i="4"/>
  <c r="B721" i="4"/>
  <c r="F720" i="4"/>
  <c r="E720" i="4"/>
  <c r="B720" i="4"/>
  <c r="F719" i="4"/>
  <c r="E719" i="4"/>
  <c r="B719" i="4"/>
  <c r="C719" i="4" s="1"/>
  <c r="F718" i="4"/>
  <c r="E718" i="4"/>
  <c r="B718" i="4"/>
  <c r="F717" i="4"/>
  <c r="E717" i="4"/>
  <c r="B717" i="4"/>
  <c r="F716" i="4"/>
  <c r="E716" i="4"/>
  <c r="B716" i="4"/>
  <c r="F715" i="4"/>
  <c r="E715" i="4"/>
  <c r="B715" i="4"/>
  <c r="F714" i="4"/>
  <c r="E714" i="4"/>
  <c r="B714" i="4"/>
  <c r="F713" i="4"/>
  <c r="E713" i="4"/>
  <c r="B713" i="4"/>
  <c r="C713" i="4" s="1"/>
  <c r="F712" i="4"/>
  <c r="E712" i="4"/>
  <c r="B712" i="4"/>
  <c r="F711" i="4"/>
  <c r="E711" i="4"/>
  <c r="B711" i="4"/>
  <c r="F710" i="4"/>
  <c r="E710" i="4"/>
  <c r="B710" i="4"/>
  <c r="F709" i="4"/>
  <c r="E709" i="4"/>
  <c r="B709" i="4"/>
  <c r="C709" i="4" s="1"/>
  <c r="F708" i="4"/>
  <c r="E708" i="4"/>
  <c r="D708" i="4"/>
  <c r="B708" i="4"/>
  <c r="F707" i="4"/>
  <c r="E707" i="4"/>
  <c r="B707" i="4"/>
  <c r="F706" i="4"/>
  <c r="E706" i="4"/>
  <c r="B706" i="4"/>
  <c r="F705" i="4"/>
  <c r="E705" i="4"/>
  <c r="B705" i="4"/>
  <c r="F704" i="4"/>
  <c r="E704" i="4"/>
  <c r="B704" i="4"/>
  <c r="F703" i="4"/>
  <c r="E703" i="4"/>
  <c r="B703" i="4"/>
  <c r="C704" i="4" s="1"/>
  <c r="F702" i="4"/>
  <c r="E702" i="4"/>
  <c r="B702" i="4"/>
  <c r="F701" i="4"/>
  <c r="E701" i="4"/>
  <c r="B701" i="4"/>
  <c r="F700" i="4"/>
  <c r="E700" i="4"/>
  <c r="B700" i="4"/>
  <c r="F699" i="4"/>
  <c r="E699" i="4"/>
  <c r="B699" i="4"/>
  <c r="F698" i="4"/>
  <c r="E698" i="4"/>
  <c r="B698" i="4"/>
  <c r="F697" i="4"/>
  <c r="E697" i="4"/>
  <c r="B697" i="4"/>
  <c r="F696" i="4"/>
  <c r="E696" i="4"/>
  <c r="B696" i="4"/>
  <c r="F695" i="4"/>
  <c r="E695" i="4"/>
  <c r="B695" i="4"/>
  <c r="C696" i="4" s="1"/>
  <c r="F694" i="4"/>
  <c r="E694" i="4"/>
  <c r="B694" i="4"/>
  <c r="C694" i="4" s="1"/>
  <c r="F693" i="4"/>
  <c r="E693" i="4"/>
  <c r="B693" i="4"/>
  <c r="F692" i="4"/>
  <c r="E692" i="4"/>
  <c r="B692" i="4"/>
  <c r="F691" i="4"/>
  <c r="E691" i="4"/>
  <c r="B691" i="4"/>
  <c r="F690" i="4"/>
  <c r="E690" i="4"/>
  <c r="B690" i="4"/>
  <c r="F689" i="4"/>
  <c r="E689" i="4"/>
  <c r="B689" i="4"/>
  <c r="F688" i="4"/>
  <c r="E688" i="4"/>
  <c r="B688" i="4"/>
  <c r="F687" i="4"/>
  <c r="E687" i="4"/>
  <c r="B687" i="4"/>
  <c r="C688" i="4" s="1"/>
  <c r="F686" i="4"/>
  <c r="E686" i="4"/>
  <c r="B686" i="4"/>
  <c r="F685" i="4"/>
  <c r="E685" i="4"/>
  <c r="B685" i="4"/>
  <c r="F684" i="4"/>
  <c r="E684" i="4"/>
  <c r="B684" i="4"/>
  <c r="F683" i="4"/>
  <c r="E683" i="4"/>
  <c r="B683" i="4"/>
  <c r="F682" i="4"/>
  <c r="E682" i="4"/>
  <c r="B682" i="4"/>
  <c r="F681" i="4"/>
  <c r="E681" i="4"/>
  <c r="B681" i="4"/>
  <c r="F680" i="4"/>
  <c r="E680" i="4"/>
  <c r="B680" i="4"/>
  <c r="F679" i="4"/>
  <c r="E679" i="4"/>
  <c r="B679" i="4"/>
  <c r="D679" i="4" s="1"/>
  <c r="F678" i="4"/>
  <c r="E678" i="4"/>
  <c r="B678" i="4"/>
  <c r="C678" i="4" s="1"/>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F666" i="4"/>
  <c r="E666" i="4"/>
  <c r="B666" i="4"/>
  <c r="F665" i="4"/>
  <c r="E665" i="4"/>
  <c r="B665" i="4"/>
  <c r="F664" i="4"/>
  <c r="E664" i="4"/>
  <c r="B664" i="4"/>
  <c r="F663" i="4"/>
  <c r="E663" i="4"/>
  <c r="B663" i="4"/>
  <c r="F662" i="4"/>
  <c r="E662" i="4"/>
  <c r="B662" i="4"/>
  <c r="F661" i="4"/>
  <c r="E661" i="4"/>
  <c r="B661" i="4"/>
  <c r="F660" i="4"/>
  <c r="E660" i="4"/>
  <c r="B660" i="4"/>
  <c r="F659" i="4"/>
  <c r="E659" i="4"/>
  <c r="B659" i="4"/>
  <c r="F658" i="4"/>
  <c r="E658" i="4"/>
  <c r="B658" i="4"/>
  <c r="F657" i="4"/>
  <c r="E657" i="4"/>
  <c r="B657" i="4"/>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C648" i="4" s="1"/>
  <c r="F647" i="4"/>
  <c r="E647" i="4"/>
  <c r="B647" i="4"/>
  <c r="F646" i="4"/>
  <c r="E646" i="4"/>
  <c r="B646" i="4"/>
  <c r="F645" i="4"/>
  <c r="E645" i="4"/>
  <c r="B645" i="4"/>
  <c r="F644" i="4"/>
  <c r="E644" i="4"/>
  <c r="B644" i="4"/>
  <c r="F643" i="4"/>
  <c r="E643" i="4"/>
  <c r="B643" i="4"/>
  <c r="F642" i="4"/>
  <c r="E642" i="4"/>
  <c r="B642" i="4"/>
  <c r="D654" i="4" s="1"/>
  <c r="F641" i="4"/>
  <c r="E641" i="4"/>
  <c r="B641" i="4"/>
  <c r="F640" i="4"/>
  <c r="E640" i="4"/>
  <c r="B640" i="4"/>
  <c r="F639" i="4"/>
  <c r="E639" i="4"/>
  <c r="B639" i="4"/>
  <c r="F638" i="4"/>
  <c r="E638" i="4"/>
  <c r="B638" i="4"/>
  <c r="F637" i="4"/>
  <c r="E637" i="4"/>
  <c r="B637" i="4"/>
  <c r="F636" i="4"/>
  <c r="E636" i="4"/>
  <c r="B636" i="4"/>
  <c r="F635" i="4"/>
  <c r="E635" i="4"/>
  <c r="B635" i="4"/>
  <c r="C635" i="4" s="1"/>
  <c r="F634" i="4"/>
  <c r="E634" i="4"/>
  <c r="B634" i="4"/>
  <c r="F633" i="4"/>
  <c r="E633" i="4"/>
  <c r="B633" i="4"/>
  <c r="F632" i="4"/>
  <c r="E632" i="4"/>
  <c r="B632" i="4"/>
  <c r="C633" i="4" s="1"/>
  <c r="F631" i="4"/>
  <c r="E631" i="4"/>
  <c r="B631" i="4"/>
  <c r="F630" i="4"/>
  <c r="E630" i="4"/>
  <c r="B630" i="4"/>
  <c r="F629" i="4"/>
  <c r="E629" i="4"/>
  <c r="B629" i="4"/>
  <c r="F628" i="4"/>
  <c r="E628" i="4"/>
  <c r="B628" i="4"/>
  <c r="F627" i="4"/>
  <c r="E627" i="4"/>
  <c r="B627" i="4"/>
  <c r="F626" i="4"/>
  <c r="E626" i="4"/>
  <c r="B626" i="4"/>
  <c r="F625" i="4"/>
  <c r="E625" i="4"/>
  <c r="B625" i="4"/>
  <c r="C625" i="4" s="1"/>
  <c r="F624" i="4"/>
  <c r="E624" i="4"/>
  <c r="D624" i="4"/>
  <c r="B624" i="4"/>
  <c r="F623" i="4"/>
  <c r="E623" i="4"/>
  <c r="B623" i="4"/>
  <c r="F622" i="4"/>
  <c r="E622" i="4"/>
  <c r="B622" i="4"/>
  <c r="F621" i="4"/>
  <c r="E621" i="4"/>
  <c r="B621" i="4"/>
  <c r="F620" i="4"/>
  <c r="E620" i="4"/>
  <c r="B620" i="4"/>
  <c r="F619" i="4"/>
  <c r="E619" i="4"/>
  <c r="B619" i="4"/>
  <c r="F618" i="4"/>
  <c r="E618" i="4"/>
  <c r="B618" i="4"/>
  <c r="F617" i="4"/>
  <c r="E617" i="4"/>
  <c r="B617" i="4"/>
  <c r="F616" i="4"/>
  <c r="E616" i="4"/>
  <c r="B616" i="4"/>
  <c r="F615" i="4"/>
  <c r="E615" i="4"/>
  <c r="B615" i="4"/>
  <c r="F614" i="4"/>
  <c r="E614" i="4"/>
  <c r="B614" i="4"/>
  <c r="F613" i="4"/>
  <c r="E613" i="4"/>
  <c r="B613" i="4"/>
  <c r="F612" i="4"/>
  <c r="E612" i="4"/>
  <c r="B612" i="4"/>
  <c r="F611" i="4"/>
  <c r="E611" i="4"/>
  <c r="B611" i="4"/>
  <c r="C611" i="4" s="1"/>
  <c r="F610" i="4"/>
  <c r="E610" i="4"/>
  <c r="B610" i="4"/>
  <c r="F609" i="4"/>
  <c r="E609" i="4"/>
  <c r="B609" i="4"/>
  <c r="F608" i="4"/>
  <c r="E608" i="4"/>
  <c r="B608" i="4"/>
  <c r="F607" i="4"/>
  <c r="E607" i="4"/>
  <c r="B607" i="4"/>
  <c r="F606" i="4"/>
  <c r="E606" i="4"/>
  <c r="B606" i="4"/>
  <c r="F605" i="4"/>
  <c r="E605" i="4"/>
  <c r="B605" i="4"/>
  <c r="F604" i="4"/>
  <c r="E604" i="4"/>
  <c r="B604" i="4"/>
  <c r="F603" i="4"/>
  <c r="E603" i="4"/>
  <c r="B603" i="4"/>
  <c r="F602" i="4"/>
  <c r="E602" i="4"/>
  <c r="B602" i="4"/>
  <c r="F601" i="4"/>
  <c r="E601" i="4"/>
  <c r="B601" i="4"/>
  <c r="F600" i="4"/>
  <c r="E600" i="4"/>
  <c r="B600" i="4"/>
  <c r="F599" i="4"/>
  <c r="E599" i="4"/>
  <c r="B599" i="4"/>
  <c r="C599" i="4" s="1"/>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F579" i="4"/>
  <c r="E579" i="4"/>
  <c r="B579" i="4"/>
  <c r="D591" i="4" s="1"/>
  <c r="F578" i="4"/>
  <c r="E578" i="4"/>
  <c r="B578" i="4"/>
  <c r="F577" i="4"/>
  <c r="E577" i="4"/>
  <c r="B577" i="4"/>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F562" i="4"/>
  <c r="E562" i="4"/>
  <c r="B562" i="4"/>
  <c r="F561" i="4"/>
  <c r="E561" i="4"/>
  <c r="B561" i="4"/>
  <c r="F560" i="4"/>
  <c r="E560" i="4"/>
  <c r="B560" i="4"/>
  <c r="F559" i="4"/>
  <c r="E559" i="4"/>
  <c r="B559" i="4"/>
  <c r="F558" i="4"/>
  <c r="E558" i="4"/>
  <c r="B558" i="4"/>
  <c r="F557" i="4"/>
  <c r="E557" i="4"/>
  <c r="B557" i="4"/>
  <c r="F556" i="4"/>
  <c r="E556" i="4"/>
  <c r="B556" i="4"/>
  <c r="F555" i="4"/>
  <c r="E555" i="4"/>
  <c r="B555" i="4"/>
  <c r="C555" i="4" s="1"/>
  <c r="F554" i="4"/>
  <c r="E554" i="4"/>
  <c r="B554" i="4"/>
  <c r="F553" i="4"/>
  <c r="E553" i="4"/>
  <c r="B553" i="4"/>
  <c r="F552" i="4"/>
  <c r="E552" i="4"/>
  <c r="B552" i="4"/>
  <c r="F551" i="4"/>
  <c r="E551" i="4"/>
  <c r="B551" i="4"/>
  <c r="F550" i="4"/>
  <c r="E550" i="4"/>
  <c r="B550" i="4"/>
  <c r="F549" i="4"/>
  <c r="E549" i="4"/>
  <c r="B549" i="4"/>
  <c r="F548" i="4"/>
  <c r="E548" i="4"/>
  <c r="B548" i="4"/>
  <c r="F547" i="4"/>
  <c r="E547" i="4"/>
  <c r="B547" i="4"/>
  <c r="F546" i="4"/>
  <c r="E546" i="4"/>
  <c r="B546" i="4"/>
  <c r="F545" i="4"/>
  <c r="E545" i="4"/>
  <c r="B545" i="4"/>
  <c r="F544" i="4"/>
  <c r="E544" i="4"/>
  <c r="B544" i="4"/>
  <c r="C544" i="4" s="1"/>
  <c r="F543" i="4"/>
  <c r="E543" i="4"/>
  <c r="B543" i="4"/>
  <c r="F542" i="4"/>
  <c r="E542" i="4"/>
  <c r="B542" i="4"/>
  <c r="F541" i="4"/>
  <c r="E541" i="4"/>
  <c r="B541" i="4"/>
  <c r="F540" i="4"/>
  <c r="E540" i="4"/>
  <c r="B540" i="4"/>
  <c r="D540" i="4" s="1"/>
  <c r="F539" i="4"/>
  <c r="E539" i="4"/>
  <c r="B539" i="4"/>
  <c r="F538" i="4"/>
  <c r="E538" i="4"/>
  <c r="B538" i="4"/>
  <c r="F537" i="4"/>
  <c r="E537" i="4"/>
  <c r="B537" i="4"/>
  <c r="F536" i="4"/>
  <c r="E536" i="4"/>
  <c r="B536" i="4"/>
  <c r="C536" i="4" s="1"/>
  <c r="F535" i="4"/>
  <c r="E535" i="4"/>
  <c r="B535" i="4"/>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D526" i="4"/>
  <c r="B526" i="4"/>
  <c r="F525" i="4"/>
  <c r="E525" i="4"/>
  <c r="B525" i="4"/>
  <c r="F524" i="4"/>
  <c r="E524" i="4"/>
  <c r="B524" i="4"/>
  <c r="F523" i="4"/>
  <c r="E523" i="4"/>
  <c r="B523" i="4"/>
  <c r="F522" i="4"/>
  <c r="E522" i="4"/>
  <c r="B522" i="4"/>
  <c r="F521" i="4"/>
  <c r="E521" i="4"/>
  <c r="B521" i="4"/>
  <c r="F520" i="4"/>
  <c r="E520" i="4"/>
  <c r="B520" i="4"/>
  <c r="F519" i="4"/>
  <c r="E519" i="4"/>
  <c r="B519" i="4"/>
  <c r="C519" i="4" s="1"/>
  <c r="F518" i="4"/>
  <c r="E518" i="4"/>
  <c r="B518" i="4"/>
  <c r="F517" i="4"/>
  <c r="E517" i="4"/>
  <c r="B517" i="4"/>
  <c r="F516" i="4"/>
  <c r="E516" i="4"/>
  <c r="B516" i="4"/>
  <c r="F515" i="4"/>
  <c r="E515" i="4"/>
  <c r="B515" i="4"/>
  <c r="F514" i="4"/>
  <c r="E514" i="4"/>
  <c r="B514" i="4"/>
  <c r="F513" i="4"/>
  <c r="E513" i="4"/>
  <c r="B513" i="4"/>
  <c r="F512" i="4"/>
  <c r="E512" i="4"/>
  <c r="B512" i="4"/>
  <c r="D512" i="4" s="1"/>
  <c r="F511" i="4"/>
  <c r="E511" i="4"/>
  <c r="B511" i="4"/>
  <c r="F510" i="4"/>
  <c r="E510" i="4"/>
  <c r="B510" i="4"/>
  <c r="F509" i="4"/>
  <c r="E509" i="4"/>
  <c r="B509" i="4"/>
  <c r="F508" i="4"/>
  <c r="E508" i="4"/>
  <c r="B508" i="4"/>
  <c r="F507" i="4"/>
  <c r="E507" i="4"/>
  <c r="B507" i="4"/>
  <c r="F506" i="4"/>
  <c r="E506" i="4"/>
  <c r="B506" i="4"/>
  <c r="F505" i="4"/>
  <c r="E505" i="4"/>
  <c r="B505" i="4"/>
  <c r="C505" i="4" s="1"/>
  <c r="F504" i="4"/>
  <c r="E504" i="4"/>
  <c r="B504" i="4"/>
  <c r="C504" i="4" s="1"/>
  <c r="F503" i="4"/>
  <c r="E503" i="4"/>
  <c r="B503" i="4"/>
  <c r="F502" i="4"/>
  <c r="E502" i="4"/>
  <c r="B502" i="4"/>
  <c r="F501" i="4"/>
  <c r="E501" i="4"/>
  <c r="B501" i="4"/>
  <c r="F500" i="4"/>
  <c r="E500" i="4"/>
  <c r="B500" i="4"/>
  <c r="F499" i="4"/>
  <c r="E499" i="4"/>
  <c r="B499" i="4"/>
  <c r="D511" i="4" s="1"/>
  <c r="F498" i="4"/>
  <c r="E498" i="4"/>
  <c r="B498" i="4"/>
  <c r="F497" i="4"/>
  <c r="E497" i="4"/>
  <c r="B497" i="4"/>
  <c r="F496" i="4"/>
  <c r="E496" i="4"/>
  <c r="B496" i="4"/>
  <c r="C496" i="4" s="1"/>
  <c r="F495" i="4"/>
  <c r="E495" i="4"/>
  <c r="B495" i="4"/>
  <c r="F494" i="4"/>
  <c r="E494" i="4"/>
  <c r="B494" i="4"/>
  <c r="F493" i="4"/>
  <c r="E493" i="4"/>
  <c r="B493" i="4"/>
  <c r="F492" i="4"/>
  <c r="E492" i="4"/>
  <c r="B492" i="4"/>
  <c r="D504" i="4" s="1"/>
  <c r="F491" i="4"/>
  <c r="E491" i="4"/>
  <c r="B491" i="4"/>
  <c r="F490" i="4"/>
  <c r="E490" i="4"/>
  <c r="B490" i="4"/>
  <c r="F489" i="4"/>
  <c r="E489" i="4"/>
  <c r="B489" i="4"/>
  <c r="F488" i="4"/>
  <c r="E488" i="4"/>
  <c r="B488" i="4"/>
  <c r="C488" i="4" s="1"/>
  <c r="F487" i="4"/>
  <c r="E487" i="4"/>
  <c r="B487" i="4"/>
  <c r="F486" i="4"/>
  <c r="E486" i="4"/>
  <c r="B486" i="4"/>
  <c r="F485" i="4"/>
  <c r="E485" i="4"/>
  <c r="B485" i="4"/>
  <c r="F484" i="4"/>
  <c r="E484" i="4"/>
  <c r="B484" i="4"/>
  <c r="F483" i="4"/>
  <c r="E483" i="4"/>
  <c r="B483" i="4"/>
  <c r="F482" i="4"/>
  <c r="E482" i="4"/>
  <c r="B482" i="4"/>
  <c r="C483" i="4" s="1"/>
  <c r="F481" i="4"/>
  <c r="E481" i="4"/>
  <c r="B481" i="4"/>
  <c r="C481" i="4" s="1"/>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D480" i="4" s="1"/>
  <c r="F467" i="4"/>
  <c r="E467" i="4"/>
  <c r="B467" i="4"/>
  <c r="F466" i="4"/>
  <c r="E466" i="4"/>
  <c r="B466" i="4"/>
  <c r="F465" i="4"/>
  <c r="E465" i="4"/>
  <c r="B465" i="4"/>
  <c r="D477" i="4" s="1"/>
  <c r="F464" i="4"/>
  <c r="E464" i="4"/>
  <c r="B464" i="4"/>
  <c r="F463" i="4"/>
  <c r="E463" i="4"/>
  <c r="B463" i="4"/>
  <c r="F462" i="4"/>
  <c r="E462" i="4"/>
  <c r="B462" i="4"/>
  <c r="F461" i="4"/>
  <c r="E461" i="4"/>
  <c r="B461" i="4"/>
  <c r="F460" i="4"/>
  <c r="E460" i="4"/>
  <c r="B460" i="4"/>
  <c r="F459" i="4"/>
  <c r="E459" i="4"/>
  <c r="B459" i="4"/>
  <c r="F458" i="4"/>
  <c r="E458" i="4"/>
  <c r="B458" i="4"/>
  <c r="F457" i="4"/>
  <c r="E457" i="4"/>
  <c r="B457" i="4"/>
  <c r="F456" i="4"/>
  <c r="E456" i="4"/>
  <c r="B456" i="4"/>
  <c r="F455" i="4"/>
  <c r="E455" i="4"/>
  <c r="B455" i="4"/>
  <c r="F454" i="4"/>
  <c r="E454" i="4"/>
  <c r="B454" i="4"/>
  <c r="F453" i="4"/>
  <c r="E453" i="4"/>
  <c r="B453" i="4"/>
  <c r="F452" i="4"/>
  <c r="E452" i="4"/>
  <c r="B452" i="4"/>
  <c r="F451" i="4"/>
  <c r="E451" i="4"/>
  <c r="B451" i="4"/>
  <c r="F450" i="4"/>
  <c r="E450" i="4"/>
  <c r="B450" i="4"/>
  <c r="F449" i="4"/>
  <c r="E449" i="4"/>
  <c r="B449" i="4"/>
  <c r="F448" i="4"/>
  <c r="E448" i="4"/>
  <c r="B448" i="4"/>
  <c r="F447" i="4"/>
  <c r="E447" i="4"/>
  <c r="B447" i="4"/>
  <c r="F446" i="4"/>
  <c r="E446" i="4"/>
  <c r="B446" i="4"/>
  <c r="F445" i="4"/>
  <c r="E445" i="4"/>
  <c r="B445" i="4"/>
  <c r="F444" i="4"/>
  <c r="E444" i="4"/>
  <c r="B444" i="4"/>
  <c r="F443" i="4"/>
  <c r="E443" i="4"/>
  <c r="B443" i="4"/>
  <c r="F442" i="4"/>
  <c r="E442" i="4"/>
  <c r="B442" i="4"/>
  <c r="F441" i="4"/>
  <c r="E441" i="4"/>
  <c r="B441" i="4"/>
  <c r="F440" i="4"/>
  <c r="E440" i="4"/>
  <c r="B440" i="4"/>
  <c r="F439" i="4"/>
  <c r="E439" i="4"/>
  <c r="B439" i="4"/>
  <c r="F438" i="4"/>
  <c r="E438" i="4"/>
  <c r="B438" i="4"/>
  <c r="F437" i="4"/>
  <c r="E437" i="4"/>
  <c r="B437" i="4"/>
  <c r="F436" i="4"/>
  <c r="E436" i="4"/>
  <c r="B436" i="4"/>
  <c r="F435" i="4"/>
  <c r="E435" i="4"/>
  <c r="B435" i="4"/>
  <c r="F434" i="4"/>
  <c r="E434" i="4"/>
  <c r="B434" i="4"/>
  <c r="F433" i="4"/>
  <c r="E433" i="4"/>
  <c r="B433" i="4"/>
  <c r="F432" i="4"/>
  <c r="E432" i="4"/>
  <c r="B432" i="4"/>
  <c r="F431" i="4"/>
  <c r="E431" i="4"/>
  <c r="B431" i="4"/>
  <c r="F430" i="4"/>
  <c r="E430" i="4"/>
  <c r="B430" i="4"/>
  <c r="F429" i="4"/>
  <c r="E429" i="4"/>
  <c r="B429" i="4"/>
  <c r="C430" i="4" s="1"/>
  <c r="F428" i="4"/>
  <c r="E428" i="4"/>
  <c r="B428" i="4"/>
  <c r="F427" i="4"/>
  <c r="E427" i="4"/>
  <c r="B427" i="4"/>
  <c r="F426" i="4"/>
  <c r="E426" i="4"/>
  <c r="B426" i="4"/>
  <c r="F425" i="4"/>
  <c r="E425" i="4"/>
  <c r="B425" i="4"/>
  <c r="F424" i="4"/>
  <c r="E424" i="4"/>
  <c r="B424" i="4"/>
  <c r="F423" i="4"/>
  <c r="E423" i="4"/>
  <c r="B423" i="4"/>
  <c r="F422" i="4"/>
  <c r="E422" i="4"/>
  <c r="B422" i="4"/>
  <c r="F421" i="4"/>
  <c r="E421" i="4"/>
  <c r="B421" i="4"/>
  <c r="F420" i="4"/>
  <c r="E420" i="4"/>
  <c r="B420" i="4"/>
  <c r="C420" i="4" s="1"/>
  <c r="F419" i="4"/>
  <c r="E419" i="4"/>
  <c r="B419" i="4"/>
  <c r="F418" i="4"/>
  <c r="E418" i="4"/>
  <c r="B418" i="4"/>
  <c r="F417" i="4"/>
  <c r="E417" i="4"/>
  <c r="B417" i="4"/>
  <c r="F416" i="4"/>
  <c r="E416" i="4"/>
  <c r="B416" i="4"/>
  <c r="F415" i="4"/>
  <c r="E415" i="4"/>
  <c r="B415" i="4"/>
  <c r="F414" i="4"/>
  <c r="E414" i="4"/>
  <c r="B414" i="4"/>
  <c r="F413" i="4"/>
  <c r="E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C405" i="4" s="1"/>
  <c r="F404" i="4"/>
  <c r="E404" i="4"/>
  <c r="B404" i="4"/>
  <c r="F403" i="4"/>
  <c r="E403" i="4"/>
  <c r="B403" i="4"/>
  <c r="F402" i="4"/>
  <c r="E402" i="4"/>
  <c r="B402" i="4"/>
  <c r="F401" i="4"/>
  <c r="E401" i="4"/>
  <c r="B401" i="4"/>
  <c r="F400" i="4"/>
  <c r="E400" i="4"/>
  <c r="B400" i="4"/>
  <c r="F399" i="4"/>
  <c r="E399" i="4"/>
  <c r="B399" i="4"/>
  <c r="F398" i="4"/>
  <c r="E398" i="4"/>
  <c r="B398" i="4"/>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F382" i="4"/>
  <c r="E382" i="4"/>
  <c r="B382" i="4"/>
  <c r="F381" i="4"/>
  <c r="E381" i="4"/>
  <c r="B381" i="4"/>
  <c r="F380" i="4"/>
  <c r="E380" i="4"/>
  <c r="B380" i="4"/>
  <c r="C380" i="4" s="1"/>
  <c r="F379" i="4"/>
  <c r="E379" i="4"/>
  <c r="B379" i="4"/>
  <c r="F378" i="4"/>
  <c r="E378" i="4"/>
  <c r="B378" i="4"/>
  <c r="F377" i="4"/>
  <c r="E377" i="4"/>
  <c r="B377" i="4"/>
  <c r="F376" i="4"/>
  <c r="E376" i="4"/>
  <c r="B376" i="4"/>
  <c r="D388" i="4" s="1"/>
  <c r="F375" i="4"/>
  <c r="E375" i="4"/>
  <c r="B375" i="4"/>
  <c r="F374" i="4"/>
  <c r="E374" i="4"/>
  <c r="B374" i="4"/>
  <c r="D386" i="4" s="1"/>
  <c r="F373" i="4"/>
  <c r="E373" i="4"/>
  <c r="B373" i="4"/>
  <c r="F372" i="4"/>
  <c r="E372" i="4"/>
  <c r="B372" i="4"/>
  <c r="F371" i="4"/>
  <c r="E371" i="4"/>
  <c r="B371" i="4"/>
  <c r="F370" i="4"/>
  <c r="E370" i="4"/>
  <c r="B370" i="4"/>
  <c r="F369" i="4"/>
  <c r="E369" i="4"/>
  <c r="B369" i="4"/>
  <c r="F368" i="4"/>
  <c r="E368" i="4"/>
  <c r="B368" i="4"/>
  <c r="C368" i="4" s="1"/>
  <c r="F367" i="4"/>
  <c r="E367" i="4"/>
  <c r="B367" i="4"/>
  <c r="F366" i="4"/>
  <c r="E366" i="4"/>
  <c r="B366" i="4"/>
  <c r="F365" i="4"/>
  <c r="E365" i="4"/>
  <c r="B365" i="4"/>
  <c r="F364" i="4"/>
  <c r="E364" i="4"/>
  <c r="B364" i="4"/>
  <c r="F363" i="4"/>
  <c r="E363" i="4"/>
  <c r="B363" i="4"/>
  <c r="F362" i="4"/>
  <c r="E362" i="4"/>
  <c r="B362" i="4"/>
  <c r="F361" i="4"/>
  <c r="E361" i="4"/>
  <c r="B361" i="4"/>
  <c r="F360" i="4"/>
  <c r="E360" i="4"/>
  <c r="B360" i="4"/>
  <c r="F359" i="4"/>
  <c r="E359" i="4"/>
  <c r="B359" i="4"/>
  <c r="F358" i="4"/>
  <c r="E358" i="4"/>
  <c r="B358" i="4"/>
  <c r="F357" i="4"/>
  <c r="E357" i="4"/>
  <c r="B357" i="4"/>
  <c r="F356" i="4"/>
  <c r="E356" i="4"/>
  <c r="B356" i="4"/>
  <c r="F355" i="4"/>
  <c r="E355" i="4"/>
  <c r="B355" i="4"/>
  <c r="F354" i="4"/>
  <c r="E354" i="4"/>
  <c r="B354" i="4"/>
  <c r="F353" i="4"/>
  <c r="E353" i="4"/>
  <c r="B353" i="4"/>
  <c r="F352" i="4"/>
  <c r="E352" i="4"/>
  <c r="B352" i="4"/>
  <c r="F351" i="4"/>
  <c r="E351" i="4"/>
  <c r="B351" i="4"/>
  <c r="F350" i="4"/>
  <c r="E350" i="4"/>
  <c r="B350" i="4"/>
  <c r="F349" i="4"/>
  <c r="E349" i="4"/>
  <c r="B349" i="4"/>
  <c r="F348" i="4"/>
  <c r="E348" i="4"/>
  <c r="B348" i="4"/>
  <c r="F347" i="4"/>
  <c r="E347" i="4"/>
  <c r="B347" i="4"/>
  <c r="F346" i="4"/>
  <c r="E346" i="4"/>
  <c r="B346" i="4"/>
  <c r="F345" i="4"/>
  <c r="E345" i="4"/>
  <c r="B345" i="4"/>
  <c r="F344" i="4"/>
  <c r="E344" i="4"/>
  <c r="B344" i="4"/>
  <c r="F343" i="4"/>
  <c r="E343" i="4"/>
  <c r="B343" i="4"/>
  <c r="F342" i="4"/>
  <c r="E342" i="4"/>
  <c r="B342" i="4"/>
  <c r="F341" i="4"/>
  <c r="E341" i="4"/>
  <c r="B341" i="4"/>
  <c r="D353" i="4" s="1"/>
  <c r="F340" i="4"/>
  <c r="E340" i="4"/>
  <c r="B340" i="4"/>
  <c r="F339" i="4"/>
  <c r="E339" i="4"/>
  <c r="B339" i="4"/>
  <c r="F338" i="4"/>
  <c r="E338" i="4"/>
  <c r="B338" i="4"/>
  <c r="F337" i="4"/>
  <c r="E337" i="4"/>
  <c r="B337" i="4"/>
  <c r="C338" i="4" s="1"/>
  <c r="F336" i="4"/>
  <c r="E336" i="4"/>
  <c r="B336" i="4"/>
  <c r="F335" i="4"/>
  <c r="E335" i="4"/>
  <c r="B335" i="4"/>
  <c r="F334" i="4"/>
  <c r="E334" i="4"/>
  <c r="B334" i="4"/>
  <c r="F333" i="4"/>
  <c r="E333" i="4"/>
  <c r="B333" i="4"/>
  <c r="F332" i="4"/>
  <c r="E332" i="4"/>
  <c r="B332" i="4"/>
  <c r="F331" i="4"/>
  <c r="E331" i="4"/>
  <c r="B331" i="4"/>
  <c r="F330" i="4"/>
  <c r="E330" i="4"/>
  <c r="B330" i="4"/>
  <c r="F329" i="4"/>
  <c r="E329" i="4"/>
  <c r="B329" i="4"/>
  <c r="F328" i="4"/>
  <c r="E328" i="4"/>
  <c r="B328" i="4"/>
  <c r="F327" i="4"/>
  <c r="E327" i="4"/>
  <c r="B327" i="4"/>
  <c r="F326" i="4"/>
  <c r="E326" i="4"/>
  <c r="B326" i="4"/>
  <c r="F325" i="4"/>
  <c r="E325" i="4"/>
  <c r="B325" i="4"/>
  <c r="F324" i="4"/>
  <c r="E324" i="4"/>
  <c r="B324" i="4"/>
  <c r="F323" i="4"/>
  <c r="E323" i="4"/>
  <c r="B323" i="4"/>
  <c r="F322" i="4"/>
  <c r="E322" i="4"/>
  <c r="B322" i="4"/>
  <c r="F321" i="4"/>
  <c r="E321" i="4"/>
  <c r="B321" i="4"/>
  <c r="F320" i="4"/>
  <c r="E320" i="4"/>
  <c r="B320" i="4"/>
  <c r="F319" i="4"/>
  <c r="E319" i="4"/>
  <c r="B319" i="4"/>
  <c r="F318" i="4"/>
  <c r="E318" i="4"/>
  <c r="B318" i="4"/>
  <c r="F317" i="4"/>
  <c r="E317" i="4"/>
  <c r="B317" i="4"/>
  <c r="F316" i="4"/>
  <c r="E316" i="4"/>
  <c r="B316" i="4"/>
  <c r="C316" i="4" s="1"/>
  <c r="F315" i="4"/>
  <c r="E315" i="4"/>
  <c r="B315" i="4"/>
  <c r="F314" i="4"/>
  <c r="E314" i="4"/>
  <c r="B314" i="4"/>
  <c r="F313" i="4"/>
  <c r="E313" i="4"/>
  <c r="B313" i="4"/>
  <c r="F312" i="4"/>
  <c r="E312" i="4"/>
  <c r="B312" i="4"/>
  <c r="F311" i="4"/>
  <c r="E311" i="4"/>
  <c r="B311" i="4"/>
  <c r="F310" i="4"/>
  <c r="E310" i="4"/>
  <c r="B310" i="4"/>
  <c r="F309" i="4"/>
  <c r="E309" i="4"/>
  <c r="B309" i="4"/>
  <c r="F308" i="4"/>
  <c r="E308" i="4"/>
  <c r="B308" i="4"/>
  <c r="D320" i="4" s="1"/>
  <c r="F307" i="4"/>
  <c r="E307" i="4"/>
  <c r="B307" i="4"/>
  <c r="F306" i="4"/>
  <c r="E306" i="4"/>
  <c r="B306" i="4"/>
  <c r="F305" i="4"/>
  <c r="E305" i="4"/>
  <c r="B305" i="4"/>
  <c r="F304" i="4"/>
  <c r="E304" i="4"/>
  <c r="B304" i="4"/>
  <c r="D316" i="4" s="1"/>
  <c r="F303" i="4"/>
  <c r="E303" i="4"/>
  <c r="B303" i="4"/>
  <c r="F302" i="4"/>
  <c r="E302" i="4"/>
  <c r="B302" i="4"/>
  <c r="F301" i="4"/>
  <c r="E301" i="4"/>
  <c r="B301" i="4"/>
  <c r="F300" i="4"/>
  <c r="E300" i="4"/>
  <c r="B300" i="4"/>
  <c r="F299" i="4"/>
  <c r="E299" i="4"/>
  <c r="B299" i="4"/>
  <c r="F298" i="4"/>
  <c r="E298" i="4"/>
  <c r="B298" i="4"/>
  <c r="F297" i="4"/>
  <c r="E297" i="4"/>
  <c r="B297" i="4"/>
  <c r="F296" i="4"/>
  <c r="E296" i="4"/>
  <c r="B296" i="4"/>
  <c r="F295" i="4"/>
  <c r="E295" i="4"/>
  <c r="B295" i="4"/>
  <c r="F294" i="4"/>
  <c r="E294" i="4"/>
  <c r="B294" i="4"/>
  <c r="F293" i="4"/>
  <c r="E293" i="4"/>
  <c r="B293" i="4"/>
  <c r="D305" i="4" s="1"/>
  <c r="F292" i="4"/>
  <c r="E292" i="4"/>
  <c r="B292" i="4"/>
  <c r="F291" i="4"/>
  <c r="E291" i="4"/>
  <c r="B291" i="4"/>
  <c r="F290" i="4"/>
  <c r="E290" i="4"/>
  <c r="B290" i="4"/>
  <c r="F289" i="4"/>
  <c r="E289" i="4"/>
  <c r="B289" i="4"/>
  <c r="F288" i="4"/>
  <c r="E288" i="4"/>
  <c r="B288" i="4"/>
  <c r="F287" i="4"/>
  <c r="E287" i="4"/>
  <c r="B287" i="4"/>
  <c r="F286" i="4"/>
  <c r="E286" i="4"/>
  <c r="B286" i="4"/>
  <c r="F285" i="4"/>
  <c r="E285" i="4"/>
  <c r="B285" i="4"/>
  <c r="F284" i="4"/>
  <c r="E284" i="4"/>
  <c r="B284" i="4"/>
  <c r="F283" i="4"/>
  <c r="E283" i="4"/>
  <c r="B283" i="4"/>
  <c r="F282" i="4"/>
  <c r="E282" i="4"/>
  <c r="B282" i="4"/>
  <c r="C282" i="4" s="1"/>
  <c r="F281" i="4"/>
  <c r="E281" i="4"/>
  <c r="B281" i="4"/>
  <c r="F280" i="4"/>
  <c r="E280" i="4"/>
  <c r="B280" i="4"/>
  <c r="D292" i="4" s="1"/>
  <c r="F279" i="4"/>
  <c r="E279" i="4"/>
  <c r="B279" i="4"/>
  <c r="F278" i="4"/>
  <c r="E278" i="4"/>
  <c r="B278" i="4"/>
  <c r="F277" i="4"/>
  <c r="E277" i="4"/>
  <c r="B277" i="4"/>
  <c r="F276" i="4"/>
  <c r="E276" i="4"/>
  <c r="B276" i="4"/>
  <c r="D288" i="4" s="1"/>
  <c r="F275" i="4"/>
  <c r="E275" i="4"/>
  <c r="B275" i="4"/>
  <c r="F274" i="4"/>
  <c r="E274" i="4"/>
  <c r="B274" i="4"/>
  <c r="F273" i="4"/>
  <c r="E273" i="4"/>
  <c r="B273" i="4"/>
  <c r="F272" i="4"/>
  <c r="E272" i="4"/>
  <c r="B272" i="4"/>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F249" i="4"/>
  <c r="E249" i="4"/>
  <c r="B249" i="4"/>
  <c r="F248" i="4"/>
  <c r="E248" i="4"/>
  <c r="B248" i="4"/>
  <c r="F247" i="4"/>
  <c r="E247" i="4"/>
  <c r="B247" i="4"/>
  <c r="F246" i="4"/>
  <c r="E246" i="4"/>
  <c r="B246" i="4"/>
  <c r="F245" i="4"/>
  <c r="E245" i="4"/>
  <c r="B245" i="4"/>
  <c r="F244" i="4"/>
  <c r="E244" i="4"/>
  <c r="B244" i="4"/>
  <c r="F243" i="4"/>
  <c r="E243" i="4"/>
  <c r="B243" i="4"/>
  <c r="F242" i="4"/>
  <c r="E242" i="4"/>
  <c r="B242" i="4"/>
  <c r="C243" i="4" s="1"/>
  <c r="F241" i="4"/>
  <c r="E241" i="4"/>
  <c r="B241" i="4"/>
  <c r="F240" i="4"/>
  <c r="E240" i="4"/>
  <c r="B240" i="4"/>
  <c r="F239" i="4"/>
  <c r="E239" i="4"/>
  <c r="B239" i="4"/>
  <c r="F238" i="4"/>
  <c r="E238" i="4"/>
  <c r="B238" i="4"/>
  <c r="F237" i="4"/>
  <c r="E237" i="4"/>
  <c r="B237" i="4"/>
  <c r="F236" i="4"/>
  <c r="E236" i="4"/>
  <c r="B236" i="4"/>
  <c r="F235" i="4"/>
  <c r="E235" i="4"/>
  <c r="B235" i="4"/>
  <c r="F234" i="4"/>
  <c r="E234" i="4"/>
  <c r="B234" i="4"/>
  <c r="C235" i="4" s="1"/>
  <c r="F233" i="4"/>
  <c r="E233" i="4"/>
  <c r="B233" i="4"/>
  <c r="F232" i="4"/>
  <c r="E232" i="4"/>
  <c r="B232" i="4"/>
  <c r="F231" i="4"/>
  <c r="E231" i="4"/>
  <c r="B231" i="4"/>
  <c r="F230" i="4"/>
  <c r="E230" i="4"/>
  <c r="B230" i="4"/>
  <c r="F229" i="4"/>
  <c r="E229" i="4"/>
  <c r="B229" i="4"/>
  <c r="F228" i="4"/>
  <c r="E228" i="4"/>
  <c r="B228" i="4"/>
  <c r="F227" i="4"/>
  <c r="E227" i="4"/>
  <c r="B227" i="4"/>
  <c r="F226" i="4"/>
  <c r="E226" i="4"/>
  <c r="B226" i="4"/>
  <c r="F225" i="4"/>
  <c r="E225" i="4"/>
  <c r="B225" i="4"/>
  <c r="F224" i="4"/>
  <c r="E224" i="4"/>
  <c r="B224" i="4"/>
  <c r="F223" i="4"/>
  <c r="E223" i="4"/>
  <c r="B223" i="4"/>
  <c r="D235" i="4" s="1"/>
  <c r="F222" i="4"/>
  <c r="E222" i="4"/>
  <c r="B222" i="4"/>
  <c r="F221" i="4"/>
  <c r="E221" i="4"/>
  <c r="B221" i="4"/>
  <c r="F220" i="4"/>
  <c r="E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D220" i="4" s="1"/>
  <c r="F207" i="4"/>
  <c r="E207" i="4"/>
  <c r="B207" i="4"/>
  <c r="F206" i="4"/>
  <c r="E206" i="4"/>
  <c r="B206" i="4"/>
  <c r="F205" i="4"/>
  <c r="E205" i="4"/>
  <c r="B205" i="4"/>
  <c r="F204" i="4"/>
  <c r="E204" i="4"/>
  <c r="B204" i="4"/>
  <c r="F203" i="4"/>
  <c r="E203" i="4"/>
  <c r="B203" i="4"/>
  <c r="F202" i="4"/>
  <c r="E202" i="4"/>
  <c r="B202" i="4"/>
  <c r="F201" i="4"/>
  <c r="E201" i="4"/>
  <c r="D201" i="4"/>
  <c r="B201" i="4"/>
  <c r="C201" i="4" s="1"/>
  <c r="F200" i="4"/>
  <c r="E200" i="4"/>
  <c r="B200" i="4"/>
  <c r="F199" i="4"/>
  <c r="E199" i="4"/>
  <c r="B199" i="4"/>
  <c r="F198" i="4"/>
  <c r="E198" i="4"/>
  <c r="B198" i="4"/>
  <c r="F197" i="4"/>
  <c r="E197" i="4"/>
  <c r="B197" i="4"/>
  <c r="F196" i="4"/>
  <c r="E196" i="4"/>
  <c r="B196" i="4"/>
  <c r="F195" i="4"/>
  <c r="E195" i="4"/>
  <c r="B195" i="4"/>
  <c r="F194" i="4"/>
  <c r="E194" i="4"/>
  <c r="B194" i="4"/>
  <c r="F193" i="4"/>
  <c r="E193" i="4"/>
  <c r="B193" i="4"/>
  <c r="F192" i="4"/>
  <c r="E192" i="4"/>
  <c r="B192" i="4"/>
  <c r="F191" i="4"/>
  <c r="E191" i="4"/>
  <c r="B191" i="4"/>
  <c r="F190" i="4"/>
  <c r="E190" i="4"/>
  <c r="B190" i="4"/>
  <c r="C190" i="4" s="1"/>
  <c r="F189" i="4"/>
  <c r="E189" i="4"/>
  <c r="B189" i="4"/>
  <c r="F188" i="4"/>
  <c r="E188" i="4"/>
  <c r="B188" i="4"/>
  <c r="F187" i="4"/>
  <c r="E187" i="4"/>
  <c r="B187" i="4"/>
  <c r="F186" i="4"/>
  <c r="E186" i="4"/>
  <c r="B186" i="4"/>
  <c r="F185" i="4"/>
  <c r="E185" i="4"/>
  <c r="B185" i="4"/>
  <c r="F184" i="4"/>
  <c r="E184" i="4"/>
  <c r="B184" i="4"/>
  <c r="F183" i="4"/>
  <c r="E183" i="4"/>
  <c r="B183" i="4"/>
  <c r="F182" i="4"/>
  <c r="E182" i="4"/>
  <c r="B182" i="4"/>
  <c r="F181" i="4"/>
  <c r="E181" i="4"/>
  <c r="B181" i="4"/>
  <c r="F180" i="4"/>
  <c r="E180" i="4"/>
  <c r="B180" i="4"/>
  <c r="F179" i="4"/>
  <c r="E179" i="4"/>
  <c r="B179" i="4"/>
  <c r="F178" i="4"/>
  <c r="E178" i="4"/>
  <c r="B178" i="4"/>
  <c r="F177" i="4"/>
  <c r="E177" i="4"/>
  <c r="B177" i="4"/>
  <c r="D177" i="4" s="1"/>
  <c r="F176" i="4"/>
  <c r="E176" i="4"/>
  <c r="B176" i="4"/>
  <c r="F175" i="4"/>
  <c r="E175" i="4"/>
  <c r="B175" i="4"/>
  <c r="F174" i="4"/>
  <c r="E174" i="4"/>
  <c r="B174" i="4"/>
  <c r="F173" i="4"/>
  <c r="E173" i="4"/>
  <c r="B173" i="4"/>
  <c r="F172" i="4"/>
  <c r="E172" i="4"/>
  <c r="B172" i="4"/>
  <c r="F171" i="4"/>
  <c r="E171" i="4"/>
  <c r="B171" i="4"/>
  <c r="F170" i="4"/>
  <c r="E170" i="4"/>
  <c r="B170" i="4"/>
  <c r="F169" i="4"/>
  <c r="E169" i="4"/>
  <c r="B169" i="4"/>
  <c r="F168" i="4"/>
  <c r="E168" i="4"/>
  <c r="B168" i="4"/>
  <c r="F167" i="4"/>
  <c r="E167" i="4"/>
  <c r="B167" i="4"/>
  <c r="F166" i="4"/>
  <c r="E166" i="4"/>
  <c r="B166" i="4"/>
  <c r="F165" i="4"/>
  <c r="E165" i="4"/>
  <c r="B165" i="4"/>
  <c r="F164" i="4"/>
  <c r="E164" i="4"/>
  <c r="B164" i="4"/>
  <c r="D176" i="4" s="1"/>
  <c r="F163" i="4"/>
  <c r="E163" i="4"/>
  <c r="B163" i="4"/>
  <c r="D163" i="4" s="1"/>
  <c r="F162" i="4"/>
  <c r="E162" i="4"/>
  <c r="B162" i="4"/>
  <c r="F161" i="4"/>
  <c r="E161" i="4"/>
  <c r="B161" i="4"/>
  <c r="F160" i="4"/>
  <c r="E160" i="4"/>
  <c r="B160" i="4"/>
  <c r="D160" i="4" s="1"/>
  <c r="F159" i="4"/>
  <c r="E159" i="4"/>
  <c r="C159" i="4"/>
  <c r="B159" i="4"/>
  <c r="F158" i="4"/>
  <c r="E158" i="4"/>
  <c r="B158" i="4"/>
  <c r="F157" i="4"/>
  <c r="E157" i="4"/>
  <c r="B157" i="4"/>
  <c r="F156" i="4"/>
  <c r="E156" i="4"/>
  <c r="B156" i="4"/>
  <c r="F155" i="4"/>
  <c r="E155" i="4"/>
  <c r="B155" i="4"/>
  <c r="F154" i="4"/>
  <c r="E154" i="4"/>
  <c r="B154" i="4"/>
  <c r="F153" i="4"/>
  <c r="E153" i="4"/>
  <c r="B153" i="4"/>
  <c r="C153" i="4" s="1"/>
  <c r="F152" i="4"/>
  <c r="E152" i="4"/>
  <c r="B152" i="4"/>
  <c r="F151" i="4"/>
  <c r="E151" i="4"/>
  <c r="B151" i="4"/>
  <c r="F150" i="4"/>
  <c r="E150" i="4"/>
  <c r="B150" i="4"/>
  <c r="F149" i="4"/>
  <c r="E149" i="4"/>
  <c r="B149" i="4"/>
  <c r="F148" i="4"/>
  <c r="E148" i="4"/>
  <c r="B148" i="4"/>
  <c r="F147" i="4"/>
  <c r="E147" i="4"/>
  <c r="B147" i="4"/>
  <c r="D159" i="4" s="1"/>
  <c r="F146" i="4"/>
  <c r="E146" i="4"/>
  <c r="B146" i="4"/>
  <c r="D158" i="4" s="1"/>
  <c r="F145" i="4"/>
  <c r="E145" i="4"/>
  <c r="B145" i="4"/>
  <c r="F144" i="4"/>
  <c r="E144" i="4"/>
  <c r="B144" i="4"/>
  <c r="F143" i="4"/>
  <c r="E143" i="4"/>
  <c r="B143" i="4"/>
  <c r="F142" i="4"/>
  <c r="E142" i="4"/>
  <c r="B142" i="4"/>
  <c r="F141" i="4"/>
  <c r="E141" i="4"/>
  <c r="B141" i="4"/>
  <c r="F140" i="4"/>
  <c r="E140" i="4"/>
  <c r="B140" i="4"/>
  <c r="F139" i="4"/>
  <c r="E139" i="4"/>
  <c r="B139" i="4"/>
  <c r="F138" i="4"/>
  <c r="E138" i="4"/>
  <c r="B138" i="4"/>
  <c r="F137" i="4"/>
  <c r="E137" i="4"/>
  <c r="B137" i="4"/>
  <c r="F136" i="4"/>
  <c r="E136" i="4"/>
  <c r="B136" i="4"/>
  <c r="F135" i="4"/>
  <c r="E135" i="4"/>
  <c r="B135" i="4"/>
  <c r="F134" i="4"/>
  <c r="E134" i="4"/>
  <c r="B134" i="4"/>
  <c r="F133" i="4"/>
  <c r="E133" i="4"/>
  <c r="B133" i="4"/>
  <c r="F132" i="4"/>
  <c r="E132" i="4"/>
  <c r="B132" i="4"/>
  <c r="F131" i="4"/>
  <c r="E131" i="4"/>
  <c r="B131" i="4"/>
  <c r="F130" i="4"/>
  <c r="E130" i="4"/>
  <c r="B130" i="4"/>
  <c r="F129" i="4"/>
  <c r="E129" i="4"/>
  <c r="B129" i="4"/>
  <c r="C129" i="4" s="1"/>
  <c r="F128" i="4"/>
  <c r="E128" i="4"/>
  <c r="B128" i="4"/>
  <c r="F127" i="4"/>
  <c r="E127" i="4"/>
  <c r="B127" i="4"/>
  <c r="F126" i="4"/>
  <c r="E126" i="4"/>
  <c r="B126" i="4"/>
  <c r="F125" i="4"/>
  <c r="E125" i="4"/>
  <c r="B125" i="4"/>
  <c r="F124" i="4"/>
  <c r="E124" i="4"/>
  <c r="B124" i="4"/>
  <c r="F123" i="4"/>
  <c r="E123" i="4"/>
  <c r="B123" i="4"/>
  <c r="F122" i="4"/>
  <c r="E122" i="4"/>
  <c r="B122" i="4"/>
  <c r="C122" i="4" s="1"/>
  <c r="F121" i="4"/>
  <c r="E121" i="4"/>
  <c r="B121" i="4"/>
  <c r="F120" i="4"/>
  <c r="E120" i="4"/>
  <c r="B120" i="4"/>
  <c r="F119" i="4"/>
  <c r="E119" i="4"/>
  <c r="B119" i="4"/>
  <c r="F118" i="4"/>
  <c r="E118" i="4"/>
  <c r="B118" i="4"/>
  <c r="F117" i="4"/>
  <c r="E117" i="4"/>
  <c r="B117" i="4"/>
  <c r="C117" i="4" s="1"/>
  <c r="F116" i="4"/>
  <c r="E116" i="4"/>
  <c r="B116" i="4"/>
  <c r="F115" i="4"/>
  <c r="E115" i="4"/>
  <c r="B115" i="4"/>
  <c r="F114" i="4"/>
  <c r="E114" i="4"/>
  <c r="B114" i="4"/>
  <c r="C114" i="4" s="1"/>
  <c r="F113" i="4"/>
  <c r="E113" i="4"/>
  <c r="D113" i="4"/>
  <c r="B113" i="4"/>
  <c r="F112" i="4"/>
  <c r="E112" i="4"/>
  <c r="B112" i="4"/>
  <c r="F111" i="4"/>
  <c r="E111" i="4"/>
  <c r="B111" i="4"/>
  <c r="F110" i="4"/>
  <c r="E110" i="4"/>
  <c r="B110" i="4"/>
  <c r="F109" i="4"/>
  <c r="E109" i="4"/>
  <c r="B109" i="4"/>
  <c r="F108" i="4"/>
  <c r="E108" i="4"/>
  <c r="B108" i="4"/>
  <c r="F107" i="4"/>
  <c r="E107" i="4"/>
  <c r="B107" i="4"/>
  <c r="F106" i="4"/>
  <c r="E106" i="4"/>
  <c r="B106" i="4"/>
  <c r="F105" i="4"/>
  <c r="E105" i="4"/>
  <c r="B105" i="4"/>
  <c r="F104" i="4"/>
  <c r="E104" i="4"/>
  <c r="B104" i="4"/>
  <c r="F103" i="4"/>
  <c r="E103" i="4"/>
  <c r="B103" i="4"/>
  <c r="F102" i="4"/>
  <c r="E102" i="4"/>
  <c r="B102" i="4"/>
  <c r="F101" i="4"/>
  <c r="E101" i="4"/>
  <c r="B101" i="4"/>
  <c r="F100" i="4"/>
  <c r="E100" i="4"/>
  <c r="B100" i="4"/>
  <c r="C101" i="4" s="1"/>
  <c r="F99" i="4"/>
  <c r="E99" i="4"/>
  <c r="B99" i="4"/>
  <c r="F98" i="4"/>
  <c r="E98" i="4"/>
  <c r="B98" i="4"/>
  <c r="F97" i="4"/>
  <c r="E97" i="4"/>
  <c r="B97" i="4"/>
  <c r="F96" i="4"/>
  <c r="E96" i="4"/>
  <c r="B96" i="4"/>
  <c r="F95" i="4"/>
  <c r="E95" i="4"/>
  <c r="B95" i="4"/>
  <c r="F94" i="4"/>
  <c r="E94" i="4"/>
  <c r="B94" i="4"/>
  <c r="F93" i="4"/>
  <c r="E93" i="4"/>
  <c r="B93" i="4"/>
  <c r="F92" i="4"/>
  <c r="E92" i="4"/>
  <c r="B92" i="4"/>
  <c r="D104" i="4" s="1"/>
  <c r="F91" i="4"/>
  <c r="E91" i="4"/>
  <c r="B91" i="4"/>
  <c r="F90" i="4"/>
  <c r="E90" i="4"/>
  <c r="B90" i="4"/>
  <c r="F89" i="4"/>
  <c r="E89" i="4"/>
  <c r="B89" i="4"/>
  <c r="F88" i="4"/>
  <c r="E88" i="4"/>
  <c r="B88" i="4"/>
  <c r="F87" i="4"/>
  <c r="E87" i="4"/>
  <c r="B87" i="4"/>
  <c r="F86" i="4"/>
  <c r="E86" i="4"/>
  <c r="B86" i="4"/>
  <c r="F85" i="4"/>
  <c r="E85" i="4"/>
  <c r="B85" i="4"/>
  <c r="F84" i="4"/>
  <c r="E84" i="4"/>
  <c r="B84" i="4"/>
  <c r="F83" i="4"/>
  <c r="E83" i="4"/>
  <c r="B83" i="4"/>
  <c r="F82" i="4"/>
  <c r="E82" i="4"/>
  <c r="B82" i="4"/>
  <c r="F81" i="4"/>
  <c r="E81" i="4"/>
  <c r="B81" i="4"/>
  <c r="F80" i="4"/>
  <c r="E80" i="4"/>
  <c r="B80" i="4"/>
  <c r="F79" i="4"/>
  <c r="E79" i="4"/>
  <c r="B79" i="4"/>
  <c r="F78" i="4"/>
  <c r="E78" i="4"/>
  <c r="B78" i="4"/>
  <c r="F77" i="4"/>
  <c r="E77" i="4"/>
  <c r="B77" i="4"/>
  <c r="F76" i="4"/>
  <c r="E76" i="4"/>
  <c r="B76" i="4"/>
  <c r="F75" i="4"/>
  <c r="E75" i="4"/>
  <c r="B75" i="4"/>
  <c r="C75" i="4" s="1"/>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D23" i="4" s="1"/>
  <c r="F22" i="4"/>
  <c r="E22" i="4"/>
  <c r="B22" i="4"/>
  <c r="F21" i="4"/>
  <c r="E21" i="4"/>
  <c r="B21" i="4"/>
  <c r="F20" i="4"/>
  <c r="E20" i="4"/>
  <c r="B20" i="4"/>
  <c r="F19" i="4"/>
  <c r="E19" i="4"/>
  <c r="B19" i="4"/>
  <c r="F18" i="4"/>
  <c r="E18" i="4"/>
  <c r="B18" i="4"/>
  <c r="F17" i="4"/>
  <c r="E17" i="4"/>
  <c r="B17" i="4"/>
  <c r="F16" i="4"/>
  <c r="E16" i="4"/>
  <c r="B16" i="4"/>
  <c r="F15" i="4"/>
  <c r="E15" i="4"/>
  <c r="B15" i="4"/>
  <c r="F14" i="4"/>
  <c r="E14" i="4"/>
  <c r="B14" i="4"/>
  <c r="F13" i="4"/>
  <c r="E13" i="4"/>
  <c r="B13" i="4"/>
  <c r="F12" i="4"/>
  <c r="E12" i="4"/>
  <c r="B12" i="4"/>
  <c r="F11" i="4"/>
  <c r="E11" i="4"/>
  <c r="B11" i="4"/>
  <c r="F10" i="4"/>
  <c r="E10" i="4"/>
  <c r="B10" i="4"/>
  <c r="F9" i="4"/>
  <c r="E9" i="4"/>
  <c r="B9" i="4"/>
  <c r="F8" i="4"/>
  <c r="E8" i="4"/>
  <c r="B8" i="4"/>
  <c r="F7" i="4"/>
  <c r="E7" i="4"/>
  <c r="B7" i="4"/>
  <c r="F6" i="4"/>
  <c r="E6" i="4"/>
  <c r="B6" i="4"/>
  <c r="F5" i="4"/>
  <c r="E5" i="4"/>
  <c r="B5" i="4"/>
  <c r="N23" i="1"/>
  <c r="Q16" i="1" s="1"/>
  <c r="N22" i="1"/>
  <c r="Q19" i="1"/>
  <c r="D35" i="4" l="1"/>
  <c r="D51" i="4"/>
  <c r="D63" i="4"/>
  <c r="D317" i="4"/>
  <c r="D397" i="4"/>
  <c r="D409" i="4"/>
  <c r="D445" i="4"/>
  <c r="D509" i="4"/>
  <c r="D548" i="4"/>
  <c r="D659" i="4"/>
  <c r="C556" i="4"/>
  <c r="C596" i="4"/>
  <c r="D730" i="4"/>
  <c r="D761" i="4"/>
  <c r="C769" i="4"/>
  <c r="C773" i="4"/>
  <c r="D238" i="4"/>
  <c r="D262" i="4"/>
  <c r="D640" i="4"/>
  <c r="C24" i="4"/>
  <c r="C32" i="4"/>
  <c r="C40" i="4"/>
  <c r="C96" i="4"/>
  <c r="D112" i="4"/>
  <c r="C183" i="4"/>
  <c r="C187" i="4"/>
  <c r="D286" i="4"/>
  <c r="C306" i="4"/>
  <c r="D314" i="4"/>
  <c r="C378" i="4"/>
  <c r="C386" i="4"/>
  <c r="C402" i="4"/>
  <c r="D406" i="4"/>
  <c r="C422" i="4"/>
  <c r="D470" i="4"/>
  <c r="C478" i="4"/>
  <c r="C498" i="4"/>
  <c r="D660" i="4"/>
  <c r="C672" i="4"/>
  <c r="D676" i="4"/>
  <c r="D750" i="4"/>
  <c r="D873" i="4"/>
  <c r="D191" i="4"/>
  <c r="C569" i="4"/>
  <c r="D723" i="4"/>
  <c r="D727" i="4"/>
  <c r="D259" i="4"/>
  <c r="D637" i="4"/>
  <c r="D830" i="4"/>
  <c r="C846" i="4"/>
  <c r="C8" i="4"/>
  <c r="C12" i="4"/>
  <c r="C16" i="4"/>
  <c r="C46" i="4"/>
  <c r="C58" i="4"/>
  <c r="D180" i="4"/>
  <c r="D283" i="4"/>
  <c r="C288" i="4"/>
  <c r="C299" i="4"/>
  <c r="C323" i="4"/>
  <c r="C331" i="4"/>
  <c r="C343" i="4"/>
  <c r="C388" i="4"/>
  <c r="C415" i="4"/>
  <c r="D435" i="4"/>
  <c r="D455" i="4"/>
  <c r="D503" i="4"/>
  <c r="C874" i="4"/>
  <c r="C911" i="4"/>
  <c r="C142" i="4"/>
  <c r="D161" i="4"/>
  <c r="C562" i="4"/>
  <c r="C602" i="4"/>
  <c r="C618" i="4"/>
  <c r="C720" i="4"/>
  <c r="C220" i="4"/>
  <c r="C256" i="4"/>
  <c r="D268" i="4"/>
  <c r="C273" i="4"/>
  <c r="C807" i="4"/>
  <c r="C816" i="4"/>
  <c r="D827" i="4"/>
  <c r="C852" i="4"/>
  <c r="D94" i="4"/>
  <c r="C182" i="4"/>
  <c r="C186" i="4"/>
  <c r="D296" i="4"/>
  <c r="D312" i="4"/>
  <c r="D352" i="4"/>
  <c r="D396" i="4"/>
  <c r="D416" i="4"/>
  <c r="D424" i="4"/>
  <c r="D436" i="4"/>
  <c r="D484" i="4"/>
  <c r="D662" i="4"/>
  <c r="D666" i="4"/>
  <c r="D911" i="4"/>
  <c r="D915" i="4"/>
  <c r="D150" i="4"/>
  <c r="D524" i="4"/>
  <c r="D627" i="4"/>
  <c r="D686" i="4"/>
  <c r="D690" i="4"/>
  <c r="D768" i="4"/>
  <c r="C174" i="4"/>
  <c r="D269" i="4"/>
  <c r="D273" i="4"/>
  <c r="C278" i="4"/>
  <c r="D796" i="4"/>
  <c r="D364" i="4"/>
  <c r="D137" i="4"/>
  <c r="D517" i="4"/>
  <c r="D188" i="4"/>
  <c r="D130" i="4"/>
  <c r="D134" i="4"/>
  <c r="D173" i="4"/>
  <c r="C177" i="4"/>
  <c r="C211" i="4"/>
  <c r="C216" i="4"/>
  <c r="C265" i="4"/>
  <c r="D326" i="4"/>
  <c r="C330" i="4"/>
  <c r="D369" i="4"/>
  <c r="D422" i="4"/>
  <c r="C433" i="4"/>
  <c r="D468" i="4"/>
  <c r="D495" i="4"/>
  <c r="D522" i="4"/>
  <c r="C526" i="4"/>
  <c r="D557" i="4"/>
  <c r="C638" i="4"/>
  <c r="C661" i="4"/>
  <c r="D665" i="4"/>
  <c r="C739" i="4"/>
  <c r="D755" i="4"/>
  <c r="C770" i="4"/>
  <c r="D828" i="4"/>
  <c r="D902" i="4"/>
  <c r="C192" i="4"/>
  <c r="C227" i="4"/>
  <c r="D315" i="4"/>
  <c r="D437" i="4"/>
  <c r="C530" i="4"/>
  <c r="C565" i="4"/>
  <c r="D608" i="4"/>
  <c r="C710" i="4"/>
  <c r="D20" i="4"/>
  <c r="D71" i="4"/>
  <c r="D119" i="4"/>
  <c r="D304" i="4"/>
  <c r="C319" i="4"/>
  <c r="C396" i="4"/>
  <c r="C445" i="4"/>
  <c r="C449" i="4"/>
  <c r="C468" i="4"/>
  <c r="C546" i="4"/>
  <c r="D550" i="4"/>
  <c r="D680" i="4"/>
  <c r="D684" i="4"/>
  <c r="D732" i="4"/>
  <c r="C763" i="4"/>
  <c r="C813" i="4"/>
  <c r="C817" i="4"/>
  <c r="D821" i="4"/>
  <c r="D844" i="4"/>
  <c r="D89" i="4"/>
  <c r="C162" i="4"/>
  <c r="D327" i="4"/>
  <c r="D407" i="4"/>
  <c r="D883" i="4"/>
  <c r="C903" i="4"/>
  <c r="D184" i="4"/>
  <c r="D143" i="4"/>
  <c r="C197" i="4"/>
  <c r="C224" i="4"/>
  <c r="D232" i="4"/>
  <c r="C289" i="4"/>
  <c r="C298" i="4"/>
  <c r="D401" i="4"/>
  <c r="D400" i="4"/>
  <c r="D442" i="4"/>
  <c r="C465" i="4"/>
  <c r="D527" i="4"/>
  <c r="D609" i="4"/>
  <c r="C628" i="4"/>
  <c r="C712" i="4"/>
  <c r="D860" i="4"/>
  <c r="D876" i="4"/>
  <c r="D360" i="4"/>
  <c r="D245" i="4"/>
  <c r="C361" i="4"/>
  <c r="C365" i="4"/>
  <c r="C448" i="4"/>
  <c r="C452" i="4"/>
  <c r="D479" i="4"/>
  <c r="D506" i="4"/>
  <c r="C549" i="4"/>
  <c r="D576" i="4"/>
  <c r="C584" i="4"/>
  <c r="D588" i="4"/>
  <c r="D619" i="4"/>
  <c r="D672" i="4"/>
  <c r="D720" i="4"/>
  <c r="D785" i="4"/>
  <c r="C789" i="4"/>
  <c r="C793" i="4"/>
  <c r="C812" i="4"/>
  <c r="C820" i="4"/>
  <c r="C824" i="4"/>
  <c r="D25" i="4"/>
  <c r="D29" i="4"/>
  <c r="C6" i="4"/>
  <c r="C10" i="4"/>
  <c r="C14" i="4"/>
  <c r="D53" i="4"/>
  <c r="D42" i="4"/>
  <c r="D46" i="4"/>
  <c r="C232" i="4"/>
  <c r="C239" i="4"/>
  <c r="D255" i="4"/>
  <c r="D355" i="4"/>
  <c r="C360" i="4"/>
  <c r="D427" i="4"/>
  <c r="C474" i="4"/>
  <c r="C512" i="4"/>
  <c r="D543" i="4"/>
  <c r="D547" i="4"/>
  <c r="C578" i="4"/>
  <c r="C582" i="4"/>
  <c r="D586" i="4"/>
  <c r="C681" i="4"/>
  <c r="C685" i="4"/>
  <c r="D689" i="4"/>
  <c r="D726" i="4"/>
  <c r="C756" i="4"/>
  <c r="C761" i="4"/>
  <c r="C787" i="4"/>
  <c r="D810" i="4"/>
  <c r="C837" i="4"/>
  <c r="C841" i="4"/>
  <c r="C849" i="4"/>
  <c r="D864" i="4"/>
  <c r="D463" i="4"/>
  <c r="D32" i="4"/>
  <c r="D70" i="4"/>
  <c r="D78" i="4"/>
  <c r="D82" i="4"/>
  <c r="D124" i="4"/>
  <c r="D136" i="4"/>
  <c r="D140" i="4"/>
  <c r="C167" i="4"/>
  <c r="C172" i="4"/>
  <c r="C176" i="4"/>
  <c r="C210" i="4"/>
  <c r="D348" i="4"/>
  <c r="C458" i="4"/>
  <c r="C489" i="4"/>
  <c r="C517" i="4"/>
  <c r="C857" i="4"/>
  <c r="D888" i="4"/>
  <c r="C908" i="4"/>
  <c r="D256" i="4"/>
  <c r="D337" i="4"/>
  <c r="D145" i="4"/>
  <c r="D40" i="4"/>
  <c r="D52" i="4"/>
  <c r="D56" i="4"/>
  <c r="D60" i="4"/>
  <c r="D153" i="4"/>
  <c r="C157" i="4"/>
  <c r="D39" i="4"/>
  <c r="C113" i="4"/>
  <c r="D148" i="4"/>
  <c r="C221" i="4"/>
  <c r="D528" i="4"/>
  <c r="D610" i="4"/>
  <c r="D625" i="4"/>
  <c r="D709" i="4"/>
  <c r="D712" i="4"/>
  <c r="D857" i="4"/>
  <c r="D912" i="4"/>
  <c r="D792" i="4"/>
  <c r="C838" i="4"/>
  <c r="D916" i="4"/>
  <c r="C796" i="4"/>
  <c r="C890" i="4"/>
  <c r="D897" i="4"/>
  <c r="C902" i="4"/>
  <c r="C910" i="4"/>
  <c r="D529" i="4"/>
  <c r="D533" i="4"/>
  <c r="D599" i="4"/>
  <c r="D657" i="4"/>
  <c r="C699" i="4"/>
  <c r="C801" i="4"/>
  <c r="D90" i="4"/>
  <c r="C97" i="4"/>
  <c r="C98" i="4"/>
  <c r="D573" i="4"/>
  <c r="C573" i="4"/>
  <c r="C574" i="4"/>
  <c r="C593" i="4"/>
  <c r="D593" i="4"/>
  <c r="C90" i="4"/>
  <c r="D109" i="4"/>
  <c r="D350" i="4"/>
  <c r="D385" i="4"/>
  <c r="D373" i="4"/>
  <c r="C373" i="4"/>
  <c r="D489" i="4"/>
  <c r="C494" i="4"/>
  <c r="D493" i="4"/>
  <c r="C493" i="4"/>
  <c r="D172" i="4"/>
  <c r="C309" i="4"/>
  <c r="D309" i="4"/>
  <c r="D403" i="4"/>
  <c r="D415" i="4"/>
  <c r="C552" i="4"/>
  <c r="D564" i="4"/>
  <c r="D552" i="4"/>
  <c r="D614" i="4"/>
  <c r="C615" i="4"/>
  <c r="C389" i="4"/>
  <c r="C393" i="4"/>
  <c r="D405" i="4"/>
  <c r="C888" i="4"/>
  <c r="D83" i="4"/>
  <c r="D217" i="4"/>
  <c r="C217" i="4"/>
  <c r="D670" i="4"/>
  <c r="C671" i="4"/>
  <c r="D280" i="4"/>
  <c r="C553" i="4"/>
  <c r="C109" i="4"/>
  <c r="D108" i="4"/>
  <c r="C108" i="4"/>
  <c r="D702" i="4"/>
  <c r="C702" i="4"/>
  <c r="D459" i="4"/>
  <c r="D471" i="4"/>
  <c r="D566" i="4"/>
  <c r="C566" i="4"/>
  <c r="D639" i="4"/>
  <c r="C640" i="4"/>
  <c r="D673" i="4"/>
  <c r="C674" i="4"/>
  <c r="C673" i="4"/>
  <c r="D44" i="4"/>
  <c r="C44" i="4"/>
  <c r="D75" i="4"/>
  <c r="C87" i="4"/>
  <c r="D87" i="4"/>
  <c r="C332" i="4"/>
  <c r="D343" i="4"/>
  <c r="D331" i="4"/>
  <c r="D632" i="4"/>
  <c r="C639" i="4"/>
  <c r="D237" i="4"/>
  <c r="C225" i="4"/>
  <c r="D225" i="4"/>
  <c r="D452" i="4"/>
  <c r="D636" i="4"/>
  <c r="D648" i="4"/>
  <c r="D68" i="4"/>
  <c r="D556" i="4"/>
  <c r="D544" i="4"/>
  <c r="D629" i="4"/>
  <c r="C629" i="4"/>
  <c r="D764" i="4"/>
  <c r="D776" i="4"/>
  <c r="C764" i="4"/>
  <c r="D18" i="4"/>
  <c r="D22" i="4"/>
  <c r="C23" i="4"/>
  <c r="D49" i="4"/>
  <c r="C49" i="4"/>
  <c r="D195" i="4"/>
  <c r="C283" i="4"/>
  <c r="D541" i="4"/>
  <c r="C541" i="4"/>
  <c r="D376" i="4"/>
  <c r="C601" i="4"/>
  <c r="D600" i="4"/>
  <c r="C600" i="4"/>
  <c r="D612" i="4"/>
  <c r="C22" i="4"/>
  <c r="D301" i="4"/>
  <c r="D392" i="4"/>
  <c r="D456" i="4"/>
  <c r="D595" i="4"/>
  <c r="D607" i="4"/>
  <c r="D744" i="4"/>
  <c r="D756" i="4"/>
  <c r="D64" i="4"/>
  <c r="C100" i="4"/>
  <c r="D208" i="4"/>
  <c r="C245" i="4"/>
  <c r="C250" i="4"/>
  <c r="D249" i="4"/>
  <c r="C301" i="4"/>
  <c r="D478" i="4"/>
  <c r="C473" i="4"/>
  <c r="D565" i="4"/>
  <c r="C614" i="4"/>
  <c r="D613" i="4"/>
  <c r="C613" i="4"/>
  <c r="C744" i="4"/>
  <c r="C853" i="4"/>
  <c r="C854" i="4"/>
  <c r="C860" i="4"/>
  <c r="D804" i="4"/>
  <c r="C804" i="4"/>
  <c r="D816" i="4"/>
  <c r="C834" i="4"/>
  <c r="D834" i="4"/>
  <c r="D868" i="4"/>
  <c r="C868" i="4"/>
  <c r="D880" i="4"/>
  <c r="C479" i="4"/>
  <c r="D513" i="4"/>
  <c r="C501" i="4"/>
  <c r="D501" i="4"/>
  <c r="D571" i="4"/>
  <c r="D583" i="4"/>
  <c r="D663" i="4"/>
  <c r="D671" i="4"/>
  <c r="C728" i="4"/>
  <c r="C735" i="4"/>
  <c r="D76" i="4"/>
  <c r="D110" i="4"/>
  <c r="D122" i="4"/>
  <c r="C140" i="4"/>
  <c r="D222" i="4"/>
  <c r="C222" i="4"/>
  <c r="D560" i="4"/>
  <c r="C560" i="4"/>
  <c r="D274" i="4"/>
  <c r="C274" i="4"/>
  <c r="D623" i="4"/>
  <c r="C624" i="4"/>
  <c r="D787" i="4"/>
  <c r="C814" i="4"/>
  <c r="C815" i="4"/>
  <c r="D826" i="4"/>
  <c r="D196" i="4"/>
  <c r="C219" i="4"/>
  <c r="D219" i="4"/>
  <c r="C259" i="4"/>
  <c r="C268" i="4"/>
  <c r="D267" i="4"/>
  <c r="D278" i="4"/>
  <c r="D319" i="4"/>
  <c r="C345" i="4"/>
  <c r="C348" i="4"/>
  <c r="C349" i="4"/>
  <c r="C417" i="4"/>
  <c r="C447" i="4"/>
  <c r="D516" i="4"/>
  <c r="D553" i="4"/>
  <c r="C579" i="4"/>
  <c r="D617" i="4"/>
  <c r="C605" i="4"/>
  <c r="D605" i="4"/>
  <c r="D685" i="4"/>
  <c r="D696" i="4"/>
  <c r="C708" i="4"/>
  <c r="C707" i="4"/>
  <c r="D707" i="4"/>
  <c r="D714" i="4"/>
  <c r="C718" i="4"/>
  <c r="D718" i="4"/>
  <c r="D747" i="4"/>
  <c r="D759" i="4"/>
  <c r="C818" i="4"/>
  <c r="D840" i="4"/>
  <c r="D144" i="4"/>
  <c r="C132" i="4"/>
  <c r="D154" i="4"/>
  <c r="D166" i="4"/>
  <c r="C206" i="4"/>
  <c r="D328" i="4"/>
  <c r="D340" i="4"/>
  <c r="C412" i="4"/>
  <c r="D412" i="4"/>
  <c r="C651" i="4"/>
  <c r="D651" i="4"/>
  <c r="D794" i="4"/>
  <c r="C794" i="4"/>
  <c r="D896" i="4"/>
  <c r="D900" i="4"/>
  <c r="C72" i="4"/>
  <c r="C118" i="4"/>
  <c r="D117" i="4"/>
  <c r="C214" i="4"/>
  <c r="D214" i="4"/>
  <c r="C277" i="4"/>
  <c r="C328" i="4"/>
  <c r="D382" i="4"/>
  <c r="D370" i="4"/>
  <c r="D384" i="4"/>
  <c r="C384" i="4"/>
  <c r="C482" i="4"/>
  <c r="D486" i="4"/>
  <c r="D498" i="4"/>
  <c r="C534" i="4"/>
  <c r="C659" i="4"/>
  <c r="C660" i="4"/>
  <c r="D699" i="4"/>
  <c r="C757" i="4"/>
  <c r="D769" i="4"/>
  <c r="C881" i="4"/>
  <c r="D61" i="4"/>
  <c r="D92" i="4"/>
  <c r="D80" i="4"/>
  <c r="C284" i="4"/>
  <c r="C310" i="4"/>
  <c r="C370" i="4"/>
  <c r="D65" i="4"/>
  <c r="C240" i="4"/>
  <c r="C244" i="4"/>
  <c r="D244" i="4"/>
  <c r="D310" i="4"/>
  <c r="C527" i="4"/>
  <c r="C576" i="4"/>
  <c r="D692" i="4"/>
  <c r="D704" i="4"/>
  <c r="D28" i="4"/>
  <c r="D54" i="4"/>
  <c r="C70" i="4"/>
  <c r="D69" i="4"/>
  <c r="C69" i="4"/>
  <c r="C137" i="4"/>
  <c r="C9" i="4"/>
  <c r="C13" i="4"/>
  <c r="D17" i="4"/>
  <c r="D47" i="4"/>
  <c r="D58" i="4"/>
  <c r="D111" i="4"/>
  <c r="C111" i="4"/>
  <c r="C304" i="4"/>
  <c r="C307" i="4"/>
  <c r="C436" i="4"/>
  <c r="D447" i="4"/>
  <c r="C561" i="4"/>
  <c r="D572" i="4"/>
  <c r="D579" i="4"/>
  <c r="D616" i="4"/>
  <c r="C616" i="4"/>
  <c r="D729" i="4"/>
  <c r="C747" i="4"/>
  <c r="D833" i="4"/>
  <c r="C871" i="4"/>
  <c r="D871" i="4"/>
  <c r="C94" i="4"/>
  <c r="D116" i="4"/>
  <c r="C205" i="4"/>
  <c r="D241" i="4"/>
  <c r="C280" i="4"/>
  <c r="D345" i="4"/>
  <c r="D568" i="4"/>
  <c r="C676" i="4"/>
  <c r="D701" i="4"/>
  <c r="C840" i="4"/>
  <c r="C843" i="4"/>
  <c r="C104" i="4"/>
  <c r="C116" i="4"/>
  <c r="D204" i="4"/>
  <c r="C238" i="4"/>
  <c r="C241" i="4"/>
  <c r="C262" i="4"/>
  <c r="D279" i="4"/>
  <c r="D313" i="4"/>
  <c r="C320" i="4"/>
  <c r="C409" i="4"/>
  <c r="C424" i="4"/>
  <c r="C455" i="4"/>
  <c r="D492" i="4"/>
  <c r="C495" i="4"/>
  <c r="D536" i="4"/>
  <c r="D555" i="4"/>
  <c r="D562" i="4"/>
  <c r="D585" i="4"/>
  <c r="D618" i="4"/>
  <c r="D641" i="4"/>
  <c r="D688" i="4"/>
  <c r="D713" i="4"/>
  <c r="D743" i="4"/>
  <c r="C750" i="4"/>
  <c r="D773" i="4"/>
  <c r="C786" i="4"/>
  <c r="D789" i="4"/>
  <c r="D839" i="4"/>
  <c r="D846" i="4"/>
  <c r="C864" i="4"/>
  <c r="D908" i="4"/>
  <c r="C99" i="4"/>
  <c r="D139" i="4"/>
  <c r="C158" i="4"/>
  <c r="C161" i="4"/>
  <c r="C311" i="4"/>
  <c r="C325" i="4"/>
  <c r="C350" i="4"/>
  <c r="C377" i="4"/>
  <c r="C397" i="4"/>
  <c r="D433" i="4"/>
  <c r="C477" i="4"/>
  <c r="C755" i="4"/>
  <c r="D758" i="4"/>
  <c r="D892" i="4"/>
  <c r="D906" i="4"/>
  <c r="C916" i="4"/>
  <c r="C95" i="4"/>
  <c r="D121" i="4"/>
  <c r="D199" i="4"/>
  <c r="C233" i="4"/>
  <c r="D236" i="4"/>
  <c r="D246" i="4"/>
  <c r="C264" i="4"/>
  <c r="D271" i="4"/>
  <c r="D325" i="4"/>
  <c r="D335" i="4"/>
  <c r="D394" i="4"/>
  <c r="D428" i="4"/>
  <c r="D500" i="4"/>
  <c r="C531" i="4"/>
  <c r="D538" i="4"/>
  <c r="C551" i="4"/>
  <c r="D570" i="4"/>
  <c r="C643" i="4"/>
  <c r="C658" i="4"/>
  <c r="C677" i="4"/>
  <c r="D693" i="4"/>
  <c r="D706" i="4"/>
  <c r="C715" i="4"/>
  <c r="C725" i="4"/>
  <c r="D793" i="4"/>
  <c r="D801" i="4"/>
  <c r="C913" i="4"/>
  <c r="C34" i="4"/>
  <c r="D37" i="4"/>
  <c r="C66" i="4"/>
  <c r="C84" i="4"/>
  <c r="C7" i="4"/>
  <c r="C11" i="4"/>
  <c r="D27" i="4"/>
  <c r="D26" i="4"/>
  <c r="D30" i="4"/>
  <c r="D48" i="4"/>
  <c r="D66" i="4"/>
  <c r="D73" i="4"/>
  <c r="D100" i="4"/>
  <c r="D41" i="4"/>
  <c r="D59" i="4"/>
  <c r="D77" i="4"/>
  <c r="D95" i="4"/>
  <c r="D98" i="4"/>
  <c r="C105" i="4"/>
  <c r="C121" i="4"/>
  <c r="C124" i="4"/>
  <c r="C148" i="4"/>
  <c r="C166" i="4"/>
  <c r="C196" i="4"/>
  <c r="D230" i="4"/>
  <c r="D233" i="4"/>
  <c r="C246" i="4"/>
  <c r="C258" i="4"/>
  <c r="D264" i="4"/>
  <c r="C281" i="4"/>
  <c r="C292" i="4"/>
  <c r="C305" i="4"/>
  <c r="D322" i="4"/>
  <c r="D346" i="4"/>
  <c r="C353" i="4"/>
  <c r="D374" i="4"/>
  <c r="D381" i="4"/>
  <c r="C401" i="4"/>
  <c r="C425" i="4"/>
  <c r="D462" i="4"/>
  <c r="C457" i="4"/>
  <c r="D483" i="4"/>
  <c r="D474" i="4"/>
  <c r="D514" i="4"/>
  <c r="C525" i="4"/>
  <c r="C528" i="4"/>
  <c r="D531" i="4"/>
  <c r="C557" i="4"/>
  <c r="C580" i="4"/>
  <c r="C591" i="4"/>
  <c r="C620" i="4"/>
  <c r="D630" i="4"/>
  <c r="D643" i="4"/>
  <c r="C657" i="4"/>
  <c r="D677" i="4"/>
  <c r="C680" i="4"/>
  <c r="C693" i="4"/>
  <c r="D715" i="4"/>
  <c r="C738" i="4"/>
  <c r="D752" i="4"/>
  <c r="D778" i="4"/>
  <c r="D781" i="4"/>
  <c r="D788" i="4"/>
  <c r="D815" i="4"/>
  <c r="C828" i="4"/>
  <c r="C879" i="4"/>
  <c r="C889" i="4"/>
  <c r="D34" i="4"/>
  <c r="C82" i="4"/>
  <c r="D97" i="4"/>
  <c r="C115" i="4"/>
  <c r="C136" i="4"/>
  <c r="C160" i="4"/>
  <c r="D181" i="4"/>
  <c r="D190" i="4"/>
  <c r="D193" i="4"/>
  <c r="D250" i="4"/>
  <c r="D254" i="4"/>
  <c r="C303" i="4"/>
  <c r="C312" i="4"/>
  <c r="C322" i="4"/>
  <c r="D329" i="4"/>
  <c r="D332" i="4"/>
  <c r="C346" i="4"/>
  <c r="C369" i="4"/>
  <c r="D378" i="4"/>
  <c r="C385" i="4"/>
  <c r="C391" i="4"/>
  <c r="D420" i="4"/>
  <c r="D425" i="4"/>
  <c r="C450" i="4"/>
  <c r="D457" i="4"/>
  <c r="C471" i="4"/>
  <c r="C492" i="4"/>
  <c r="D494" i="4"/>
  <c r="D567" i="4"/>
  <c r="D580" i="4"/>
  <c r="C637" i="4"/>
  <c r="C654" i="4"/>
  <c r="D668" i="4"/>
  <c r="C690" i="4"/>
  <c r="D722" i="4"/>
  <c r="D742" i="4"/>
  <c r="D771" i="4"/>
  <c r="C762" i="4"/>
  <c r="C766" i="4"/>
  <c r="C778" i="4"/>
  <c r="C788" i="4"/>
  <c r="C795" i="4"/>
  <c r="D845" i="4"/>
  <c r="D905" i="4"/>
  <c r="C759" i="4"/>
  <c r="D762" i="4"/>
  <c r="C772" i="4"/>
  <c r="D814" i="4"/>
  <c r="C912" i="4"/>
  <c r="C914" i="4"/>
  <c r="D96" i="4"/>
  <c r="D106" i="4"/>
  <c r="C181" i="4"/>
  <c r="C208" i="4"/>
  <c r="C248" i="4"/>
  <c r="D574" i="4"/>
  <c r="D644" i="4"/>
  <c r="C714" i="4"/>
  <c r="C802" i="4"/>
  <c r="D885" i="4"/>
  <c r="D887" i="4"/>
  <c r="D399" i="4"/>
  <c r="C399" i="4"/>
  <c r="D430" i="4"/>
  <c r="D418" i="4"/>
  <c r="D441" i="4"/>
  <c r="C441" i="4"/>
  <c r="D454" i="4"/>
  <c r="D473" i="4"/>
  <c r="D461" i="4"/>
  <c r="D490" i="4"/>
  <c r="C490" i="4"/>
  <c r="C538" i="4"/>
  <c r="C537" i="4"/>
  <c r="D537" i="4"/>
  <c r="C13" i="5"/>
  <c r="D25" i="5"/>
  <c r="C14" i="5"/>
  <c r="C93" i="4"/>
  <c r="D120" i="4"/>
  <c r="C120" i="4"/>
  <c r="D123" i="4"/>
  <c r="D129" i="4"/>
  <c r="D132" i="4"/>
  <c r="C135" i="4"/>
  <c r="D147" i="4"/>
  <c r="C150" i="4"/>
  <c r="D157" i="4"/>
  <c r="C169" i="4"/>
  <c r="C175" i="4"/>
  <c r="D178" i="4"/>
  <c r="C178" i="4"/>
  <c r="D187" i="4"/>
  <c r="C193" i="4"/>
  <c r="C199" i="4"/>
  <c r="D202" i="4"/>
  <c r="D211" i="4"/>
  <c r="D226" i="4"/>
  <c r="D277" i="4"/>
  <c r="C286" i="4"/>
  <c r="D307" i="4"/>
  <c r="D349" i="4"/>
  <c r="C359" i="4"/>
  <c r="D359" i="4"/>
  <c r="D362" i="4"/>
  <c r="C362" i="4"/>
  <c r="D368" i="4"/>
  <c r="C418" i="4"/>
  <c r="D434" i="4"/>
  <c r="C434" i="4"/>
  <c r="C435" i="4"/>
  <c r="C461" i="4"/>
  <c r="C520" i="4"/>
  <c r="C521" i="4"/>
  <c r="D520" i="4"/>
  <c r="D546" i="4"/>
  <c r="D534" i="4"/>
  <c r="C547" i="4"/>
  <c r="D559" i="4"/>
  <c r="D569" i="4"/>
  <c r="C570" i="4"/>
  <c r="C589" i="4"/>
  <c r="D589" i="4"/>
  <c r="C636" i="4"/>
  <c r="D635" i="4"/>
  <c r="D748" i="4"/>
  <c r="C748" i="4"/>
  <c r="D820" i="4"/>
  <c r="C179" i="6"/>
  <c r="D179" i="6"/>
  <c r="D220" i="6"/>
  <c r="D304" i="6"/>
  <c r="C304" i="6"/>
  <c r="D316" i="6"/>
  <c r="C378" i="6"/>
  <c r="D378" i="6"/>
  <c r="D430" i="6"/>
  <c r="C437" i="6"/>
  <c r="C438" i="6"/>
  <c r="D437" i="6"/>
  <c r="D449" i="6"/>
  <c r="D665" i="6"/>
  <c r="C665" i="6"/>
  <c r="C216" i="7"/>
  <c r="D216" i="7"/>
  <c r="D228" i="7"/>
  <c r="P17" i="1"/>
  <c r="P16" i="1"/>
  <c r="C26" i="4"/>
  <c r="C52" i="4"/>
  <c r="C55" i="4"/>
  <c r="D55" i="4"/>
  <c r="C78" i="4"/>
  <c r="C35" i="4"/>
  <c r="D38" i="4"/>
  <c r="C61" i="4"/>
  <c r="C18" i="4"/>
  <c r="C38" i="4"/>
  <c r="C64" i="4"/>
  <c r="D67" i="4"/>
  <c r="C67" i="4"/>
  <c r="D81" i="4"/>
  <c r="D205" i="4"/>
  <c r="D265" i="4"/>
  <c r="C266" i="4"/>
  <c r="D298" i="4"/>
  <c r="D377" i="4"/>
  <c r="C366" i="4"/>
  <c r="C15" i="4"/>
  <c r="C21" i="4"/>
  <c r="C27" i="4"/>
  <c r="C47" i="4"/>
  <c r="D50" i="4"/>
  <c r="C73" i="4"/>
  <c r="D21" i="4"/>
  <c r="C30" i="4"/>
  <c r="C50" i="4"/>
  <c r="C56" i="4"/>
  <c r="C76" i="4"/>
  <c r="D79" i="4"/>
  <c r="C79" i="4"/>
  <c r="D93" i="4"/>
  <c r="D135" i="4"/>
  <c r="D138" i="4"/>
  <c r="C139" i="4"/>
  <c r="C138" i="4"/>
  <c r="D169" i="4"/>
  <c r="D175" i="4"/>
  <c r="D365" i="4"/>
  <c r="D375" i="4"/>
  <c r="D387" i="4"/>
  <c r="D393" i="4"/>
  <c r="C431" i="4"/>
  <c r="C432" i="4"/>
  <c r="D519" i="4"/>
  <c r="C508" i="4"/>
  <c r="D507" i="4"/>
  <c r="C655" i="4"/>
  <c r="D667" i="4"/>
  <c r="D655" i="4"/>
  <c r="C669" i="4"/>
  <c r="D669" i="4"/>
  <c r="D681" i="4"/>
  <c r="D791" i="4"/>
  <c r="C792" i="4"/>
  <c r="C791" i="4"/>
  <c r="C129" i="6"/>
  <c r="D141" i="6"/>
  <c r="D129" i="6"/>
  <c r="D270" i="6"/>
  <c r="C270" i="6"/>
  <c r="D278" i="6"/>
  <c r="C278" i="6"/>
  <c r="D290" i="6"/>
  <c r="D431" i="6"/>
  <c r="C431" i="6"/>
  <c r="C505" i="6"/>
  <c r="D505" i="6"/>
  <c r="D323" i="7"/>
  <c r="C323" i="7"/>
  <c r="C33" i="4"/>
  <c r="C36" i="4"/>
  <c r="C39" i="4"/>
  <c r="C59" i="4"/>
  <c r="D62" i="4"/>
  <c r="C85" i="4"/>
  <c r="D105" i="4"/>
  <c r="C230" i="4"/>
  <c r="C251" i="4"/>
  <c r="D263" i="4"/>
  <c r="C254" i="4"/>
  <c r="D290" i="4"/>
  <c r="C290" i="4"/>
  <c r="C296" i="4"/>
  <c r="C326" i="4"/>
  <c r="D338" i="4"/>
  <c r="C341" i="4"/>
  <c r="D356" i="4"/>
  <c r="C375" i="4"/>
  <c r="C381" i="4"/>
  <c r="C428" i="4"/>
  <c r="D431" i="4"/>
  <c r="D438" i="4"/>
  <c r="C438" i="4"/>
  <c r="C507" i="4"/>
  <c r="D563" i="4"/>
  <c r="C564" i="4"/>
  <c r="C563" i="4"/>
  <c r="C586" i="4"/>
  <c r="D615" i="4"/>
  <c r="D603" i="4"/>
  <c r="C691" i="4"/>
  <c r="C692" i="4"/>
  <c r="D716" i="4"/>
  <c r="C716" i="4"/>
  <c r="C717" i="4"/>
  <c r="D728" i="4"/>
  <c r="C742" i="4"/>
  <c r="D745" i="4"/>
  <c r="C746" i="4"/>
  <c r="C745" i="4"/>
  <c r="C572" i="5"/>
  <c r="C573" i="5"/>
  <c r="D572" i="5"/>
  <c r="C43" i="6"/>
  <c r="C96" i="6"/>
  <c r="D95" i="6"/>
  <c r="C95" i="6"/>
  <c r="D208" i="6"/>
  <c r="C634" i="6"/>
  <c r="D634" i="6"/>
  <c r="D646" i="6"/>
  <c r="D597" i="7"/>
  <c r="C597" i="7"/>
  <c r="D602" i="7"/>
  <c r="C602" i="7"/>
  <c r="D19" i="4"/>
  <c r="C19" i="4"/>
  <c r="D33" i="4"/>
  <c r="C42" i="4"/>
  <c r="C62" i="4"/>
  <c r="C68" i="4"/>
  <c r="D85" i="4"/>
  <c r="C88" i="4"/>
  <c r="D91" i="4"/>
  <c r="C91" i="4"/>
  <c r="C127" i="4"/>
  <c r="D133" i="4"/>
  <c r="C133" i="4"/>
  <c r="D151" i="4"/>
  <c r="C151" i="4"/>
  <c r="C154" i="4"/>
  <c r="C194" i="4"/>
  <c r="D194" i="4"/>
  <c r="C200" i="4"/>
  <c r="C203" i="4"/>
  <c r="D203" i="4"/>
  <c r="C209" i="4"/>
  <c r="D212" i="4"/>
  <c r="C212" i="4"/>
  <c r="C236" i="4"/>
  <c r="D248" i="4"/>
  <c r="D251" i="4"/>
  <c r="C257" i="4"/>
  <c r="D260" i="4"/>
  <c r="C260" i="4"/>
  <c r="D266" i="4"/>
  <c r="C272" i="4"/>
  <c r="C293" i="4"/>
  <c r="D299" i="4"/>
  <c r="C302" i="4"/>
  <c r="D308" i="4"/>
  <c r="C314" i="4"/>
  <c r="D323" i="4"/>
  <c r="D341" i="4"/>
  <c r="C344" i="4"/>
  <c r="C356" i="4"/>
  <c r="C363" i="4"/>
  <c r="D363" i="4"/>
  <c r="C400" i="4"/>
  <c r="C442" i="4"/>
  <c r="C603" i="4"/>
  <c r="D664" i="4"/>
  <c r="D652" i="4"/>
  <c r="C652" i="4"/>
  <c r="D691" i="4"/>
  <c r="C808" i="4"/>
  <c r="C809" i="4"/>
  <c r="D874" i="4"/>
  <c r="D192" i="6"/>
  <c r="D204" i="6"/>
  <c r="C192" i="6"/>
  <c r="C271" i="6"/>
  <c r="C279" i="6"/>
  <c r="D404" i="6"/>
  <c r="D416" i="6"/>
  <c r="C404" i="6"/>
  <c r="Q17" i="1"/>
  <c r="C25" i="4"/>
  <c r="C45" i="4"/>
  <c r="C51" i="4"/>
  <c r="C71" i="4"/>
  <c r="D74" i="4"/>
  <c r="D88" i="4"/>
  <c r="D127" i="4"/>
  <c r="C130" i="4"/>
  <c r="C171" i="4"/>
  <c r="D170" i="4"/>
  <c r="C170" i="4"/>
  <c r="D182" i="4"/>
  <c r="C185" i="4"/>
  <c r="C188" i="4"/>
  <c r="D197" i="4"/>
  <c r="D200" i="4"/>
  <c r="D206" i="4"/>
  <c r="D209" i="4"/>
  <c r="D224" i="4"/>
  <c r="D227" i="4"/>
  <c r="D257" i="4"/>
  <c r="C269" i="4"/>
  <c r="D272" i="4"/>
  <c r="C275" i="4"/>
  <c r="D275" i="4"/>
  <c r="D284" i="4"/>
  <c r="D293" i="4"/>
  <c r="D302" i="4"/>
  <c r="D344" i="4"/>
  <c r="D626" i="4"/>
  <c r="C626" i="4"/>
  <c r="C627" i="4"/>
  <c r="D658" i="4"/>
  <c r="C646" i="4"/>
  <c r="C649" i="4"/>
  <c r="D649" i="4"/>
  <c r="D661" i="4"/>
  <c r="C666" i="4"/>
  <c r="D808" i="4"/>
  <c r="C163" i="6"/>
  <c r="D162" i="6"/>
  <c r="C162" i="6"/>
  <c r="D174" i="6"/>
  <c r="C416" i="6"/>
  <c r="D415" i="6"/>
  <c r="C415" i="6"/>
  <c r="C35" i="7"/>
  <c r="D34" i="7"/>
  <c r="C34" i="7"/>
  <c r="P18" i="1"/>
  <c r="C28" i="4"/>
  <c r="D31" i="4"/>
  <c r="C31" i="4"/>
  <c r="D45" i="4"/>
  <c r="C54" i="4"/>
  <c r="C74" i="4"/>
  <c r="C80" i="4"/>
  <c r="C103" i="4"/>
  <c r="C112" i="4"/>
  <c r="D118" i="4"/>
  <c r="C145" i="4"/>
  <c r="C164" i="4"/>
  <c r="D167" i="4"/>
  <c r="D185" i="4"/>
  <c r="D221" i="4"/>
  <c r="C317" i="4"/>
  <c r="C333" i="4"/>
  <c r="C336" i="4"/>
  <c r="C340" i="4"/>
  <c r="D339" i="4"/>
  <c r="D379" i="4"/>
  <c r="C379" i="4"/>
  <c r="D391" i="4"/>
  <c r="C394" i="4"/>
  <c r="C410" i="4"/>
  <c r="C413" i="4"/>
  <c r="D413" i="4"/>
  <c r="D439" i="4"/>
  <c r="C439" i="4"/>
  <c r="D485" i="4"/>
  <c r="C486" i="4"/>
  <c r="C515" i="4"/>
  <c r="C516" i="4"/>
  <c r="D551" i="4"/>
  <c r="C540" i="4"/>
  <c r="C539" i="4"/>
  <c r="D594" i="4"/>
  <c r="C594" i="4"/>
  <c r="D633" i="4"/>
  <c r="D646" i="4"/>
  <c r="D682" i="4"/>
  <c r="C682" i="4"/>
  <c r="D694" i="4"/>
  <c r="C733" i="4"/>
  <c r="C734" i="4"/>
  <c r="C736" i="4"/>
  <c r="D736" i="4"/>
  <c r="C780" i="4"/>
  <c r="C779" i="4"/>
  <c r="D817" i="4"/>
  <c r="D805" i="4"/>
  <c r="D555" i="5"/>
  <c r="C556" i="5"/>
  <c r="C555" i="5"/>
  <c r="C37" i="6"/>
  <c r="D37" i="6"/>
  <c r="D406" i="6"/>
  <c r="C406" i="6"/>
  <c r="D628" i="6"/>
  <c r="C629" i="6"/>
  <c r="C628" i="6"/>
  <c r="C6" i="7"/>
  <c r="D17" i="7"/>
  <c r="Q18" i="1"/>
  <c r="C37" i="4"/>
  <c r="C57" i="4"/>
  <c r="C63" i="4"/>
  <c r="C83" i="4"/>
  <c r="D86" i="4"/>
  <c r="D103" i="4"/>
  <c r="C106" i="4"/>
  <c r="D142" i="4"/>
  <c r="D152" i="4"/>
  <c r="D164" i="4"/>
  <c r="D231" i="4"/>
  <c r="C231" i="4"/>
  <c r="C237" i="4"/>
  <c r="C253" i="4"/>
  <c r="D252" i="4"/>
  <c r="C261" i="4"/>
  <c r="C291" i="4"/>
  <c r="C297" i="4"/>
  <c r="D297" i="4"/>
  <c r="D324" i="4"/>
  <c r="D333" i="4"/>
  <c r="D336" i="4"/>
  <c r="C339" i="4"/>
  <c r="C352" i="4"/>
  <c r="C351" i="4"/>
  <c r="D354" i="4"/>
  <c r="C355" i="4"/>
  <c r="D357" i="4"/>
  <c r="C357" i="4"/>
  <c r="C376" i="4"/>
  <c r="D404" i="4"/>
  <c r="C404" i="4"/>
  <c r="D410" i="4"/>
  <c r="C423" i="4"/>
  <c r="D426" i="4"/>
  <c r="C427" i="4"/>
  <c r="C426" i="4"/>
  <c r="C466" i="4"/>
  <c r="D469" i="4"/>
  <c r="D481" i="4"/>
  <c r="C469" i="4"/>
  <c r="C485" i="4"/>
  <c r="D515" i="4"/>
  <c r="D532" i="4"/>
  <c r="D539" i="4"/>
  <c r="D542" i="4"/>
  <c r="C542" i="4"/>
  <c r="D598" i="4"/>
  <c r="C706" i="4"/>
  <c r="D705" i="4"/>
  <c r="D733" i="4"/>
  <c r="D779" i="4"/>
  <c r="C805" i="4"/>
  <c r="D858" i="4"/>
  <c r="C858" i="4"/>
  <c r="D870" i="4"/>
  <c r="C865" i="4"/>
  <c r="C866" i="4"/>
  <c r="D62" i="6"/>
  <c r="C62" i="6"/>
  <c r="C63" i="6"/>
  <c r="C108" i="6"/>
  <c r="D107" i="6"/>
  <c r="C107" i="6"/>
  <c r="D154" i="6"/>
  <c r="C257" i="6"/>
  <c r="D269" i="6"/>
  <c r="C466" i="6"/>
  <c r="C613" i="6"/>
  <c r="D612" i="6"/>
  <c r="C612" i="6"/>
  <c r="P19" i="1"/>
  <c r="C20" i="4"/>
  <c r="D43" i="4"/>
  <c r="C43" i="4"/>
  <c r="D57" i="4"/>
  <c r="C86" i="4"/>
  <c r="C92" i="4"/>
  <c r="C128" i="4"/>
  <c r="C134" i="4"/>
  <c r="D174" i="4"/>
  <c r="C180" i="4"/>
  <c r="D183" i="4"/>
  <c r="C184" i="4"/>
  <c r="C189" i="4"/>
  <c r="D192" i="4"/>
  <c r="C195" i="4"/>
  <c r="C204" i="4"/>
  <c r="D216" i="4"/>
  <c r="D228" i="4"/>
  <c r="C228" i="4"/>
  <c r="D240" i="4"/>
  <c r="D243" i="4"/>
  <c r="C249" i="4"/>
  <c r="C252" i="4"/>
  <c r="D261" i="4"/>
  <c r="C267" i="4"/>
  <c r="D276" i="4"/>
  <c r="D282" i="4"/>
  <c r="D291" i="4"/>
  <c r="D294" i="4"/>
  <c r="C294" i="4"/>
  <c r="D303" i="4"/>
  <c r="C315" i="4"/>
  <c r="D321" i="4"/>
  <c r="D351" i="4"/>
  <c r="C354" i="4"/>
  <c r="C364" i="4"/>
  <c r="D367" i="4"/>
  <c r="C367" i="4"/>
  <c r="D423" i="4"/>
  <c r="C453" i="4"/>
  <c r="D465" i="4"/>
  <c r="D466" i="4"/>
  <c r="D476" i="4"/>
  <c r="C476" i="4"/>
  <c r="D488" i="4"/>
  <c r="C705" i="4"/>
  <c r="D865" i="4"/>
  <c r="C900" i="4"/>
  <c r="D899" i="4"/>
  <c r="C899" i="4"/>
  <c r="C29" i="5"/>
  <c r="D28" i="5"/>
  <c r="C28" i="5"/>
  <c r="C45" i="5"/>
  <c r="D44" i="5"/>
  <c r="C44" i="5"/>
  <c r="C61" i="5"/>
  <c r="D60" i="5"/>
  <c r="C60" i="5"/>
  <c r="C77" i="5"/>
  <c r="D76" i="5"/>
  <c r="C76" i="5"/>
  <c r="C93" i="5"/>
  <c r="D92" i="5"/>
  <c r="C92" i="5"/>
  <c r="C109" i="5"/>
  <c r="D108" i="5"/>
  <c r="C108" i="5"/>
  <c r="C125" i="5"/>
  <c r="D124" i="5"/>
  <c r="C124" i="5"/>
  <c r="C141" i="5"/>
  <c r="D140" i="5"/>
  <c r="C140" i="5"/>
  <c r="C157" i="5"/>
  <c r="D156" i="5"/>
  <c r="C156" i="5"/>
  <c r="C173" i="5"/>
  <c r="D172" i="5"/>
  <c r="C172" i="5"/>
  <c r="C189" i="5"/>
  <c r="D188" i="5"/>
  <c r="C188" i="5"/>
  <c r="C205" i="5"/>
  <c r="D204" i="5"/>
  <c r="C204" i="5"/>
  <c r="C221" i="5"/>
  <c r="D220" i="5"/>
  <c r="C220" i="5"/>
  <c r="C237" i="5"/>
  <c r="D236" i="5"/>
  <c r="C236" i="5"/>
  <c r="C253" i="5"/>
  <c r="D252" i="5"/>
  <c r="C252" i="5"/>
  <c r="C269" i="5"/>
  <c r="D268" i="5"/>
  <c r="C268" i="5"/>
  <c r="C285" i="5"/>
  <c r="D284" i="5"/>
  <c r="C284" i="5"/>
  <c r="C301" i="5"/>
  <c r="D300" i="5"/>
  <c r="C300" i="5"/>
  <c r="C317" i="5"/>
  <c r="D316" i="5"/>
  <c r="C316" i="5"/>
  <c r="C333" i="5"/>
  <c r="D332" i="5"/>
  <c r="C332" i="5"/>
  <c r="C349" i="5"/>
  <c r="D348" i="5"/>
  <c r="C348" i="5"/>
  <c r="C365" i="5"/>
  <c r="D364" i="5"/>
  <c r="C364" i="5"/>
  <c r="C381" i="5"/>
  <c r="D380" i="5"/>
  <c r="C380" i="5"/>
  <c r="C397" i="5"/>
  <c r="D396" i="5"/>
  <c r="C396" i="5"/>
  <c r="C413" i="5"/>
  <c r="D412" i="5"/>
  <c r="C412" i="5"/>
  <c r="C429" i="5"/>
  <c r="D428" i="5"/>
  <c r="C428" i="5"/>
  <c r="C445" i="5"/>
  <c r="D444" i="5"/>
  <c r="C444" i="5"/>
  <c r="C461" i="5"/>
  <c r="D460" i="5"/>
  <c r="C460" i="5"/>
  <c r="C477" i="5"/>
  <c r="D476" i="5"/>
  <c r="C476" i="5"/>
  <c r="C493" i="5"/>
  <c r="D492" i="5"/>
  <c r="C492" i="5"/>
  <c r="C509" i="5"/>
  <c r="D508" i="5"/>
  <c r="C508" i="5"/>
  <c r="C525" i="5"/>
  <c r="D524" i="5"/>
  <c r="C524" i="5"/>
  <c r="D595" i="5"/>
  <c r="C596" i="5"/>
  <c r="C595" i="5"/>
  <c r="C623" i="5"/>
  <c r="C9" i="6"/>
  <c r="D55" i="6"/>
  <c r="D155" i="6"/>
  <c r="C155" i="6"/>
  <c r="D257" i="6"/>
  <c r="D398" i="6"/>
  <c r="C398" i="6"/>
  <c r="C399" i="6"/>
  <c r="D125" i="4"/>
  <c r="C125" i="4"/>
  <c r="D149" i="4"/>
  <c r="D168" i="4"/>
  <c r="D171" i="4"/>
  <c r="D198" i="4"/>
  <c r="C198" i="4"/>
  <c r="D270" i="4"/>
  <c r="C270" i="4"/>
  <c r="D285" i="4"/>
  <c r="C285" i="4"/>
  <c r="D318" i="4"/>
  <c r="C318" i="4"/>
  <c r="C392" i="4"/>
  <c r="D398" i="4"/>
  <c r="D440" i="4"/>
  <c r="D453" i="4"/>
  <c r="D460" i="4"/>
  <c r="C460" i="4"/>
  <c r="D472" i="4"/>
  <c r="D502" i="4"/>
  <c r="D521" i="4"/>
  <c r="C509" i="4"/>
  <c r="C558" i="4"/>
  <c r="D558" i="4"/>
  <c r="D611" i="4"/>
  <c r="C612" i="4"/>
  <c r="D647" i="4"/>
  <c r="D683" i="4"/>
  <c r="C684" i="4"/>
  <c r="C683" i="4"/>
  <c r="D754" i="4"/>
  <c r="D766" i="4"/>
  <c r="C754" i="4"/>
  <c r="C767" i="4"/>
  <c r="D767" i="4"/>
  <c r="C768" i="4"/>
  <c r="C833" i="4"/>
  <c r="D832" i="4"/>
  <c r="C832" i="4"/>
  <c r="D855" i="4"/>
  <c r="D867" i="4"/>
  <c r="C856" i="4"/>
  <c r="C855" i="4"/>
  <c r="C897" i="4"/>
  <c r="C896" i="4"/>
  <c r="D198" i="6"/>
  <c r="D186" i="6"/>
  <c r="D226" i="6"/>
  <c r="C226" i="6"/>
  <c r="D238" i="6"/>
  <c r="C258" i="6"/>
  <c r="D384" i="6"/>
  <c r="C384" i="6"/>
  <c r="D519" i="6"/>
  <c r="C519" i="6"/>
  <c r="D101" i="4"/>
  <c r="C102" i="4"/>
  <c r="C143" i="4"/>
  <c r="C144" i="4"/>
  <c r="D146" i="4"/>
  <c r="C146" i="4"/>
  <c r="C147" i="4"/>
  <c r="D156" i="4"/>
  <c r="C156" i="4"/>
  <c r="D162" i="4"/>
  <c r="C163" i="4"/>
  <c r="C334" i="4"/>
  <c r="D334" i="4"/>
  <c r="D358" i="4"/>
  <c r="D361" i="4"/>
  <c r="C383" i="4"/>
  <c r="D383" i="4"/>
  <c r="D389" i="4"/>
  <c r="C390" i="4"/>
  <c r="D417" i="4"/>
  <c r="C406" i="4"/>
  <c r="C408" i="4"/>
  <c r="D408" i="4"/>
  <c r="D411" i="4"/>
  <c r="D450" i="4"/>
  <c r="D508" i="4"/>
  <c r="D496" i="4"/>
  <c r="C523" i="4"/>
  <c r="D523" i="4"/>
  <c r="D535" i="4"/>
  <c r="D549" i="4"/>
  <c r="D620" i="4"/>
  <c r="C608" i="4"/>
  <c r="C826" i="4"/>
  <c r="D838" i="4"/>
  <c r="C537" i="5"/>
  <c r="D536" i="5"/>
  <c r="D548" i="5"/>
  <c r="D443" i="6"/>
  <c r="D459" i="6"/>
  <c r="C459" i="6"/>
  <c r="C460" i="6"/>
  <c r="C81" i="4"/>
  <c r="D229" i="4"/>
  <c r="D253" i="4"/>
  <c r="C242" i="4"/>
  <c r="D380" i="4"/>
  <c r="D421" i="4"/>
  <c r="C421" i="4"/>
  <c r="C464" i="4"/>
  <c r="D464" i="4"/>
  <c r="C592" i="4"/>
  <c r="D604" i="4"/>
  <c r="D592" i="4"/>
  <c r="D621" i="4"/>
  <c r="C622" i="4"/>
  <c r="C621" i="4"/>
  <c r="D790" i="4"/>
  <c r="C790" i="4"/>
  <c r="D829" i="4"/>
  <c r="C830" i="4"/>
  <c r="D841" i="4"/>
  <c r="C829" i="4"/>
  <c r="D914" i="4"/>
  <c r="C915" i="4"/>
  <c r="C12" i="5"/>
  <c r="D24" i="5"/>
  <c r="C41" i="5"/>
  <c r="D40" i="5"/>
  <c r="C40" i="5"/>
  <c r="C57" i="5"/>
  <c r="D56" i="5"/>
  <c r="C56" i="5"/>
  <c r="C73" i="5"/>
  <c r="D72" i="5"/>
  <c r="C72" i="5"/>
  <c r="C89" i="5"/>
  <c r="D88" i="5"/>
  <c r="C88" i="5"/>
  <c r="C105" i="5"/>
  <c r="D104" i="5"/>
  <c r="C104" i="5"/>
  <c r="C121" i="5"/>
  <c r="D120" i="5"/>
  <c r="C120" i="5"/>
  <c r="C137" i="5"/>
  <c r="D136" i="5"/>
  <c r="C136" i="5"/>
  <c r="C153" i="5"/>
  <c r="D152" i="5"/>
  <c r="C152" i="5"/>
  <c r="C169" i="5"/>
  <c r="D168" i="5"/>
  <c r="C168" i="5"/>
  <c r="C185" i="5"/>
  <c r="D184" i="5"/>
  <c r="C184" i="5"/>
  <c r="C201" i="5"/>
  <c r="D200" i="5"/>
  <c r="C200" i="5"/>
  <c r="C217" i="5"/>
  <c r="D216" i="5"/>
  <c r="C216" i="5"/>
  <c r="C233" i="5"/>
  <c r="D232" i="5"/>
  <c r="C232" i="5"/>
  <c r="C249" i="5"/>
  <c r="D248" i="5"/>
  <c r="C248" i="5"/>
  <c r="C265" i="5"/>
  <c r="D264" i="5"/>
  <c r="C264" i="5"/>
  <c r="C281" i="5"/>
  <c r="D280" i="5"/>
  <c r="C280" i="5"/>
  <c r="C297" i="5"/>
  <c r="D296" i="5"/>
  <c r="C296" i="5"/>
  <c r="C313" i="5"/>
  <c r="D312" i="5"/>
  <c r="C312" i="5"/>
  <c r="C329" i="5"/>
  <c r="D328" i="5"/>
  <c r="C328" i="5"/>
  <c r="C345" i="5"/>
  <c r="D344" i="5"/>
  <c r="C344" i="5"/>
  <c r="C361" i="5"/>
  <c r="D360" i="5"/>
  <c r="C360" i="5"/>
  <c r="C377" i="5"/>
  <c r="D376" i="5"/>
  <c r="C376" i="5"/>
  <c r="C393" i="5"/>
  <c r="D392" i="5"/>
  <c r="C392" i="5"/>
  <c r="C409" i="5"/>
  <c r="D408" i="5"/>
  <c r="C408" i="5"/>
  <c r="C425" i="5"/>
  <c r="D424" i="5"/>
  <c r="C424" i="5"/>
  <c r="C441" i="5"/>
  <c r="D440" i="5"/>
  <c r="C440" i="5"/>
  <c r="C457" i="5"/>
  <c r="D456" i="5"/>
  <c r="C456" i="5"/>
  <c r="C473" i="5"/>
  <c r="D472" i="5"/>
  <c r="C472" i="5"/>
  <c r="C489" i="5"/>
  <c r="D488" i="5"/>
  <c r="C488" i="5"/>
  <c r="C505" i="5"/>
  <c r="D504" i="5"/>
  <c r="C504" i="5"/>
  <c r="C521" i="5"/>
  <c r="D520" i="5"/>
  <c r="C520" i="5"/>
  <c r="C536" i="5"/>
  <c r="D591" i="5"/>
  <c r="C591" i="5"/>
  <c r="C592" i="5"/>
  <c r="D100" i="6"/>
  <c r="D136" i="6"/>
  <c r="C136" i="6"/>
  <c r="D148" i="6"/>
  <c r="C142" i="6"/>
  <c r="C577" i="4"/>
  <c r="D577" i="4"/>
  <c r="D597" i="4"/>
  <c r="C663" i="4"/>
  <c r="D710" i="4"/>
  <c r="C721" i="4"/>
  <c r="D721" i="4"/>
  <c r="D770" i="4"/>
  <c r="C799" i="4"/>
  <c r="D799" i="4"/>
  <c r="D811" i="4"/>
  <c r="D877" i="4"/>
  <c r="C877" i="4"/>
  <c r="D889" i="4"/>
  <c r="D580" i="5"/>
  <c r="C637" i="5"/>
  <c r="D159" i="6"/>
  <c r="D147" i="6"/>
  <c r="C161" i="6"/>
  <c r="D161" i="6"/>
  <c r="D185" i="6"/>
  <c r="C236" i="6"/>
  <c r="D235" i="6"/>
  <c r="C272" i="6"/>
  <c r="D271" i="6"/>
  <c r="D307" i="6"/>
  <c r="D295" i="6"/>
  <c r="C295" i="6"/>
  <c r="C303" i="6"/>
  <c r="C355" i="6"/>
  <c r="D354" i="6"/>
  <c r="C361" i="6"/>
  <c r="C362" i="6"/>
  <c r="D361" i="6"/>
  <c r="D434" i="6"/>
  <c r="D422" i="6"/>
  <c r="C444" i="6"/>
  <c r="C512" i="6"/>
  <c r="D511" i="6"/>
  <c r="D518" i="6"/>
  <c r="C135" i="7"/>
  <c r="D147" i="7"/>
  <c r="D233" i="7"/>
  <c r="D221" i="7"/>
  <c r="C221" i="7"/>
  <c r="D236" i="7"/>
  <c r="C236" i="7"/>
  <c r="D313" i="7"/>
  <c r="C314" i="7"/>
  <c r="D328" i="7"/>
  <c r="C328" i="7"/>
  <c r="D340" i="7"/>
  <c r="D571" i="6"/>
  <c r="D583" i="6"/>
  <c r="C571" i="6"/>
  <c r="D334" i="7"/>
  <c r="C334" i="7"/>
  <c r="C107" i="4"/>
  <c r="C371" i="4"/>
  <c r="C395" i="4"/>
  <c r="C456" i="4"/>
  <c r="C472" i="4"/>
  <c r="C499" i="4"/>
  <c r="D606" i="4"/>
  <c r="C847" i="4"/>
  <c r="D859" i="4"/>
  <c r="C848" i="4"/>
  <c r="C625" i="5"/>
  <c r="D624" i="5"/>
  <c r="D50" i="6"/>
  <c r="C432" i="6"/>
  <c r="D475" i="6"/>
  <c r="C475" i="6"/>
  <c r="D621" i="6"/>
  <c r="C621" i="6"/>
  <c r="D117" i="7"/>
  <c r="D289" i="7"/>
  <c r="C289" i="7"/>
  <c r="D301" i="7"/>
  <c r="C598" i="7"/>
  <c r="C599" i="7"/>
  <c r="D598" i="7"/>
  <c r="C48" i="4"/>
  <c r="C60" i="4"/>
  <c r="D107" i="4"/>
  <c r="C149" i="4"/>
  <c r="C152" i="4"/>
  <c r="C165" i="4"/>
  <c r="C207" i="4"/>
  <c r="D234" i="4"/>
  <c r="D239" i="4"/>
  <c r="C247" i="4"/>
  <c r="C255" i="4"/>
  <c r="C276" i="4"/>
  <c r="D300" i="4"/>
  <c r="C300" i="4"/>
  <c r="C313" i="4"/>
  <c r="C321" i="4"/>
  <c r="C329" i="4"/>
  <c r="D342" i="4"/>
  <c r="C342" i="4"/>
  <c r="D371" i="4"/>
  <c r="C374" i="4"/>
  <c r="C387" i="4"/>
  <c r="D395" i="4"/>
  <c r="C403" i="4"/>
  <c r="C416" i="4"/>
  <c r="D429" i="4"/>
  <c r="C429" i="4"/>
  <c r="C437" i="4"/>
  <c r="C440" i="4"/>
  <c r="D448" i="4"/>
  <c r="C451" i="4"/>
  <c r="C459" i="4"/>
  <c r="C475" i="4"/>
  <c r="C491" i="4"/>
  <c r="D499" i="4"/>
  <c r="C502" i="4"/>
  <c r="C510" i="4"/>
  <c r="D510" i="4"/>
  <c r="C513" i="4"/>
  <c r="C529" i="4"/>
  <c r="C545" i="4"/>
  <c r="C575" i="4"/>
  <c r="D581" i="4"/>
  <c r="C598" i="4"/>
  <c r="C606" i="4"/>
  <c r="C609" i="4"/>
  <c r="C675" i="4"/>
  <c r="C697" i="4"/>
  <c r="D700" i="4"/>
  <c r="D719" i="4"/>
  <c r="C722" i="4"/>
  <c r="D725" i="4"/>
  <c r="D739" i="4"/>
  <c r="C765" i="4"/>
  <c r="D774" i="4"/>
  <c r="C774" i="4"/>
  <c r="C800" i="4"/>
  <c r="C844" i="4"/>
  <c r="D847" i="4"/>
  <c r="D872" i="4"/>
  <c r="C872" i="4"/>
  <c r="D884" i="4"/>
  <c r="C873" i="4"/>
  <c r="C891" i="4"/>
  <c r="C563" i="5"/>
  <c r="C568" i="5"/>
  <c r="C624" i="5"/>
  <c r="C655" i="5"/>
  <c r="C660" i="5"/>
  <c r="C38" i="6"/>
  <c r="D51" i="6"/>
  <c r="C51" i="6"/>
  <c r="C143" i="6"/>
  <c r="D187" i="6"/>
  <c r="C187" i="6"/>
  <c r="D199" i="6"/>
  <c r="C188" i="6"/>
  <c r="C222" i="6"/>
  <c r="C229" i="6"/>
  <c r="D229" i="6"/>
  <c r="D297" i="6"/>
  <c r="D327" i="6"/>
  <c r="C327" i="6"/>
  <c r="C340" i="6"/>
  <c r="C392" i="6"/>
  <c r="D467" i="6"/>
  <c r="C467" i="6"/>
  <c r="D555" i="6"/>
  <c r="C555" i="6"/>
  <c r="C556" i="6"/>
  <c r="C563" i="6"/>
  <c r="D606" i="6"/>
  <c r="C666" i="6"/>
  <c r="C667" i="6"/>
  <c r="C673" i="6"/>
  <c r="D672" i="6"/>
  <c r="D77" i="7"/>
  <c r="C99" i="7"/>
  <c r="D99" i="7"/>
  <c r="D111" i="7"/>
  <c r="C100" i="7"/>
  <c r="C185" i="7"/>
  <c r="D184" i="7"/>
  <c r="C184" i="7"/>
  <c r="D190" i="7"/>
  <c r="D202" i="7"/>
  <c r="D203" i="7"/>
  <c r="C212" i="7"/>
  <c r="D582" i="7"/>
  <c r="C582" i="7"/>
  <c r="D605" i="7"/>
  <c r="D593" i="7"/>
  <c r="C593" i="7"/>
  <c r="C17" i="4"/>
  <c r="D24" i="4"/>
  <c r="C29" i="4"/>
  <c r="D36" i="4"/>
  <c r="C41" i="4"/>
  <c r="C53" i="4"/>
  <c r="C65" i="4"/>
  <c r="D72" i="4"/>
  <c r="C77" i="4"/>
  <c r="D84" i="4"/>
  <c r="C89" i="4"/>
  <c r="D99" i="4"/>
  <c r="D102" i="4"/>
  <c r="C110" i="4"/>
  <c r="D115" i="4"/>
  <c r="C123" i="4"/>
  <c r="D128" i="4"/>
  <c r="D165" i="4"/>
  <c r="C168" i="4"/>
  <c r="C173" i="4"/>
  <c r="D189" i="4"/>
  <c r="C202" i="4"/>
  <c r="D207" i="4"/>
  <c r="D210" i="4"/>
  <c r="D218" i="4"/>
  <c r="C218" i="4"/>
  <c r="C226" i="4"/>
  <c r="C229" i="4"/>
  <c r="C234" i="4"/>
  <c r="D247" i="4"/>
  <c r="C271" i="4"/>
  <c r="D281" i="4"/>
  <c r="D289" i="4"/>
  <c r="C308" i="4"/>
  <c r="C324" i="4"/>
  <c r="C337" i="4"/>
  <c r="C358" i="4"/>
  <c r="D366" i="4"/>
  <c r="C382" i="4"/>
  <c r="D390" i="4"/>
  <c r="C398" i="4"/>
  <c r="C411" i="4"/>
  <c r="D451" i="4"/>
  <c r="C454" i="4"/>
  <c r="C467" i="4"/>
  <c r="D475" i="4"/>
  <c r="D491" i="4"/>
  <c r="C524" i="4"/>
  <c r="C532" i="4"/>
  <c r="D545" i="4"/>
  <c r="C548" i="4"/>
  <c r="C567" i="4"/>
  <c r="D575" i="4"/>
  <c r="C581" i="4"/>
  <c r="D584" i="4"/>
  <c r="D601" i="4"/>
  <c r="C617" i="4"/>
  <c r="D622" i="4"/>
  <c r="C630" i="4"/>
  <c r="C641" i="4"/>
  <c r="C644" i="4"/>
  <c r="C647" i="4"/>
  <c r="C667" i="4"/>
  <c r="C670" i="4"/>
  <c r="D675" i="4"/>
  <c r="D678" i="4"/>
  <c r="C686" i="4"/>
  <c r="C689" i="4"/>
  <c r="D697" i="4"/>
  <c r="C700" i="4"/>
  <c r="D717" i="4"/>
  <c r="C731" i="4"/>
  <c r="C732" i="4"/>
  <c r="D734" i="4"/>
  <c r="C743" i="4"/>
  <c r="C749" i="4"/>
  <c r="D757" i="4"/>
  <c r="D765" i="4"/>
  <c r="C771" i="4"/>
  <c r="D783" i="4"/>
  <c r="C783" i="4"/>
  <c r="C797" i="4"/>
  <c r="D800" i="4"/>
  <c r="C803" i="4"/>
  <c r="D803" i="4"/>
  <c r="D812" i="4"/>
  <c r="C821" i="4"/>
  <c r="C822" i="4"/>
  <c r="D824" i="4"/>
  <c r="C827" i="4"/>
  <c r="C863" i="4"/>
  <c r="D866" i="4"/>
  <c r="C867" i="4"/>
  <c r="D869" i="4"/>
  <c r="D881" i="4"/>
  <c r="C869" i="4"/>
  <c r="D891" i="4"/>
  <c r="C894" i="4"/>
  <c r="C906" i="4"/>
  <c r="C909" i="4"/>
  <c r="C37" i="5"/>
  <c r="D36" i="5"/>
  <c r="C36" i="5"/>
  <c r="C53" i="5"/>
  <c r="D52" i="5"/>
  <c r="C52" i="5"/>
  <c r="C69" i="5"/>
  <c r="D68" i="5"/>
  <c r="C68" i="5"/>
  <c r="C85" i="5"/>
  <c r="D84" i="5"/>
  <c r="C84" i="5"/>
  <c r="C101" i="5"/>
  <c r="D100" i="5"/>
  <c r="C100" i="5"/>
  <c r="C117" i="5"/>
  <c r="D116" i="5"/>
  <c r="C116" i="5"/>
  <c r="C133" i="5"/>
  <c r="D132" i="5"/>
  <c r="C132" i="5"/>
  <c r="C149" i="5"/>
  <c r="D148" i="5"/>
  <c r="C148" i="5"/>
  <c r="C165" i="5"/>
  <c r="D164" i="5"/>
  <c r="C164" i="5"/>
  <c r="C181" i="5"/>
  <c r="D180" i="5"/>
  <c r="C180" i="5"/>
  <c r="C197" i="5"/>
  <c r="D196" i="5"/>
  <c r="C196" i="5"/>
  <c r="C213" i="5"/>
  <c r="D212" i="5"/>
  <c r="C212" i="5"/>
  <c r="C229" i="5"/>
  <c r="D228" i="5"/>
  <c r="C228" i="5"/>
  <c r="C245" i="5"/>
  <c r="D244" i="5"/>
  <c r="C244" i="5"/>
  <c r="C261" i="5"/>
  <c r="D260" i="5"/>
  <c r="C260" i="5"/>
  <c r="C277" i="5"/>
  <c r="D276" i="5"/>
  <c r="C276" i="5"/>
  <c r="C293" i="5"/>
  <c r="D292" i="5"/>
  <c r="C292" i="5"/>
  <c r="C309" i="5"/>
  <c r="D308" i="5"/>
  <c r="C308" i="5"/>
  <c r="C325" i="5"/>
  <c r="D324" i="5"/>
  <c r="C324" i="5"/>
  <c r="C341" i="5"/>
  <c r="D340" i="5"/>
  <c r="C340" i="5"/>
  <c r="C357" i="5"/>
  <c r="D356" i="5"/>
  <c r="C356" i="5"/>
  <c r="C373" i="5"/>
  <c r="D372" i="5"/>
  <c r="C372" i="5"/>
  <c r="C389" i="5"/>
  <c r="D388" i="5"/>
  <c r="C388" i="5"/>
  <c r="C405" i="5"/>
  <c r="D404" i="5"/>
  <c r="C404" i="5"/>
  <c r="C421" i="5"/>
  <c r="D420" i="5"/>
  <c r="C420" i="5"/>
  <c r="C437" i="5"/>
  <c r="D436" i="5"/>
  <c r="C436" i="5"/>
  <c r="C453" i="5"/>
  <c r="D452" i="5"/>
  <c r="C452" i="5"/>
  <c r="C469" i="5"/>
  <c r="D468" i="5"/>
  <c r="C468" i="5"/>
  <c r="C485" i="5"/>
  <c r="D484" i="5"/>
  <c r="C484" i="5"/>
  <c r="C501" i="5"/>
  <c r="D500" i="5"/>
  <c r="C500" i="5"/>
  <c r="C517" i="5"/>
  <c r="D516" i="5"/>
  <c r="C516" i="5"/>
  <c r="C533" i="5"/>
  <c r="D532" i="5"/>
  <c r="C532" i="5"/>
  <c r="D568" i="5"/>
  <c r="D660" i="5"/>
  <c r="C44" i="6"/>
  <c r="D80" i="6"/>
  <c r="D123" i="6"/>
  <c r="C123" i="6"/>
  <c r="C130" i="6"/>
  <c r="D143" i="6"/>
  <c r="D173" i="6"/>
  <c r="D180" i="6"/>
  <c r="C230" i="6"/>
  <c r="D239" i="6"/>
  <c r="C245" i="6"/>
  <c r="C246" i="6"/>
  <c r="D245" i="6"/>
  <c r="C252" i="6"/>
  <c r="D283" i="6"/>
  <c r="D298" i="6"/>
  <c r="D328" i="6"/>
  <c r="C328" i="6"/>
  <c r="C335" i="6"/>
  <c r="D372" i="6"/>
  <c r="D379" i="6"/>
  <c r="C379" i="6"/>
  <c r="D424" i="6"/>
  <c r="C424" i="6"/>
  <c r="D460" i="6"/>
  <c r="D468" i="6"/>
  <c r="C506" i="6"/>
  <c r="C548" i="6"/>
  <c r="C586" i="6"/>
  <c r="C587" i="6"/>
  <c r="D586" i="6"/>
  <c r="D598" i="6"/>
  <c r="D613" i="6"/>
  <c r="D601" i="6"/>
  <c r="D607" i="6"/>
  <c r="C607" i="6"/>
  <c r="D615" i="6"/>
  <c r="C616" i="6"/>
  <c r="C615" i="6"/>
  <c r="D652" i="6"/>
  <c r="C652" i="6"/>
  <c r="D664" i="6"/>
  <c r="C658" i="6"/>
  <c r="D658" i="6"/>
  <c r="D666" i="6"/>
  <c r="C672" i="6"/>
  <c r="D94" i="7"/>
  <c r="D82" i="7"/>
  <c r="C82" i="7"/>
  <c r="D118" i="7"/>
  <c r="C118" i="7"/>
  <c r="C190" i="7"/>
  <c r="D199" i="7"/>
  <c r="C199" i="7"/>
  <c r="C179" i="4"/>
  <c r="D590" i="4"/>
  <c r="D543" i="5"/>
  <c r="C543" i="5"/>
  <c r="C564" i="5"/>
  <c r="C656" i="5"/>
  <c r="D20" i="6"/>
  <c r="C81" i="6"/>
  <c r="D93" i="6"/>
  <c r="D81" i="6"/>
  <c r="D88" i="6"/>
  <c r="C88" i="6"/>
  <c r="C181" i="6"/>
  <c r="D181" i="6"/>
  <c r="C321" i="6"/>
  <c r="D333" i="6"/>
  <c r="D399" i="6"/>
  <c r="D387" i="6"/>
  <c r="C387" i="6"/>
  <c r="D409" i="6"/>
  <c r="C419" i="6"/>
  <c r="D418" i="6"/>
  <c r="C461" i="6"/>
  <c r="D473" i="6"/>
  <c r="C469" i="6"/>
  <c r="D469" i="6"/>
  <c r="D542" i="6"/>
  <c r="C542" i="6"/>
  <c r="C95" i="7"/>
  <c r="D95" i="7"/>
  <c r="C156" i="7"/>
  <c r="C157" i="7"/>
  <c r="D156" i="7"/>
  <c r="C171" i="7"/>
  <c r="D183" i="7"/>
  <c r="D171" i="7"/>
  <c r="C276" i="7"/>
  <c r="D288" i="7"/>
  <c r="D276" i="7"/>
  <c r="C277" i="7"/>
  <c r="D355" i="7"/>
  <c r="C356" i="7"/>
  <c r="C355" i="7"/>
  <c r="C126" i="7"/>
  <c r="D126" i="7"/>
  <c r="C127" i="7"/>
  <c r="D138" i="7"/>
  <c r="D319" i="7"/>
  <c r="C319" i="7"/>
  <c r="D329" i="7"/>
  <c r="C329" i="7"/>
  <c r="C661" i="7"/>
  <c r="D673" i="7"/>
  <c r="D661" i="7"/>
  <c r="C215" i="4"/>
  <c r="D223" i="4"/>
  <c r="C223" i="4"/>
  <c r="C347" i="4"/>
  <c r="D347" i="4"/>
  <c r="C480" i="4"/>
  <c r="C550" i="4"/>
  <c r="D561" i="4"/>
  <c r="D578" i="4"/>
  <c r="C595" i="4"/>
  <c r="D638" i="4"/>
  <c r="D751" i="4"/>
  <c r="D856" i="4"/>
  <c r="C845" i="4"/>
  <c r="D850" i="4"/>
  <c r="C850" i="4"/>
  <c r="C6" i="5"/>
  <c r="C7" i="5"/>
  <c r="D18" i="5"/>
  <c r="C209" i="6"/>
  <c r="D209" i="6"/>
  <c r="C259" i="6"/>
  <c r="D258" i="6"/>
  <c r="D671" i="6"/>
  <c r="D134" i="7"/>
  <c r="D122" i="7"/>
  <c r="C122" i="7"/>
  <c r="C203" i="7"/>
  <c r="D229" i="7"/>
  <c r="D217" i="7"/>
  <c r="C217" i="7"/>
  <c r="C309" i="7"/>
  <c r="C310" i="7"/>
  <c r="D309" i="7"/>
  <c r="D141" i="4"/>
  <c r="C141" i="4"/>
  <c r="D215" i="4"/>
  <c r="C131" i="4"/>
  <c r="D131" i="4"/>
  <c r="C155" i="4"/>
  <c r="C287" i="4"/>
  <c r="D295" i="4"/>
  <c r="C295" i="4"/>
  <c r="C419" i="4"/>
  <c r="D419" i="4"/>
  <c r="D432" i="4"/>
  <c r="C443" i="4"/>
  <c r="D446" i="4"/>
  <c r="C462" i="4"/>
  <c r="D467" i="4"/>
  <c r="D497" i="4"/>
  <c r="C587" i="4"/>
  <c r="C588" i="4"/>
  <c r="C604" i="4"/>
  <c r="D650" i="4"/>
  <c r="C650" i="4"/>
  <c r="C656" i="4"/>
  <c r="C737" i="4"/>
  <c r="D749" i="4"/>
  <c r="C760" i="4"/>
  <c r="D797" i="4"/>
  <c r="C836" i="4"/>
  <c r="D848" i="4"/>
  <c r="D863" i="4"/>
  <c r="D882" i="4"/>
  <c r="D894" i="4"/>
  <c r="D903" i="4"/>
  <c r="D909" i="4"/>
  <c r="D126" i="4"/>
  <c r="C126" i="4"/>
  <c r="D155" i="4"/>
  <c r="D179" i="4"/>
  <c r="D213" i="4"/>
  <c r="C213" i="4"/>
  <c r="D242" i="4"/>
  <c r="C279" i="4"/>
  <c r="D287" i="4"/>
  <c r="D306" i="4"/>
  <c r="D311" i="4"/>
  <c r="C327" i="4"/>
  <c r="D372" i="4"/>
  <c r="C372" i="4"/>
  <c r="D414" i="4"/>
  <c r="C414" i="4"/>
  <c r="D443" i="4"/>
  <c r="C446" i="4"/>
  <c r="D449" i="4"/>
  <c r="C470" i="4"/>
  <c r="C497" i="4"/>
  <c r="C511" i="4"/>
  <c r="C543" i="4"/>
  <c r="D587" i="4"/>
  <c r="C590" i="4"/>
  <c r="D596" i="4"/>
  <c r="D653" i="4"/>
  <c r="C653" i="4"/>
  <c r="D656" i="4"/>
  <c r="D695" i="4"/>
  <c r="C695" i="4"/>
  <c r="C726" i="4"/>
  <c r="D737" i="4"/>
  <c r="D740" i="4"/>
  <c r="C740" i="4"/>
  <c r="C752" i="4"/>
  <c r="D760" i="4"/>
  <c r="D763" i="4"/>
  <c r="C775" i="4"/>
  <c r="D775" i="4"/>
  <c r="D786" i="4"/>
  <c r="D836" i="4"/>
  <c r="C839" i="4"/>
  <c r="C851" i="4"/>
  <c r="D879" i="4"/>
  <c r="C882" i="4"/>
  <c r="D564" i="5"/>
  <c r="D604" i="5"/>
  <c r="D616" i="5"/>
  <c r="C621" i="5"/>
  <c r="D620" i="5"/>
  <c r="C620" i="5"/>
  <c r="D656" i="5"/>
  <c r="C20" i="6"/>
  <c r="D32" i="6"/>
  <c r="C39" i="6"/>
  <c r="D67" i="6"/>
  <c r="C74" i="6"/>
  <c r="D111" i="6"/>
  <c r="D117" i="6"/>
  <c r="C124" i="6"/>
  <c r="C131" i="6"/>
  <c r="C166" i="6"/>
  <c r="D203" i="6"/>
  <c r="C253" i="6"/>
  <c r="D291" i="6"/>
  <c r="D321" i="6"/>
  <c r="C336" i="6"/>
  <c r="D373" i="6"/>
  <c r="C380" i="6"/>
  <c r="D410" i="6"/>
  <c r="C410" i="6"/>
  <c r="C418" i="6"/>
  <c r="D461" i="6"/>
  <c r="D523" i="6"/>
  <c r="C549" i="6"/>
  <c r="D549" i="6"/>
  <c r="D557" i="6"/>
  <c r="D594" i="6"/>
  <c r="D35" i="7"/>
  <c r="D23" i="7"/>
  <c r="D50" i="7"/>
  <c r="C50" i="7"/>
  <c r="D62" i="7"/>
  <c r="D191" i="7"/>
  <c r="C191" i="7"/>
  <c r="D224" i="7"/>
  <c r="D265" i="7"/>
  <c r="D253" i="7"/>
  <c r="C253" i="7"/>
  <c r="D262" i="7"/>
  <c r="C262" i="7"/>
  <c r="D274" i="7"/>
  <c r="C271" i="7"/>
  <c r="C645" i="4"/>
  <c r="D645" i="4"/>
  <c r="D687" i="4"/>
  <c r="D698" i="4"/>
  <c r="C698" i="4"/>
  <c r="C723" i="4"/>
  <c r="D842" i="4"/>
  <c r="C842" i="4"/>
  <c r="C887" i="4"/>
  <c r="D886" i="4"/>
  <c r="C33" i="5"/>
  <c r="D32" i="5"/>
  <c r="C32" i="5"/>
  <c r="C49" i="5"/>
  <c r="D48" i="5"/>
  <c r="C48" i="5"/>
  <c r="C65" i="5"/>
  <c r="D64" i="5"/>
  <c r="C64" i="5"/>
  <c r="C81" i="5"/>
  <c r="D80" i="5"/>
  <c r="C80" i="5"/>
  <c r="C97" i="5"/>
  <c r="D96" i="5"/>
  <c r="C96" i="5"/>
  <c r="C113" i="5"/>
  <c r="D112" i="5"/>
  <c r="C112" i="5"/>
  <c r="C129" i="5"/>
  <c r="D128" i="5"/>
  <c r="C128" i="5"/>
  <c r="C145" i="5"/>
  <c r="D144" i="5"/>
  <c r="C144" i="5"/>
  <c r="C161" i="5"/>
  <c r="D160" i="5"/>
  <c r="C160" i="5"/>
  <c r="C177" i="5"/>
  <c r="D176" i="5"/>
  <c r="C176" i="5"/>
  <c r="C193" i="5"/>
  <c r="D192" i="5"/>
  <c r="C192" i="5"/>
  <c r="C209" i="5"/>
  <c r="D208" i="5"/>
  <c r="C208" i="5"/>
  <c r="C225" i="5"/>
  <c r="D224" i="5"/>
  <c r="C224" i="5"/>
  <c r="C241" i="5"/>
  <c r="D240" i="5"/>
  <c r="C240" i="5"/>
  <c r="C257" i="5"/>
  <c r="D256" i="5"/>
  <c r="C256" i="5"/>
  <c r="C273" i="5"/>
  <c r="D272" i="5"/>
  <c r="C272" i="5"/>
  <c r="C289" i="5"/>
  <c r="D288" i="5"/>
  <c r="C288" i="5"/>
  <c r="C305" i="5"/>
  <c r="D304" i="5"/>
  <c r="C304" i="5"/>
  <c r="C321" i="5"/>
  <c r="D320" i="5"/>
  <c r="C320" i="5"/>
  <c r="C337" i="5"/>
  <c r="D336" i="5"/>
  <c r="C336" i="5"/>
  <c r="C353" i="5"/>
  <c r="D352" i="5"/>
  <c r="C352" i="5"/>
  <c r="C369" i="5"/>
  <c r="D368" i="5"/>
  <c r="C368" i="5"/>
  <c r="C385" i="5"/>
  <c r="D384" i="5"/>
  <c r="C384" i="5"/>
  <c r="C401" i="5"/>
  <c r="D400" i="5"/>
  <c r="C400" i="5"/>
  <c r="C417" i="5"/>
  <c r="D416" i="5"/>
  <c r="C416" i="5"/>
  <c r="C433" i="5"/>
  <c r="D432" i="5"/>
  <c r="C432" i="5"/>
  <c r="C449" i="5"/>
  <c r="D448" i="5"/>
  <c r="C448" i="5"/>
  <c r="C465" i="5"/>
  <c r="D464" i="5"/>
  <c r="C464" i="5"/>
  <c r="C481" i="5"/>
  <c r="D480" i="5"/>
  <c r="C480" i="5"/>
  <c r="C497" i="5"/>
  <c r="D496" i="5"/>
  <c r="C496" i="5"/>
  <c r="C513" i="5"/>
  <c r="D512" i="5"/>
  <c r="C512" i="5"/>
  <c r="C529" i="5"/>
  <c r="D528" i="5"/>
  <c r="C528" i="5"/>
  <c r="D640" i="5"/>
  <c r="C7" i="6"/>
  <c r="D18" i="6"/>
  <c r="C33" i="6"/>
  <c r="D45" i="6"/>
  <c r="C82" i="6"/>
  <c r="D124" i="6"/>
  <c r="D167" i="6"/>
  <c r="D247" i="6"/>
  <c r="D276" i="6"/>
  <c r="D322" i="6"/>
  <c r="C322" i="6"/>
  <c r="D330" i="6"/>
  <c r="C331" i="6"/>
  <c r="D342" i="6"/>
  <c r="D374" i="6"/>
  <c r="C374" i="6"/>
  <c r="D427" i="6"/>
  <c r="D442" i="6"/>
  <c r="D479" i="6"/>
  <c r="C485" i="6"/>
  <c r="C486" i="6"/>
  <c r="D485" i="6"/>
  <c r="D504" i="6"/>
  <c r="D492" i="6"/>
  <c r="C492" i="6"/>
  <c r="D524" i="6"/>
  <c r="C524" i="6"/>
  <c r="D595" i="6"/>
  <c r="C595" i="6"/>
  <c r="C596" i="6"/>
  <c r="D19" i="7"/>
  <c r="C20" i="7"/>
  <c r="C46" i="7"/>
  <c r="C47" i="7"/>
  <c r="C70" i="7"/>
  <c r="D70" i="7"/>
  <c r="C71" i="7"/>
  <c r="C503" i="4"/>
  <c r="C514" i="4"/>
  <c r="C522" i="4"/>
  <c r="D554" i="4"/>
  <c r="C568" i="4"/>
  <c r="D582" i="4"/>
  <c r="C585" i="4"/>
  <c r="C610" i="4"/>
  <c r="C623" i="4"/>
  <c r="D628" i="4"/>
  <c r="C631" i="4"/>
  <c r="C632" i="4"/>
  <c r="D642" i="4"/>
  <c r="C642" i="4"/>
  <c r="C662" i="4"/>
  <c r="C665" i="4"/>
  <c r="C687" i="4"/>
  <c r="C701" i="4"/>
  <c r="C729" i="4"/>
  <c r="C758" i="4"/>
  <c r="D772" i="4"/>
  <c r="C784" i="4"/>
  <c r="D825" i="4"/>
  <c r="C862" i="4"/>
  <c r="D861" i="4"/>
  <c r="C861" i="4"/>
  <c r="C886" i="4"/>
  <c r="C898" i="4"/>
  <c r="C901" i="4"/>
  <c r="C905" i="4"/>
  <c r="D904" i="4"/>
  <c r="C561" i="5"/>
  <c r="D560" i="5"/>
  <c r="C560" i="5"/>
  <c r="D584" i="5"/>
  <c r="C599" i="5"/>
  <c r="C615" i="5"/>
  <c r="C636" i="5"/>
  <c r="D652" i="5"/>
  <c r="C653" i="5"/>
  <c r="C652" i="5"/>
  <c r="D672" i="5"/>
  <c r="C6" i="6"/>
  <c r="D33" i="6"/>
  <c r="D68" i="6"/>
  <c r="D75" i="6"/>
  <c r="C75" i="6"/>
  <c r="C76" i="6"/>
  <c r="D105" i="6"/>
  <c r="C112" i="6"/>
  <c r="C118" i="6"/>
  <c r="C191" i="6"/>
  <c r="C197" i="6"/>
  <c r="C198" i="6"/>
  <c r="D197" i="6"/>
  <c r="C247" i="6"/>
  <c r="D315" i="6"/>
  <c r="C315" i="6"/>
  <c r="C330" i="6"/>
  <c r="C368" i="6"/>
  <c r="D367" i="6"/>
  <c r="C367" i="6"/>
  <c r="C375" i="6"/>
  <c r="D428" i="6"/>
  <c r="C428" i="6"/>
  <c r="D456" i="6"/>
  <c r="C456" i="6"/>
  <c r="D471" i="6"/>
  <c r="C500" i="6"/>
  <c r="D517" i="6"/>
  <c r="D537" i="6"/>
  <c r="D575" i="6"/>
  <c r="D588" i="6"/>
  <c r="D640" i="6"/>
  <c r="C640" i="6"/>
  <c r="C641" i="6"/>
  <c r="C19" i="7"/>
  <c r="D46" i="7"/>
  <c r="C167" i="7"/>
  <c r="C172" i="7"/>
  <c r="C254" i="7"/>
  <c r="D254" i="7"/>
  <c r="D347" i="7"/>
  <c r="C351" i="7"/>
  <c r="D363" i="7"/>
  <c r="D351" i="7"/>
  <c r="D444" i="4"/>
  <c r="C444" i="4"/>
  <c r="C484" i="4"/>
  <c r="C506" i="4"/>
  <c r="D525" i="4"/>
  <c r="C533" i="4"/>
  <c r="C554" i="4"/>
  <c r="D631" i="4"/>
  <c r="D634" i="4"/>
  <c r="C634" i="4"/>
  <c r="C668" i="4"/>
  <c r="C741" i="4"/>
  <c r="D741" i="4"/>
  <c r="D753" i="4"/>
  <c r="C781" i="4"/>
  <c r="D807" i="4"/>
  <c r="C810" i="4"/>
  <c r="D813" i="4"/>
  <c r="D819" i="4"/>
  <c r="C819" i="4"/>
  <c r="C825" i="4"/>
  <c r="C831" i="4"/>
  <c r="D843" i="4"/>
  <c r="D837" i="4"/>
  <c r="C883" i="4"/>
  <c r="D895" i="4"/>
  <c r="C884" i="4"/>
  <c r="D898" i="4"/>
  <c r="D901" i="4"/>
  <c r="C904" i="4"/>
  <c r="D913" i="4"/>
  <c r="D600" i="5"/>
  <c r="C600" i="5"/>
  <c r="C616" i="5"/>
  <c r="D627" i="5"/>
  <c r="D644" i="5"/>
  <c r="C633" i="5"/>
  <c r="C34" i="6"/>
  <c r="D61" i="6"/>
  <c r="C69" i="6"/>
  <c r="D92" i="6"/>
  <c r="C92" i="6"/>
  <c r="D99" i="6"/>
  <c r="D106" i="6"/>
  <c r="C168" i="6"/>
  <c r="D234" i="6"/>
  <c r="D286" i="6"/>
  <c r="C286" i="6"/>
  <c r="D302" i="6"/>
  <c r="C302" i="6"/>
  <c r="D352" i="6"/>
  <c r="D364" i="6"/>
  <c r="C352" i="6"/>
  <c r="D472" i="6"/>
  <c r="C472" i="6"/>
  <c r="D494" i="6"/>
  <c r="C494" i="6"/>
  <c r="C495" i="6"/>
  <c r="D589" i="6"/>
  <c r="C589" i="6"/>
  <c r="D618" i="6"/>
  <c r="C626" i="6"/>
  <c r="C627" i="6"/>
  <c r="D626" i="6"/>
  <c r="D633" i="6"/>
  <c r="C38" i="7"/>
  <c r="D38" i="7"/>
  <c r="D61" i="7"/>
  <c r="C61" i="7"/>
  <c r="C62" i="7"/>
  <c r="C66" i="7"/>
  <c r="D66" i="7"/>
  <c r="C67" i="7"/>
  <c r="C139" i="7"/>
  <c r="C143" i="7"/>
  <c r="C225" i="7"/>
  <c r="D225" i="7"/>
  <c r="C226" i="7"/>
  <c r="D237" i="7"/>
  <c r="C263" i="7"/>
  <c r="D338" i="7"/>
  <c r="C338" i="7"/>
  <c r="C360" i="7"/>
  <c r="D360" i="7"/>
  <c r="C177" i="7"/>
  <c r="D189" i="7"/>
  <c r="C178" i="7"/>
  <c r="C186" i="7"/>
  <c r="D186" i="7"/>
  <c r="D588" i="7"/>
  <c r="C588" i="7"/>
  <c r="C487" i="4"/>
  <c r="D518" i="4"/>
  <c r="C703" i="4"/>
  <c r="C724" i="4"/>
  <c r="D782" i="4"/>
  <c r="D806" i="4"/>
  <c r="C875" i="4"/>
  <c r="D878" i="4"/>
  <c r="C907" i="4"/>
  <c r="D596" i="5"/>
  <c r="D611" i="5"/>
  <c r="D675" i="5"/>
  <c r="C57" i="6"/>
  <c r="D57" i="6"/>
  <c r="D64" i="6"/>
  <c r="C64" i="6"/>
  <c r="C77" i="6"/>
  <c r="D89" i="6"/>
  <c r="C101" i="6"/>
  <c r="C102" i="6"/>
  <c r="D101" i="6"/>
  <c r="C113" i="6"/>
  <c r="C125" i="6"/>
  <c r="D125" i="6"/>
  <c r="C149" i="6"/>
  <c r="C150" i="6"/>
  <c r="D149" i="6"/>
  <c r="C176" i="6"/>
  <c r="D175" i="6"/>
  <c r="C224" i="6"/>
  <c r="D223" i="6"/>
  <c r="C273" i="6"/>
  <c r="D285" i="6"/>
  <c r="C451" i="6"/>
  <c r="D450" i="6"/>
  <c r="D462" i="6"/>
  <c r="C462" i="6"/>
  <c r="C513" i="6"/>
  <c r="D525" i="6"/>
  <c r="D520" i="6"/>
  <c r="C520" i="6"/>
  <c r="D527" i="6"/>
  <c r="D532" i="6"/>
  <c r="C532" i="6"/>
  <c r="D544" i="6"/>
  <c r="D71" i="7"/>
  <c r="C131" i="7"/>
  <c r="D131" i="7"/>
  <c r="C158" i="7"/>
  <c r="D158" i="7"/>
  <c r="D170" i="7"/>
  <c r="C168" i="7"/>
  <c r="D177" i="7"/>
  <c r="D232" i="7"/>
  <c r="D296" i="7"/>
  <c r="C305" i="7"/>
  <c r="D320" i="7"/>
  <c r="C320" i="7"/>
  <c r="C406" i="7"/>
  <c r="D406" i="7"/>
  <c r="D478" i="7"/>
  <c r="D466" i="7"/>
  <c r="C466" i="7"/>
  <c r="D114" i="4"/>
  <c r="C119" i="4"/>
  <c r="D186" i="4"/>
  <c r="C191" i="4"/>
  <c r="D258" i="4"/>
  <c r="C263" i="4"/>
  <c r="D330" i="4"/>
  <c r="C335" i="4"/>
  <c r="D402" i="4"/>
  <c r="C407" i="4"/>
  <c r="D482" i="4"/>
  <c r="D487" i="4"/>
  <c r="C500" i="4"/>
  <c r="D505" i="4"/>
  <c r="C518" i="4"/>
  <c r="C559" i="4"/>
  <c r="C572" i="4"/>
  <c r="C583" i="4"/>
  <c r="C619" i="4"/>
  <c r="C664" i="4"/>
  <c r="D703" i="4"/>
  <c r="D711" i="4"/>
  <c r="C711" i="4"/>
  <c r="D724" i="4"/>
  <c r="C727" i="4"/>
  <c r="D777" i="4"/>
  <c r="C782" i="4"/>
  <c r="C785" i="4"/>
  <c r="C806" i="4"/>
  <c r="D875" i="4"/>
  <c r="C878" i="4"/>
  <c r="D907" i="4"/>
  <c r="C611" i="5"/>
  <c r="C647" i="5"/>
  <c r="D671" i="5"/>
  <c r="C675" i="5"/>
  <c r="D23" i="6"/>
  <c r="C23" i="6"/>
  <c r="D40" i="6"/>
  <c r="C40" i="6"/>
  <c r="D58" i="6"/>
  <c r="C65" i="6"/>
  <c r="D77" i="6"/>
  <c r="C83" i="6"/>
  <c r="D113" i="6"/>
  <c r="D119" i="6"/>
  <c r="D126" i="6"/>
  <c r="C126" i="6"/>
  <c r="C156" i="6"/>
  <c r="C169" i="6"/>
  <c r="C175" i="6"/>
  <c r="D205" i="6"/>
  <c r="D217" i="6"/>
  <c r="C223" i="6"/>
  <c r="D260" i="6"/>
  <c r="D248" i="6"/>
  <c r="C248" i="6"/>
  <c r="D267" i="6"/>
  <c r="C267" i="6"/>
  <c r="D273" i="6"/>
  <c r="D280" i="6"/>
  <c r="C280" i="6"/>
  <c r="C305" i="6"/>
  <c r="D311" i="6"/>
  <c r="D318" i="6"/>
  <c r="C318" i="6"/>
  <c r="D382" i="6"/>
  <c r="D425" i="6"/>
  <c r="C450" i="6"/>
  <c r="C464" i="6"/>
  <c r="D463" i="6"/>
  <c r="C463" i="6"/>
  <c r="C470" i="6"/>
  <c r="C476" i="6"/>
  <c r="D488" i="6"/>
  <c r="C501" i="6"/>
  <c r="D507" i="6"/>
  <c r="C507" i="6"/>
  <c r="D513" i="6"/>
  <c r="C527" i="6"/>
  <c r="C533" i="6"/>
  <c r="C534" i="6"/>
  <c r="D533" i="6"/>
  <c r="D564" i="6"/>
  <c r="D596" i="6"/>
  <c r="D584" i="6"/>
  <c r="D609" i="6"/>
  <c r="C636" i="6"/>
  <c r="D635" i="6"/>
  <c r="C635" i="6"/>
  <c r="D673" i="6"/>
  <c r="D661" i="6"/>
  <c r="C661" i="6"/>
  <c r="C21" i="7"/>
  <c r="D21" i="7"/>
  <c r="C22" i="7"/>
  <c r="C48" i="7"/>
  <c r="C49" i="7"/>
  <c r="D57" i="7"/>
  <c r="D168" i="7"/>
  <c r="C228" i="7"/>
  <c r="D240" i="7"/>
  <c r="C229" i="7"/>
  <c r="D241" i="7"/>
  <c r="C241" i="7"/>
  <c r="C242" i="7"/>
  <c r="D250" i="7"/>
  <c r="C251" i="7"/>
  <c r="C250" i="7"/>
  <c r="C386" i="7"/>
  <c r="C385" i="7"/>
  <c r="D389" i="7"/>
  <c r="C393" i="7"/>
  <c r="D393" i="7"/>
  <c r="D397" i="7"/>
  <c r="D428" i="7"/>
  <c r="D416" i="7"/>
  <c r="C835" i="4"/>
  <c r="D607" i="5"/>
  <c r="D643" i="5"/>
  <c r="C644" i="5"/>
  <c r="D648" i="5"/>
  <c r="C648" i="5"/>
  <c r="D667" i="5"/>
  <c r="C52" i="6"/>
  <c r="D52" i="6"/>
  <c r="D78" i="6"/>
  <c r="D84" i="6"/>
  <c r="D90" i="6"/>
  <c r="C115" i="6"/>
  <c r="D114" i="6"/>
  <c r="C120" i="6"/>
  <c r="D120" i="6"/>
  <c r="C128" i="6"/>
  <c r="D127" i="6"/>
  <c r="D163" i="6"/>
  <c r="D169" i="6"/>
  <c r="D206" i="6"/>
  <c r="C206" i="6"/>
  <c r="D218" i="6"/>
  <c r="D230" i="6"/>
  <c r="C320" i="6"/>
  <c r="D319" i="6"/>
  <c r="D331" i="6"/>
  <c r="C388" i="6"/>
  <c r="D413" i="6"/>
  <c r="D426" i="6"/>
  <c r="C426" i="6"/>
  <c r="D501" i="6"/>
  <c r="D514" i="6"/>
  <c r="C514" i="6"/>
  <c r="C547" i="6"/>
  <c r="D546" i="6"/>
  <c r="D558" i="6"/>
  <c r="C572" i="6"/>
  <c r="C610" i="6"/>
  <c r="D622" i="6"/>
  <c r="D655" i="6"/>
  <c r="D643" i="6"/>
  <c r="C662" i="6"/>
  <c r="D662" i="6"/>
  <c r="C101" i="7"/>
  <c r="D101" i="7"/>
  <c r="C150" i="7"/>
  <c r="D150" i="7"/>
  <c r="D162" i="7"/>
  <c r="C297" i="7"/>
  <c r="C298" i="7"/>
  <c r="D452" i="7"/>
  <c r="C452" i="7"/>
  <c r="D464" i="7"/>
  <c r="C462" i="7"/>
  <c r="D474" i="7"/>
  <c r="D462" i="7"/>
  <c r="D851" i="4"/>
  <c r="C870" i="4"/>
  <c r="D575" i="5"/>
  <c r="D663" i="5"/>
  <c r="D47" i="6"/>
  <c r="C47" i="6"/>
  <c r="D59" i="6"/>
  <c r="C67" i="6"/>
  <c r="D66" i="6"/>
  <c r="D115" i="6"/>
  <c r="D103" i="6"/>
  <c r="D176" i="6"/>
  <c r="D164" i="6"/>
  <c r="D170" i="6"/>
  <c r="C170" i="6"/>
  <c r="C177" i="6"/>
  <c r="D189" i="6"/>
  <c r="D177" i="6"/>
  <c r="C293" i="6"/>
  <c r="C294" i="6"/>
  <c r="D293" i="6"/>
  <c r="D312" i="6"/>
  <c r="D300" i="6"/>
  <c r="C307" i="6"/>
  <c r="D306" i="6"/>
  <c r="C306" i="6"/>
  <c r="D332" i="6"/>
  <c r="C332" i="6"/>
  <c r="D350" i="6"/>
  <c r="C350" i="6"/>
  <c r="D356" i="6"/>
  <c r="D362" i="6"/>
  <c r="C445" i="6"/>
  <c r="D445" i="6"/>
  <c r="D478" i="6"/>
  <c r="C478" i="6"/>
  <c r="D483" i="6"/>
  <c r="D522" i="6"/>
  <c r="C522" i="6"/>
  <c r="D534" i="6"/>
  <c r="C560" i="6"/>
  <c r="D559" i="6"/>
  <c r="D565" i="6"/>
  <c r="C97" i="7"/>
  <c r="C98" i="7"/>
  <c r="D164" i="7"/>
  <c r="C164" i="7"/>
  <c r="D358" i="7"/>
  <c r="C372" i="7"/>
  <c r="C373" i="7"/>
  <c r="D384" i="7"/>
  <c r="D547" i="5"/>
  <c r="C548" i="5"/>
  <c r="D552" i="5"/>
  <c r="C552" i="5"/>
  <c r="D571" i="5"/>
  <c r="C575" i="5"/>
  <c r="C584" i="5"/>
  <c r="D603" i="5"/>
  <c r="D612" i="5"/>
  <c r="D639" i="5"/>
  <c r="C639" i="5"/>
  <c r="C649" i="5"/>
  <c r="C663" i="5"/>
  <c r="C672" i="5"/>
  <c r="C35" i="6"/>
  <c r="C66" i="6"/>
  <c r="C80" i="6"/>
  <c r="D79" i="6"/>
  <c r="D85" i="6"/>
  <c r="C91" i="6"/>
  <c r="C103" i="6"/>
  <c r="C134" i="6"/>
  <c r="D151" i="6"/>
  <c r="D157" i="6"/>
  <c r="C164" i="6"/>
  <c r="D171" i="6"/>
  <c r="C171" i="6"/>
  <c r="C172" i="6"/>
  <c r="C190" i="6"/>
  <c r="C195" i="6"/>
  <c r="C207" i="6"/>
  <c r="C213" i="6"/>
  <c r="D213" i="6"/>
  <c r="D219" i="6"/>
  <c r="C219" i="6"/>
  <c r="C225" i="6"/>
  <c r="D237" i="6"/>
  <c r="C231" i="6"/>
  <c r="D243" i="6"/>
  <c r="C256" i="6"/>
  <c r="C262" i="6"/>
  <c r="D268" i="6"/>
  <c r="C282" i="6"/>
  <c r="C288" i="6"/>
  <c r="C300" i="6"/>
  <c r="C326" i="6"/>
  <c r="D338" i="6"/>
  <c r="C344" i="6"/>
  <c r="D363" i="6"/>
  <c r="C363" i="6"/>
  <c r="C364" i="6"/>
  <c r="D370" i="6"/>
  <c r="C370" i="6"/>
  <c r="C403" i="6"/>
  <c r="D402" i="6"/>
  <c r="C408" i="6"/>
  <c r="C414" i="6"/>
  <c r="D420" i="6"/>
  <c r="C427" i="6"/>
  <c r="D439" i="6"/>
  <c r="C465" i="6"/>
  <c r="D477" i="6"/>
  <c r="C471" i="6"/>
  <c r="D490" i="6"/>
  <c r="D496" i="6"/>
  <c r="C502" i="6"/>
  <c r="C515" i="6"/>
  <c r="D553" i="6"/>
  <c r="C559" i="6"/>
  <c r="D578" i="6"/>
  <c r="D566" i="6"/>
  <c r="C566" i="6"/>
  <c r="D573" i="6"/>
  <c r="C573" i="6"/>
  <c r="C574" i="6"/>
  <c r="D617" i="6"/>
  <c r="C617" i="6"/>
  <c r="C637" i="6"/>
  <c r="D637" i="6"/>
  <c r="C676" i="6"/>
  <c r="C9" i="7"/>
  <c r="D31" i="7"/>
  <c r="D43" i="7"/>
  <c r="C31" i="7"/>
  <c r="D73" i="7"/>
  <c r="D97" i="7"/>
  <c r="C106" i="7"/>
  <c r="D106" i="7"/>
  <c r="C146" i="7"/>
  <c r="C152" i="7"/>
  <c r="D151" i="7"/>
  <c r="C220" i="7"/>
  <c r="C279" i="7"/>
  <c r="D291" i="7"/>
  <c r="D346" i="7"/>
  <c r="D354" i="7"/>
  <c r="D372" i="7"/>
  <c r="C377" i="7"/>
  <c r="D854" i="4"/>
  <c r="D567" i="5"/>
  <c r="C580" i="5"/>
  <c r="C608" i="5"/>
  <c r="C668" i="5"/>
  <c r="C13" i="6"/>
  <c r="C25" i="6"/>
  <c r="C26" i="6"/>
  <c r="C30" i="6"/>
  <c r="C48" i="6"/>
  <c r="C73" i="6"/>
  <c r="D73" i="6"/>
  <c r="C79" i="6"/>
  <c r="D158" i="6"/>
  <c r="C158" i="6"/>
  <c r="C159" i="6"/>
  <c r="C178" i="6"/>
  <c r="D184" i="6"/>
  <c r="C184" i="6"/>
  <c r="D195" i="6"/>
  <c r="C201" i="6"/>
  <c r="C269" i="6"/>
  <c r="D281" i="6"/>
  <c r="D275" i="6"/>
  <c r="C275" i="6"/>
  <c r="D282" i="6"/>
  <c r="C351" i="6"/>
  <c r="D357" i="6"/>
  <c r="C402" i="6"/>
  <c r="C440" i="6"/>
  <c r="D465" i="6"/>
  <c r="C479" i="6"/>
  <c r="C497" i="6"/>
  <c r="C523" i="6"/>
  <c r="D567" i="6"/>
  <c r="D585" i="6"/>
  <c r="C600" i="6"/>
  <c r="D599" i="6"/>
  <c r="C611" i="6"/>
  <c r="C624" i="6"/>
  <c r="D624" i="6"/>
  <c r="C625" i="6"/>
  <c r="D631" i="6"/>
  <c r="C631" i="6"/>
  <c r="C632" i="6"/>
  <c r="C644" i="6"/>
  <c r="C27" i="7"/>
  <c r="D39" i="7"/>
  <c r="C28" i="7"/>
  <c r="D27" i="7"/>
  <c r="C73" i="7"/>
  <c r="D85" i="7"/>
  <c r="C93" i="7"/>
  <c r="C94" i="7"/>
  <c r="C120" i="7"/>
  <c r="D120" i="7"/>
  <c r="C151" i="7"/>
  <c r="C160" i="7"/>
  <c r="D172" i="7"/>
  <c r="C161" i="7"/>
  <c r="D160" i="7"/>
  <c r="D211" i="7"/>
  <c r="D293" i="7"/>
  <c r="C293" i="7"/>
  <c r="D403" i="7"/>
  <c r="C403" i="7"/>
  <c r="D415" i="7"/>
  <c r="C404" i="7"/>
  <c r="D412" i="7"/>
  <c r="C412" i="7"/>
  <c r="D514" i="7"/>
  <c r="D526" i="7"/>
  <c r="C514" i="7"/>
  <c r="D662" i="7"/>
  <c r="C662" i="7"/>
  <c r="C571" i="4"/>
  <c r="C597" i="4"/>
  <c r="C798" i="4"/>
  <c r="C811" i="4"/>
  <c r="C859" i="4"/>
  <c r="C885" i="4"/>
  <c r="D539" i="5"/>
  <c r="D587" i="5"/>
  <c r="D635" i="5"/>
  <c r="D42" i="6"/>
  <c r="C109" i="6"/>
  <c r="D109" i="6"/>
  <c r="C153" i="6"/>
  <c r="D182" i="6"/>
  <c r="D215" i="6"/>
  <c r="D254" i="6"/>
  <c r="C254" i="6"/>
  <c r="C255" i="6"/>
  <c r="D358" i="6"/>
  <c r="C358" i="6"/>
  <c r="D376" i="6"/>
  <c r="C376" i="6"/>
  <c r="C393" i="6"/>
  <c r="D411" i="6"/>
  <c r="C411" i="6"/>
  <c r="C417" i="6"/>
  <c r="D429" i="6"/>
  <c r="C499" i="6"/>
  <c r="D498" i="6"/>
  <c r="C498" i="6"/>
  <c r="D538" i="6"/>
  <c r="C590" i="6"/>
  <c r="D619" i="6"/>
  <c r="C619" i="6"/>
  <c r="D649" i="6"/>
  <c r="C649" i="6"/>
  <c r="C24" i="7"/>
  <c r="C78" i="7"/>
  <c r="D78" i="7"/>
  <c r="C173" i="7"/>
  <c r="D173" i="7"/>
  <c r="C187" i="7"/>
  <c r="D272" i="7"/>
  <c r="C325" i="7"/>
  <c r="D337" i="7"/>
  <c r="D325" i="7"/>
  <c r="C330" i="7"/>
  <c r="D330" i="7"/>
  <c r="D386" i="7"/>
  <c r="C374" i="7"/>
  <c r="D374" i="7"/>
  <c r="C431" i="7"/>
  <c r="C435" i="7"/>
  <c r="D435" i="7"/>
  <c r="D578" i="7"/>
  <c r="C578" i="7"/>
  <c r="C880" i="4"/>
  <c r="D535" i="5"/>
  <c r="D583" i="5"/>
  <c r="D631" i="5"/>
  <c r="C21" i="6"/>
  <c r="C32" i="6"/>
  <c r="D31" i="6"/>
  <c r="D36" i="6"/>
  <c r="C53" i="6"/>
  <c r="C54" i="6"/>
  <c r="D53" i="6"/>
  <c r="C104" i="6"/>
  <c r="D110" i="6"/>
  <c r="C110" i="6"/>
  <c r="C121" i="6"/>
  <c r="D132" i="6"/>
  <c r="D153" i="6"/>
  <c r="C165" i="6"/>
  <c r="C182" i="6"/>
  <c r="C211" i="6"/>
  <c r="D210" i="6"/>
  <c r="D221" i="6"/>
  <c r="D232" i="6"/>
  <c r="C232" i="6"/>
  <c r="C341" i="6"/>
  <c r="C342" i="6"/>
  <c r="D341" i="6"/>
  <c r="D359" i="6"/>
  <c r="D393" i="6"/>
  <c r="D417" i="6"/>
  <c r="D446" i="6"/>
  <c r="C446" i="6"/>
  <c r="C447" i="6"/>
  <c r="C544" i="6"/>
  <c r="D550" i="6"/>
  <c r="C550" i="6"/>
  <c r="C562" i="6"/>
  <c r="D568" i="6"/>
  <c r="C568" i="6"/>
  <c r="D590" i="6"/>
  <c r="C602" i="6"/>
  <c r="C638" i="6"/>
  <c r="D24" i="7"/>
  <c r="D33" i="7"/>
  <c r="C37" i="7"/>
  <c r="C45" i="7"/>
  <c r="D45" i="7"/>
  <c r="D58" i="7"/>
  <c r="D119" i="7"/>
  <c r="C119" i="7"/>
  <c r="D148" i="7"/>
  <c r="D136" i="7"/>
  <c r="C136" i="7"/>
  <c r="C169" i="7"/>
  <c r="C170" i="7"/>
  <c r="D187" i="7"/>
  <c r="D200" i="7"/>
  <c r="C200" i="7"/>
  <c r="C246" i="7"/>
  <c r="C247" i="7"/>
  <c r="C264" i="7"/>
  <c r="C265" i="7"/>
  <c r="C272" i="7"/>
  <c r="D285" i="7"/>
  <c r="C344" i="7"/>
  <c r="D373" i="7"/>
  <c r="D361" i="7"/>
  <c r="C361" i="7"/>
  <c r="C408" i="7"/>
  <c r="D408" i="7"/>
  <c r="D420" i="7"/>
  <c r="C418" i="7"/>
  <c r="D418" i="7"/>
  <c r="C428" i="7"/>
  <c r="D427" i="7"/>
  <c r="D431" i="7"/>
  <c r="C440" i="7"/>
  <c r="D440" i="7"/>
  <c r="D491" i="7"/>
  <c r="C491" i="7"/>
  <c r="D503" i="7"/>
  <c r="D515" i="7"/>
  <c r="C515" i="7"/>
  <c r="C555" i="7"/>
  <c r="C556" i="7"/>
  <c r="D555" i="7"/>
  <c r="D79" i="7"/>
  <c r="D107" i="7"/>
  <c r="C132" i="7"/>
  <c r="D132" i="7"/>
  <c r="D218" i="7"/>
  <c r="C218" i="7"/>
  <c r="D230" i="7"/>
  <c r="D260" i="7"/>
  <c r="D264" i="7"/>
  <c r="D268" i="7"/>
  <c r="C290" i="7"/>
  <c r="C294" i="7"/>
  <c r="D294" i="7"/>
  <c r="D306" i="7"/>
  <c r="C321" i="7"/>
  <c r="D321" i="7"/>
  <c r="C322" i="7"/>
  <c r="D331" i="7"/>
  <c r="C332" i="7"/>
  <c r="C335" i="7"/>
  <c r="D335" i="7"/>
  <c r="D370" i="7"/>
  <c r="C371" i="7"/>
  <c r="C396" i="7"/>
  <c r="D396" i="7"/>
  <c r="C423" i="7"/>
  <c r="C424" i="7"/>
  <c r="C137" i="7"/>
  <c r="D137" i="7"/>
  <c r="C165" i="7"/>
  <c r="D165" i="7"/>
  <c r="C166" i="7"/>
  <c r="C192" i="7"/>
  <c r="D192" i="7"/>
  <c r="D204" i="7"/>
  <c r="C193" i="7"/>
  <c r="C201" i="7"/>
  <c r="D201" i="7"/>
  <c r="D213" i="7"/>
  <c r="D205" i="7"/>
  <c r="C205" i="7"/>
  <c r="D235" i="7"/>
  <c r="D247" i="7"/>
  <c r="D316" i="7"/>
  <c r="D145" i="7"/>
  <c r="D149" i="7"/>
  <c r="C188" i="7"/>
  <c r="D295" i="7"/>
  <c r="D312" i="7"/>
  <c r="D492" i="7"/>
  <c r="C501" i="7"/>
  <c r="C502" i="7"/>
  <c r="D513" i="7"/>
  <c r="D501" i="7"/>
  <c r="C42" i="7"/>
  <c r="D42" i="7"/>
  <c r="D54" i="7"/>
  <c r="C43" i="7"/>
  <c r="C51" i="7"/>
  <c r="C133" i="7"/>
  <c r="D166" i="7"/>
  <c r="C155" i="7"/>
  <c r="D231" i="7"/>
  <c r="C239" i="7"/>
  <c r="D252" i="7"/>
  <c r="C300" i="7"/>
  <c r="C301" i="7"/>
  <c r="D304" i="7"/>
  <c r="D308" i="7"/>
  <c r="C317" i="7"/>
  <c r="D317" i="7"/>
  <c r="D400" i="7"/>
  <c r="C443" i="7"/>
  <c r="C447" i="7"/>
  <c r="C448" i="7"/>
  <c r="C483" i="7"/>
  <c r="D495" i="7"/>
  <c r="C484" i="7"/>
  <c r="D496" i="7"/>
  <c r="C249" i="6"/>
  <c r="C265" i="6"/>
  <c r="C301" i="6"/>
  <c r="C353" i="6"/>
  <c r="C369" i="6"/>
  <c r="D381" i="6"/>
  <c r="C389" i="6"/>
  <c r="C390" i="6"/>
  <c r="D389" i="6"/>
  <c r="C405" i="6"/>
  <c r="C441" i="6"/>
  <c r="C457" i="6"/>
  <c r="C493" i="6"/>
  <c r="C545" i="6"/>
  <c r="D608" i="6"/>
  <c r="C608" i="6"/>
  <c r="C630" i="6"/>
  <c r="C664" i="6"/>
  <c r="D663" i="6"/>
  <c r="C60" i="7"/>
  <c r="D64" i="7"/>
  <c r="C108" i="7"/>
  <c r="D112" i="7"/>
  <c r="C112" i="7"/>
  <c r="C124" i="7"/>
  <c r="D124" i="7"/>
  <c r="C249" i="7"/>
  <c r="C261" i="7"/>
  <c r="D261" i="7"/>
  <c r="D273" i="7"/>
  <c r="C286" i="7"/>
  <c r="D298" i="7"/>
  <c r="D302" i="7"/>
  <c r="D314" i="7"/>
  <c r="C302" i="7"/>
  <c r="C336" i="7"/>
  <c r="C337" i="7"/>
  <c r="D394" i="7"/>
  <c r="C394" i="7"/>
  <c r="D436" i="7"/>
  <c r="D448" i="7"/>
  <c r="C436" i="7"/>
  <c r="D551" i="7"/>
  <c r="D563" i="7"/>
  <c r="C17" i="6"/>
  <c r="D27" i="6"/>
  <c r="D249" i="6"/>
  <c r="D265" i="6"/>
  <c r="D301" i="6"/>
  <c r="D317" i="6"/>
  <c r="D353" i="6"/>
  <c r="D369" i="6"/>
  <c r="D405" i="6"/>
  <c r="D421" i="6"/>
  <c r="D441" i="6"/>
  <c r="D457" i="6"/>
  <c r="D493" i="6"/>
  <c r="D509" i="6"/>
  <c r="D545" i="6"/>
  <c r="D561" i="6"/>
  <c r="D577" i="6"/>
  <c r="C598" i="6"/>
  <c r="D630" i="6"/>
  <c r="C647" i="6"/>
  <c r="C663" i="6"/>
  <c r="D674" i="6"/>
  <c r="C52" i="7"/>
  <c r="D56" i="7"/>
  <c r="C56" i="7"/>
  <c r="D60" i="7"/>
  <c r="C64" i="7"/>
  <c r="C96" i="7"/>
  <c r="D108" i="7"/>
  <c r="C144" i="7"/>
  <c r="C145" i="7"/>
  <c r="D176" i="7"/>
  <c r="C176" i="7"/>
  <c r="C209" i="7"/>
  <c r="D209" i="7"/>
  <c r="C245" i="7"/>
  <c r="D257" i="7"/>
  <c r="D249" i="7"/>
  <c r="C282" i="7"/>
  <c r="D282" i="7"/>
  <c r="D286" i="7"/>
  <c r="D315" i="7"/>
  <c r="D327" i="7"/>
  <c r="D336" i="7"/>
  <c r="D341" i="7"/>
  <c r="D357" i="7"/>
  <c r="C369" i="7"/>
  <c r="D369" i="7"/>
  <c r="C402" i="7"/>
  <c r="D402" i="7"/>
  <c r="D414" i="7"/>
  <c r="C420" i="7"/>
  <c r="D432" i="7"/>
  <c r="D476" i="7"/>
  <c r="C476" i="7"/>
  <c r="D538" i="7"/>
  <c r="C383" i="7"/>
  <c r="D382" i="7"/>
  <c r="C382" i="7"/>
  <c r="D512" i="7"/>
  <c r="C512" i="7"/>
  <c r="C521" i="7"/>
  <c r="D533" i="7"/>
  <c r="C566" i="7"/>
  <c r="C539" i="7"/>
  <c r="D539" i="7"/>
  <c r="D562" i="7"/>
  <c r="C562" i="7"/>
  <c r="C563" i="7"/>
  <c r="D574" i="7"/>
  <c r="D442" i="7"/>
  <c r="C442" i="7"/>
  <c r="C459" i="7"/>
  <c r="D471" i="7"/>
  <c r="D459" i="7"/>
  <c r="C482" i="7"/>
  <c r="D494" i="7"/>
  <c r="C438" i="7"/>
  <c r="C439" i="7"/>
  <c r="D467" i="7"/>
  <c r="D455" i="7"/>
  <c r="D468" i="7"/>
  <c r="D482" i="7"/>
  <c r="C504" i="7"/>
  <c r="D504" i="7"/>
  <c r="C522" i="7"/>
  <c r="D534" i="7"/>
  <c r="C523" i="7"/>
  <c r="D527" i="7"/>
  <c r="C527" i="7"/>
  <c r="C480" i="7"/>
  <c r="D480" i="7"/>
  <c r="C481" i="7"/>
  <c r="D485" i="7"/>
  <c r="C485" i="7"/>
  <c r="C49" i="6"/>
  <c r="C97" i="6"/>
  <c r="C145" i="6"/>
  <c r="C193" i="6"/>
  <c r="C241" i="6"/>
  <c r="C289" i="6"/>
  <c r="C337" i="6"/>
  <c r="C385" i="6"/>
  <c r="C433" i="6"/>
  <c r="C481" i="6"/>
  <c r="C529" i="6"/>
  <c r="C582" i="6"/>
  <c r="C654" i="6"/>
  <c r="D32" i="7"/>
  <c r="D68" i="7"/>
  <c r="C72" i="7"/>
  <c r="D83" i="7"/>
  <c r="C90" i="7"/>
  <c r="D90" i="7"/>
  <c r="D130" i="7"/>
  <c r="C141" i="7"/>
  <c r="D141" i="7"/>
  <c r="C196" i="7"/>
  <c r="C243" i="7"/>
  <c r="D243" i="7"/>
  <c r="C258" i="7"/>
  <c r="D258" i="7"/>
  <c r="C348" i="7"/>
  <c r="C359" i="7"/>
  <c r="D367" i="7"/>
  <c r="C405" i="7"/>
  <c r="C409" i="7"/>
  <c r="D421" i="7"/>
  <c r="C421" i="7"/>
  <c r="C511" i="7"/>
  <c r="C519" i="7"/>
  <c r="C520" i="7"/>
  <c r="D519" i="7"/>
  <c r="C558" i="7"/>
  <c r="C559" i="7"/>
  <c r="C567" i="7"/>
  <c r="C568" i="7"/>
  <c r="D584" i="7"/>
  <c r="C584" i="7"/>
  <c r="D596" i="7"/>
  <c r="D458" i="4"/>
  <c r="C463" i="4"/>
  <c r="D530" i="4"/>
  <c r="C535" i="4"/>
  <c r="D602" i="4"/>
  <c r="C607" i="4"/>
  <c r="D674" i="4"/>
  <c r="C679" i="4"/>
  <c r="D746" i="4"/>
  <c r="C751" i="4"/>
  <c r="D818" i="4"/>
  <c r="C823" i="4"/>
  <c r="D890" i="4"/>
  <c r="C895" i="4"/>
  <c r="C36" i="6"/>
  <c r="C45" i="6"/>
  <c r="D49" i="6"/>
  <c r="C58" i="6"/>
  <c r="C71" i="6"/>
  <c r="C84" i="6"/>
  <c r="C93" i="6"/>
  <c r="D97" i="6"/>
  <c r="C106" i="6"/>
  <c r="C119" i="6"/>
  <c r="C132" i="6"/>
  <c r="C141" i="6"/>
  <c r="D145" i="6"/>
  <c r="C154" i="6"/>
  <c r="C167" i="6"/>
  <c r="C180" i="6"/>
  <c r="C189" i="6"/>
  <c r="D193" i="6"/>
  <c r="C202" i="6"/>
  <c r="C215" i="6"/>
  <c r="C228" i="6"/>
  <c r="C237" i="6"/>
  <c r="D241" i="6"/>
  <c r="C250" i="6"/>
  <c r="C263" i="6"/>
  <c r="C276" i="6"/>
  <c r="C285" i="6"/>
  <c r="D289" i="6"/>
  <c r="C298" i="6"/>
  <c r="C311" i="6"/>
  <c r="C324" i="6"/>
  <c r="C333" i="6"/>
  <c r="D337" i="6"/>
  <c r="C346" i="6"/>
  <c r="C359" i="6"/>
  <c r="C372" i="6"/>
  <c r="C381" i="6"/>
  <c r="D385" i="6"/>
  <c r="C394" i="6"/>
  <c r="C407" i="6"/>
  <c r="C420" i="6"/>
  <c r="C429" i="6"/>
  <c r="D433" i="6"/>
  <c r="C442" i="6"/>
  <c r="C455" i="6"/>
  <c r="C468" i="6"/>
  <c r="C477" i="6"/>
  <c r="D481" i="6"/>
  <c r="C490" i="6"/>
  <c r="C503" i="6"/>
  <c r="C516" i="6"/>
  <c r="C525" i="6"/>
  <c r="D529" i="6"/>
  <c r="C538" i="6"/>
  <c r="C551" i="6"/>
  <c r="C564" i="6"/>
  <c r="C578" i="6"/>
  <c r="D582" i="6"/>
  <c r="C591" i="6"/>
  <c r="C604" i="6"/>
  <c r="C622" i="6"/>
  <c r="C645" i="6"/>
  <c r="D654" i="6"/>
  <c r="C659" i="6"/>
  <c r="D668" i="6"/>
  <c r="C18" i="7"/>
  <c r="C25" i="7"/>
  <c r="C32" i="7"/>
  <c r="C58" i="7"/>
  <c r="C68" i="7"/>
  <c r="D72" i="7"/>
  <c r="C83" i="7"/>
  <c r="D105" i="7"/>
  <c r="C109" i="7"/>
  <c r="C130" i="7"/>
  <c r="C159" i="7"/>
  <c r="C181" i="7"/>
  <c r="D185" i="7"/>
  <c r="D196" i="7"/>
  <c r="C204" i="7"/>
  <c r="D207" i="7"/>
  <c r="C211" i="7"/>
  <c r="C269" i="7"/>
  <c r="C280" i="7"/>
  <c r="D284" i="7"/>
  <c r="C284" i="7"/>
  <c r="C288" i="7"/>
  <c r="C295" i="7"/>
  <c r="C318" i="7"/>
  <c r="D318" i="7"/>
  <c r="D333" i="7"/>
  <c r="C341" i="7"/>
  <c r="D348" i="7"/>
  <c r="D359" i="7"/>
  <c r="C401" i="7"/>
  <c r="D405" i="7"/>
  <c r="D409" i="7"/>
  <c r="C413" i="7"/>
  <c r="C457" i="7"/>
  <c r="C461" i="7"/>
  <c r="C465" i="7"/>
  <c r="D477" i="7"/>
  <c r="C469" i="7"/>
  <c r="C473" i="7"/>
  <c r="D502" i="7"/>
  <c r="D524" i="7"/>
  <c r="D536" i="7"/>
  <c r="C524" i="7"/>
  <c r="D558" i="7"/>
  <c r="D567" i="7"/>
  <c r="C41" i="6"/>
  <c r="C89" i="6"/>
  <c r="C137" i="6"/>
  <c r="C185" i="6"/>
  <c r="C233" i="6"/>
  <c r="C281" i="6"/>
  <c r="C329" i="6"/>
  <c r="C377" i="6"/>
  <c r="C425" i="6"/>
  <c r="C473" i="6"/>
  <c r="C521" i="6"/>
  <c r="C569" i="6"/>
  <c r="C618" i="6"/>
  <c r="D641" i="6"/>
  <c r="C650" i="6"/>
  <c r="D650" i="6"/>
  <c r="C65" i="7"/>
  <c r="C80" i="7"/>
  <c r="C87" i="7"/>
  <c r="D91" i="7"/>
  <c r="C102" i="7"/>
  <c r="D163" i="7"/>
  <c r="C174" i="7"/>
  <c r="C215" i="7"/>
  <c r="C237" i="7"/>
  <c r="C273" i="7"/>
  <c r="D299" i="7"/>
  <c r="C345" i="7"/>
  <c r="C352" i="7"/>
  <c r="D352" i="7"/>
  <c r="D371" i="7"/>
  <c r="C375" i="7"/>
  <c r="D413" i="7"/>
  <c r="C417" i="7"/>
  <c r="D417" i="7"/>
  <c r="C429" i="7"/>
  <c r="D429" i="7"/>
  <c r="C437" i="7"/>
  <c r="D449" i="7"/>
  <c r="C449" i="7"/>
  <c r="D469" i="7"/>
  <c r="C507" i="7"/>
  <c r="C508" i="7"/>
  <c r="C537" i="7"/>
  <c r="D549" i="7"/>
  <c r="D537" i="7"/>
  <c r="D542" i="7"/>
  <c r="C610" i="7"/>
  <c r="C611" i="7"/>
  <c r="D610" i="7"/>
  <c r="C525" i="7"/>
  <c r="D525" i="7"/>
  <c r="D554" i="7"/>
  <c r="D470" i="7"/>
  <c r="C470" i="7"/>
  <c r="D497" i="7"/>
  <c r="D585" i="7"/>
  <c r="C585" i="7"/>
  <c r="C306" i="7"/>
  <c r="C324" i="7"/>
  <c r="D356" i="7"/>
  <c r="D410" i="7"/>
  <c r="C444" i="7"/>
  <c r="D444" i="7"/>
  <c r="D456" i="7"/>
  <c r="D463" i="7"/>
  <c r="C463" i="7"/>
  <c r="C493" i="7"/>
  <c r="C497" i="7"/>
  <c r="C516" i="7"/>
  <c r="D516" i="7"/>
  <c r="D528" i="7"/>
  <c r="C540" i="7"/>
  <c r="C544" i="7"/>
  <c r="D600" i="7"/>
  <c r="C600" i="7"/>
  <c r="D614" i="7"/>
  <c r="D624" i="7"/>
  <c r="C624" i="7"/>
  <c r="D629" i="7"/>
  <c r="C629" i="7"/>
  <c r="D641" i="7"/>
  <c r="C649" i="7"/>
  <c r="C650" i="7"/>
  <c r="C658" i="7"/>
  <c r="C659" i="7"/>
  <c r="D658" i="7"/>
  <c r="C646" i="6"/>
  <c r="C81" i="7"/>
  <c r="C88" i="7"/>
  <c r="C123" i="7"/>
  <c r="D127" i="7"/>
  <c r="C162" i="7"/>
  <c r="C222" i="7"/>
  <c r="D222" i="7"/>
  <c r="D226" i="7"/>
  <c r="C233" i="7"/>
  <c r="C303" i="7"/>
  <c r="C339" i="7"/>
  <c r="C353" i="7"/>
  <c r="C378" i="7"/>
  <c r="C389" i="7"/>
  <c r="C486" i="7"/>
  <c r="C487" i="7"/>
  <c r="C494" i="7"/>
  <c r="C498" i="7"/>
  <c r="D509" i="7"/>
  <c r="C509" i="7"/>
  <c r="D560" i="7"/>
  <c r="C601" i="7"/>
  <c r="D541" i="7"/>
  <c r="C541" i="7"/>
  <c r="D581" i="7"/>
  <c r="C581" i="7"/>
  <c r="C592" i="7"/>
  <c r="D592" i="7"/>
  <c r="D620" i="7"/>
  <c r="C620" i="7"/>
  <c r="C561" i="7"/>
  <c r="D573" i="7"/>
  <c r="D561" i="7"/>
  <c r="D606" i="7"/>
  <c r="C606" i="7"/>
  <c r="D618" i="7"/>
  <c r="C618" i="7"/>
  <c r="C29" i="7"/>
  <c r="C36" i="7"/>
  <c r="D104" i="7"/>
  <c r="C114" i="7"/>
  <c r="D114" i="7"/>
  <c r="C138" i="7"/>
  <c r="C189" i="7"/>
  <c r="C213" i="7"/>
  <c r="C240" i="7"/>
  <c r="C267" i="7"/>
  <c r="C342" i="7"/>
  <c r="C376" i="7"/>
  <c r="C414" i="7"/>
  <c r="C456" i="7"/>
  <c r="C474" i="7"/>
  <c r="C495" i="7"/>
  <c r="D523" i="7"/>
  <c r="C534" i="7"/>
  <c r="D583" i="7"/>
  <c r="C572" i="7"/>
  <c r="C589" i="7"/>
  <c r="C616" i="7"/>
  <c r="D616" i="7"/>
  <c r="C671" i="7"/>
  <c r="D671" i="7"/>
  <c r="C366" i="7"/>
  <c r="D366" i="7"/>
  <c r="C390" i="7"/>
  <c r="C432" i="7"/>
  <c r="D446" i="7"/>
  <c r="C460" i="7"/>
  <c r="C467" i="7"/>
  <c r="C471" i="7"/>
  <c r="D506" i="7"/>
  <c r="C531" i="7"/>
  <c r="D545" i="7"/>
  <c r="C545" i="7"/>
  <c r="C576" i="7"/>
  <c r="D587" i="7"/>
  <c r="D575" i="7"/>
  <c r="C575" i="7"/>
  <c r="D594" i="7"/>
  <c r="C594" i="7"/>
  <c r="D621" i="7"/>
  <c r="C621" i="7"/>
  <c r="D590" i="7"/>
  <c r="C590" i="7"/>
  <c r="C622" i="7"/>
  <c r="C623" i="7"/>
  <c r="D634" i="7"/>
  <c r="D622" i="7"/>
  <c r="D632" i="7"/>
  <c r="C637" i="7"/>
  <c r="C638" i="7"/>
  <c r="C646" i="7"/>
  <c r="C647" i="7"/>
  <c r="D646" i="7"/>
  <c r="D565" i="7"/>
  <c r="D577" i="7"/>
  <c r="D604" i="7"/>
  <c r="C608" i="7"/>
  <c r="C613" i="7"/>
  <c r="D625" i="7"/>
  <c r="D637" i="7"/>
  <c r="D609" i="7"/>
  <c r="C609" i="7"/>
  <c r="C669" i="7"/>
  <c r="C39" i="7"/>
  <c r="C75" i="7"/>
  <c r="C111" i="7"/>
  <c r="C147" i="7"/>
  <c r="C183" i="7"/>
  <c r="C219" i="7"/>
  <c r="C255" i="7"/>
  <c r="C291" i="7"/>
  <c r="C327" i="7"/>
  <c r="C363" i="7"/>
  <c r="C399" i="7"/>
  <c r="C426" i="7"/>
  <c r="C453" i="7"/>
  <c r="C528" i="7"/>
  <c r="C552" i="7"/>
  <c r="D552" i="7"/>
  <c r="C625" i="7"/>
  <c r="D638" i="7"/>
  <c r="C586" i="7"/>
  <c r="C587" i="7"/>
  <c r="D612" i="7"/>
  <c r="C612" i="7"/>
  <c r="C634" i="7"/>
  <c r="C635" i="7"/>
  <c r="C672" i="7"/>
  <c r="D626" i="7"/>
  <c r="D630" i="7"/>
  <c r="H3" i="8"/>
  <c r="C441" i="7"/>
  <c r="C477" i="7"/>
  <c r="C513" i="7"/>
  <c r="C549" i="7"/>
  <c r="C583" i="7"/>
  <c r="C595" i="7"/>
  <c r="C607" i="7"/>
  <c r="C619" i="7"/>
  <c r="C666" i="7"/>
  <c r="D3" i="8"/>
  <c r="D579" i="7"/>
  <c r="C579" i="7"/>
  <c r="D591" i="7"/>
  <c r="C591" i="7"/>
  <c r="D603" i="7"/>
  <c r="C603" i="7"/>
  <c r="D615" i="7"/>
  <c r="C615" i="7"/>
  <c r="D627" i="7"/>
  <c r="C627" i="7"/>
  <c r="C651" i="7"/>
  <c r="C663" i="7"/>
  <c r="D670" i="7"/>
  <c r="H6" i="8"/>
  <c r="H5" i="8"/>
  <c r="H4" i="8"/>
  <c r="C630" i="7"/>
  <c r="C633" i="7"/>
  <c r="C636" i="7"/>
  <c r="C639" i="7"/>
  <c r="C642" i="7"/>
  <c r="C645" i="7"/>
  <c r="D633" i="7"/>
  <c r="D636" i="7"/>
  <c r="D639" i="7"/>
  <c r="D642" i="7"/>
  <c r="K7" i="4" l="1"/>
  <c r="K6" i="4"/>
  <c r="I6" i="8"/>
  <c r="I5" i="8"/>
  <c r="I4" i="8"/>
  <c r="I3"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<sst xmlns="http://schemas.openxmlformats.org/spreadsheetml/2006/main" count="145" uniqueCount="73">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</sst>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CPI'!$D$450:$D$682</c:f>
              <c:numCache>
                <c:formatCode>0.00%</c:formatCode>
                <c:ptCount val="23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0C6C-43C2-96D7-D8D51B429082}"/>
            </c:ext>
          </c:extLst>
        </c:ser>
        <c:ser>
          <c:idx val="2"/>
          <c:order val="1"/>
          <c:spPr>
            <a:ln w="28575" cap="rnd">
              <a:solidFill>
                <a:schemeClr val="accent3"/>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CPI'!$F$450:$F$682</c:f>
              <c:numCache>
                <c:formatCode>0%</c:formatCode>
                <c:ptCount val="23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0C6C-43C2-96D7-D8D51B429082}"/>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CPI!$A$5:$A$1043</c:f>
              <c:numCache>
                <c:formatCode>[$-409]mmm\-yy;@</c:formatCode>
                <c:ptCount val="1039"/>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numCache>
            </c:numRef>
          </c:cat>
          <c:val>
            <c:numRef>
              <c:f>CPI!$D$5:$D$1043</c:f>
              <c:numCache>
                <c:formatCode>0.00%</c:formatCode>
                <c:ptCount val="1039"/>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pt idx="910">
                  <c:v>7.1178785311140108E-2</c:v>
                </c:pt>
                <c:pt idx="911">
                  <c:v>6.4206821216167179E-2</c:v>
                </c:pt>
              </c:numCache>
            </c:numRef>
          </c:val>
          <c:smooth val="0"/>
          <c:extLst>
            <c:ext xmlns:c16="http://schemas.microsoft.com/office/drawing/2014/chart" uri="{C3380CC4-5D6E-409C-BE32-E72D297353CC}">
              <c16:uniqueId val="{00000000-EE87-4EA6-9B54-D53623FDAA51}"/>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CPI!$A$17:$A$924</c:f>
              <c:numCache>
                <c:formatCode>[$-409]mmm\-yy;@</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CPI!$D$17:$D$924</c:f>
              <c:numCache>
                <c:formatCode>0.00%</c:formatCode>
                <c:ptCount val="908"/>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pt idx="898">
                  <c:v>7.1178785311140108E-2</c:v>
                </c:pt>
                <c:pt idx="899">
                  <c:v>6.4206821216167179E-2</c:v>
                </c:pt>
              </c:numCache>
            </c:numRef>
          </c:val>
          <c:smooth val="0"/>
          <c:extLst>
            <c:ext xmlns:c16="http://schemas.microsoft.com/office/drawing/2014/chart" uri="{C3380CC4-5D6E-409C-BE32-E72D297353CC}">
              <c16:uniqueId val="{00000000-68E2-42CC-B7D9-D307F464E7F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CPI!$A$641:$A$924</c:f>
              <c:numCache>
                <c:formatCode>[$-409]mmm\-yy;@</c:formatCode>
                <c:ptCount val="28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CPI!$D$641:$D$924</c:f>
              <c:numCache>
                <c:formatCode>0.00%</c:formatCode>
                <c:ptCount val="284"/>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pt idx="274">
                  <c:v>7.1178785311140108E-2</c:v>
                </c:pt>
                <c:pt idx="275">
                  <c:v>6.4206821216167179E-2</c:v>
                </c:pt>
              </c:numCache>
            </c:numRef>
          </c:val>
          <c:smooth val="0"/>
          <c:extLst>
            <c:ext xmlns:c16="http://schemas.microsoft.com/office/drawing/2014/chart" uri="{C3380CC4-5D6E-409C-BE32-E72D297353CC}">
              <c16:uniqueId val="{00000000-EE8F-4AEA-8247-2AF6CC621F1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CPI!$A$809:$A$924</c:f>
              <c:numCache>
                <c:formatCode>[$-409]mmm\-yy;@</c:formatCode>
                <c:ptCount val="11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CPI!$D$809:$D$924</c:f>
              <c:numCache>
                <c:formatCode>0.00%</c:formatCode>
                <c:ptCount val="116"/>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pt idx="106">
                  <c:v>7.1178785311140108E-2</c:v>
                </c:pt>
                <c:pt idx="107">
                  <c:v>6.4206821216167179E-2</c:v>
                </c:pt>
              </c:numCache>
            </c:numRef>
          </c:val>
          <c:smooth val="0"/>
          <c:extLst>
            <c:ext xmlns:c16="http://schemas.microsoft.com/office/drawing/2014/chart" uri="{C3380CC4-5D6E-409C-BE32-E72D297353CC}">
              <c16:uniqueId val="{00000000-BFBF-430E-A060-A42239C41D9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CPI!$A$293:$A$935</c:f>
              <c:numCache>
                <c:formatCode>[$-409]mmm\-yy;@</c:formatCode>
                <c:ptCount val="64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CPI!$D$293:$D$935</c:f>
              <c:numCache>
                <c:formatCode>0.00%</c:formatCode>
                <c:ptCount val="643"/>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pt idx="622">
                  <c:v>7.1178785311140108E-2</c:v>
                </c:pt>
                <c:pt idx="623">
                  <c:v>6.4206821216167179E-2</c:v>
                </c:pt>
              </c:numCache>
            </c:numRef>
          </c:val>
          <c:smooth val="0"/>
          <c:extLst>
            <c:ext xmlns:c16="http://schemas.microsoft.com/office/drawing/2014/chart" uri="{C3380CC4-5D6E-409C-BE32-E72D297353CC}">
              <c16:uniqueId val="{00000000-1F41-4EDD-A877-5970A10F7190}"/>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CPI!$E$293:$E$917</c:f>
              <c:numCache>
                <c:formatCode>0.00</c:formatCode>
                <c:ptCount val="6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1F41-4EDD-A877-5970A10F7190}"/>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Food'!$D$17:$D$914</c:f>
              <c:numCache>
                <c:formatCode>0.00%</c:formatCode>
                <c:ptCount val="898"/>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pt idx="658">
                  <c:v>0.10341932583006658</c:v>
                </c:pt>
                <c:pt idx="659">
                  <c:v>0.10135725723555865</c:v>
                </c:pt>
              </c:numCache>
            </c:numRef>
          </c:val>
          <c:smooth val="0"/>
          <c:extLst>
            <c:ext xmlns:c16="http://schemas.microsoft.com/office/drawing/2014/chart" uri="{C3380CC4-5D6E-409C-BE32-E72D297353CC}">
              <c16:uniqueId val="{00000000-B799-4991-AA54-C528E06C5E4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Food'!$D$401:$D$914</c:f>
              <c:numCache>
                <c:formatCode>0.00%</c:formatCode>
                <c:ptCount val="514"/>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pt idx="274">
                  <c:v>0.10341932583006658</c:v>
                </c:pt>
                <c:pt idx="275">
                  <c:v>0.10135725723555865</c:v>
                </c:pt>
              </c:numCache>
            </c:numRef>
          </c:val>
          <c:smooth val="0"/>
          <c:extLst>
            <c:ext xmlns:c16="http://schemas.microsoft.com/office/drawing/2014/chart" uri="{C3380CC4-5D6E-409C-BE32-E72D297353CC}">
              <c16:uniqueId val="{00000000-4A05-4370-BDBB-DACD95E729C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Food'!$D$569:$D$914</c:f>
              <c:numCache>
                <c:formatCode>0.00%</c:formatCode>
                <c:ptCount val="346"/>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pt idx="106">
                  <c:v>0.10341932583006658</c:v>
                </c:pt>
                <c:pt idx="107">
                  <c:v>0.10135725723555865</c:v>
                </c:pt>
              </c:numCache>
            </c:numRef>
          </c:val>
          <c:smooth val="0"/>
          <c:extLst>
            <c:ext xmlns:c16="http://schemas.microsoft.com/office/drawing/2014/chart" uri="{C3380CC4-5D6E-409C-BE32-E72D297353CC}">
              <c16:uniqueId val="{00000000-2CE0-4185-9FC7-B7BFFAA6F86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Energy'!$D$17:$D$914</c:f>
              <c:numCache>
                <c:formatCode>0.00%</c:formatCode>
                <c:ptCount val="898"/>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pt idx="658">
                  <c:v>0.13020895133910276</c:v>
                </c:pt>
                <c:pt idx="659">
                  <c:v>7.0243935754857573E-2</c:v>
                </c:pt>
              </c:numCache>
            </c:numRef>
          </c:val>
          <c:smooth val="0"/>
          <c:extLst>
            <c:ext xmlns:c16="http://schemas.microsoft.com/office/drawing/2014/chart" uri="{C3380CC4-5D6E-409C-BE32-E72D297353CC}">
              <c16:uniqueId val="{00000000-AB98-4A59-8EBF-EBE07F7EAAF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Energy'!$D$401:$D$914</c:f>
              <c:numCache>
                <c:formatCode>0.00%</c:formatCode>
                <c:ptCount val="514"/>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pt idx="274">
                  <c:v>0.13020895133910276</c:v>
                </c:pt>
                <c:pt idx="275">
                  <c:v>7.0243935754857573E-2</c:v>
                </c:pt>
              </c:numCache>
            </c:numRef>
          </c:val>
          <c:smooth val="0"/>
          <c:extLst>
            <c:ext xmlns:c16="http://schemas.microsoft.com/office/drawing/2014/chart" uri="{C3380CC4-5D6E-409C-BE32-E72D297353CC}">
              <c16:uniqueId val="{00000000-A157-476A-BCB9-A82661AF748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Energy'!$D$569:$D$914</c:f>
              <c:numCache>
                <c:formatCode>0.00%</c:formatCode>
                <c:ptCount val="346"/>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pt idx="106">
                  <c:v>0.13020895133910276</c:v>
                </c:pt>
                <c:pt idx="107">
                  <c:v>7.0243935754857573E-2</c:v>
                </c:pt>
              </c:numCache>
            </c:numRef>
          </c:val>
          <c:smooth val="0"/>
          <c:extLst>
            <c:ext xmlns:c16="http://schemas.microsoft.com/office/drawing/2014/chart" uri="{C3380CC4-5D6E-409C-BE32-E72D297353CC}">
              <c16:uniqueId val="{00000000-D50C-45E3-BFF4-B429FBB1C74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CPI'!$D$53:$D$678</c:f>
              <c:numCache>
                <c:formatCode>0.00%</c:formatCode>
                <c:ptCount val="626"/>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pt idx="622">
                  <c:v>5.9633659275581882E-2</c:v>
                </c:pt>
                <c:pt idx="623">
                  <c:v>5.6902061312638301E-2</c:v>
                </c:pt>
              </c:numCache>
            </c:numRef>
          </c:val>
          <c:smooth val="0"/>
          <c:extLst>
            <c:ext xmlns:c16="http://schemas.microsoft.com/office/drawing/2014/chart" uri="{C3380CC4-5D6E-409C-BE32-E72D297353CC}">
              <c16:uniqueId val="{00000000-1576-423A-A969-F3871535ABA0}"/>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CPI'!$E$53:$E$678</c:f>
              <c:numCache>
                <c:formatCode>0.00</c:formatCode>
                <c:ptCount val="6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1576-423A-A969-F3871535ABA0}"/>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B701-4D87-9884-2BF75DD7291D}"/>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B701-4D87-9884-2BF75DD7291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'Core CPI'!$D$17:$D$914</c:f>
              <c:numCache>
                <c:formatCode>0.00%</c:formatCode>
                <c:ptCount val="898"/>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pt idx="658">
                  <c:v>5.9633659275581882E-2</c:v>
                </c:pt>
                <c:pt idx="659">
                  <c:v>5.6902061312638301E-2</c:v>
                </c:pt>
              </c:numCache>
            </c:numRef>
          </c:val>
          <c:smooth val="0"/>
          <c:extLst>
            <c:ext xmlns:c16="http://schemas.microsoft.com/office/drawing/2014/chart" uri="{C3380CC4-5D6E-409C-BE32-E72D297353CC}">
              <c16:uniqueId val="{00000000-BAC6-4382-839B-38F8049FC0B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'Core CPI'!$D$401:$D$914</c:f>
              <c:numCache>
                <c:formatCode>0.00%</c:formatCode>
                <c:ptCount val="514"/>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pt idx="274">
                  <c:v>5.9633659275581882E-2</c:v>
                </c:pt>
                <c:pt idx="275">
                  <c:v>5.6902061312638301E-2</c:v>
                </c:pt>
              </c:numCache>
            </c:numRef>
          </c:val>
          <c:smooth val="0"/>
          <c:extLst>
            <c:ext xmlns:c16="http://schemas.microsoft.com/office/drawing/2014/chart" uri="{C3380CC4-5D6E-409C-BE32-E72D297353CC}">
              <c16:uniqueId val="{00000000-96B8-4FE8-808C-2D9684B9FDA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AD92-4F50-9574-969C24460F5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5118-4D3E-9F40-9411D8A96725}"/>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extLst>
            <c:ext xmlns:c16="http://schemas.microsoft.com/office/drawing/2014/chart" uri="{C3380CC4-5D6E-409C-BE32-E72D297353CC}">
              <c16:uniqueId val="{00000000-E2DE-48A6-A544-9F982F75DE28}"/>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F343-43AD-94B9-E882F61FE71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CPI'!$A$449:$A$688</c:f>
              <c:numCache>
                <c:formatCode>[$-409]mmm\-yy;@</c:formatCode>
                <c:ptCount val="24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CPI'!$C$449:$C$688</c:f>
              <c:numCache>
                <c:formatCode>0.00%</c:formatCode>
                <c:ptCount val="24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8BF0-4157-B1BF-A38168B82C5E}"/>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179472</xdr:colOff>
      <xdr:row>903</xdr:row>
      <xdr:rowOff>1977</xdr:rowOff>
    </xdr:from>
    <xdr:to>
      <xdr:col>16</xdr:col>
      <xdr:colOff>578028</xdr:colOff>
      <xdr:row>922</xdr:row>
      <xdr:rowOff>69808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6" totalsRowShown="0" headerRowDxfId="37" dataDxfId="35" headerRowBorderDxfId="36">
  <autoFilter ref="A4:F916"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6" totalsRowShown="0" headerRowDxfId="28" dataDxfId="26" headerRowBorderDxfId="27" tableBorderDxfId="25">
  <autoFilter ref="A4:D676"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6" totalsRowShown="0" headerRowDxfId="20" dataDxfId="18" headerRowBorderDxfId="19" tableBorderDxfId="17">
  <autoFilter ref="A4:D676"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6" totalsRowShown="0" headerRowDxfId="12" dataDxfId="10" headerRowBorderDxfId="11">
  <autoFilter ref="A4:F676"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5" width="9.1796875" style="73" customWidth="1"/>
    <col min="36" max="16384" width="9.1796875" style="73"/>
  </cols>
  <sheetData>
    <row r="1" spans="2:19" x14ac:dyDescent="0.35">
      <c r="B1" s="81"/>
      <c r="C1" s="76"/>
      <c r="D1" s="76"/>
      <c r="E1" s="76"/>
      <c r="F1" s="76"/>
      <c r="G1" s="76"/>
      <c r="H1" s="76"/>
      <c r="I1" s="76"/>
      <c r="J1" s="76"/>
    </row>
    <row r="2" spans="2:19" ht="16" customHeight="1" thickBot="1" x14ac:dyDescent="0.4">
      <c r="B2" s="82"/>
      <c r="C2" s="82"/>
      <c r="D2" s="82"/>
      <c r="E2" s="82"/>
      <c r="F2" s="82"/>
      <c r="G2" s="82"/>
      <c r="H2" s="82"/>
      <c r="I2" s="82"/>
      <c r="J2" s="82"/>
    </row>
    <row r="3" spans="2:19" ht="16" customHeight="1" thickBot="1" x14ac:dyDescent="0.4">
      <c r="B3" s="83" t="s">
        <v>0</v>
      </c>
      <c r="C3" s="84"/>
      <c r="D3" s="84"/>
      <c r="E3" s="84"/>
      <c r="F3" s="84"/>
      <c r="G3" s="84"/>
      <c r="H3" s="84"/>
      <c r="I3" s="84"/>
      <c r="J3" s="85"/>
    </row>
    <row r="5" spans="2:19" x14ac:dyDescent="0.35">
      <c r="B5" s="78" t="s">
        <v>1</v>
      </c>
      <c r="C5" s="79"/>
      <c r="D5" s="79"/>
      <c r="E5" s="79"/>
      <c r="F5" s="79"/>
      <c r="G5" s="79"/>
      <c r="H5" s="79"/>
      <c r="I5" s="79"/>
      <c r="J5" s="80"/>
    </row>
    <row r="7" spans="2:19" ht="240.75" customHeight="1" x14ac:dyDescent="0.35">
      <c r="B7" s="86" t="s">
        <v>2</v>
      </c>
      <c r="C7" s="76"/>
      <c r="D7" s="76"/>
      <c r="E7" s="76"/>
      <c r="F7" s="76"/>
      <c r="G7" s="76"/>
      <c r="H7" s="76"/>
      <c r="I7" s="76"/>
      <c r="J7" s="76"/>
    </row>
    <row r="8" spans="2:19" ht="33.75" customHeight="1" x14ac:dyDescent="0.35">
      <c r="B8" s="87" t="s">
        <v>3</v>
      </c>
      <c r="C8" s="76"/>
      <c r="D8" s="76"/>
      <c r="E8" s="76"/>
      <c r="F8" s="76"/>
      <c r="G8" s="76"/>
      <c r="H8" s="76"/>
      <c r="I8" s="76"/>
      <c r="J8" s="76"/>
    </row>
    <row r="9" spans="2:19" x14ac:dyDescent="0.35">
      <c r="B9" s="40"/>
      <c r="C9" s="40"/>
      <c r="D9" s="40"/>
      <c r="E9" s="40"/>
    </row>
    <row r="10" spans="2:19" x14ac:dyDescent="0.35">
      <c r="B10" s="78" t="s">
        <v>4</v>
      </c>
      <c r="C10" s="79"/>
      <c r="D10" s="79"/>
      <c r="E10" s="79"/>
      <c r="F10" s="79"/>
      <c r="G10" s="79"/>
      <c r="H10" s="79"/>
      <c r="I10" s="79"/>
      <c r="J10" s="80"/>
      <c r="N10" s="78" t="s">
        <v>5</v>
      </c>
      <c r="O10" s="79"/>
      <c r="P10" s="79"/>
      <c r="Q10" s="79"/>
      <c r="R10" s="79"/>
      <c r="S10" s="80"/>
    </row>
    <row r="12" spans="2:19" x14ac:dyDescent="0.35">
      <c r="B12" s="78" t="s">
        <v>6</v>
      </c>
      <c r="C12" s="79"/>
      <c r="D12" s="79"/>
      <c r="E12" s="79"/>
      <c r="F12" s="80"/>
      <c r="G12" s="78" t="s">
        <v>7</v>
      </c>
      <c r="H12" s="79"/>
      <c r="I12" s="79"/>
      <c r="J12" s="80"/>
      <c r="N12" s="13" t="s">
        <v>8</v>
      </c>
    </row>
    <row r="13" spans="2:19" ht="16" customHeight="1" thickBot="1" x14ac:dyDescent="0.4"/>
    <row r="14" spans="2:19" x14ac:dyDescent="0.35">
      <c r="B14" s="73" t="s">
        <v>9</v>
      </c>
      <c r="G14" s="76"/>
      <c r="H14" s="76"/>
      <c r="I14" s="76"/>
      <c r="J14" s="76"/>
      <c r="P14" s="43">
        <v>44896</v>
      </c>
      <c r="Q14" s="44"/>
    </row>
    <row r="15" spans="2:19" ht="16" customHeight="1" thickBot="1" x14ac:dyDescent="0.4">
      <c r="B15" s="73" t="s">
        <v>10</v>
      </c>
      <c r="G15" s="76"/>
      <c r="H15" s="76"/>
      <c r="I15" s="76"/>
      <c r="J15" s="76"/>
      <c r="P15" s="45" t="s">
        <v>11</v>
      </c>
      <c r="Q15" s="45" t="s">
        <v>12</v>
      </c>
    </row>
    <row r="16" spans="2:19" ht="44.25" customHeight="1" x14ac:dyDescent="0.35">
      <c r="B16" s="3" t="s">
        <v>13</v>
      </c>
      <c r="G16" s="77" t="s">
        <v>14</v>
      </c>
      <c r="H16" s="76"/>
      <c r="I16" s="76"/>
      <c r="J16" s="76"/>
      <c r="N16" s="90" t="s">
        <v>15</v>
      </c>
      <c r="O16" s="91"/>
      <c r="P16" s="54">
        <f>(VLOOKUP($P$14,Database!A:D,MATCH(Note!S16,Database!A1:D1,),)-VLOOKUP($N$22,Database!A:D,MATCH(Note!S16,Database!A1:D1,),))/VLOOKUP($N$22,Database!A:D,MATCH(Note!S16,Database!A1:D1,),)</f>
        <v>-7.9437169221269839E-4</v>
      </c>
      <c r="Q16" s="55">
        <f>(VLOOKUP($P$14,Database!A:D,MATCH(Note!S16,Database!A1:D1,),)-VLOOKUP($N$23,Database!A:D,MATCH(Note!S16,Database!A1:D1,),))/VLOOKUP($N$23,Database!A:D,MATCH(Note!S16,Database!A1:D1,),)</f>
        <v>6.4206821216167179E-2</v>
      </c>
      <c r="S16" s="8" t="s">
        <v>13</v>
      </c>
    </row>
    <row r="17" spans="2:19" ht="44.25" customHeight="1" x14ac:dyDescent="0.35">
      <c r="B17" s="3" t="s">
        <v>16</v>
      </c>
      <c r="G17" s="77" t="s">
        <v>17</v>
      </c>
      <c r="H17" s="76"/>
      <c r="I17" s="76"/>
      <c r="J17" s="76"/>
      <c r="N17" s="92" t="s">
        <v>18</v>
      </c>
      <c r="O17" s="80"/>
      <c r="P17" s="56">
        <f>(VLOOKUP($P$14,Database!A:D,MATCH(Note!S17,Database!A1:D1,),)-VLOOKUP($N$22,Database!A:D,MATCH(Note!S17,Database!A1:D1,),))/VLOOKUP($N$22,Database!A:D,MATCH(Note!S17,Database!A1:D1,),)</f>
        <v>2.8365226969567477E-3</v>
      </c>
      <c r="Q17" s="57">
        <f>(VLOOKUP($P$14,Database!A:D,MATCH(Note!S17,Database!A1:D1,),)-VLOOKUP($N$23,Database!A:D,MATCH(Note!S17,Database!A1:D1,),))/VLOOKUP($N$23,Database!A:D,MATCH(Note!S17,Database!A1:D1,),)</f>
        <v>0.10135725723555865</v>
      </c>
      <c r="S17" s="8" t="s">
        <v>19</v>
      </c>
    </row>
    <row r="18" spans="2:19" ht="44.25" customHeight="1" x14ac:dyDescent="0.35">
      <c r="B18" s="3" t="s">
        <v>19</v>
      </c>
      <c r="G18" s="93" t="s">
        <v>20</v>
      </c>
      <c r="H18" s="76"/>
      <c r="I18" s="76"/>
      <c r="J18" s="76"/>
      <c r="N18" s="92" t="s">
        <v>21</v>
      </c>
      <c r="O18" s="80"/>
      <c r="P18" s="56">
        <f>(VLOOKUP($P$14,Database!A:D,MATCH(Note!S18,Database!A1:D1,),)-VLOOKUP($N$22,Database!A:D,MATCH(Note!S18,Database!A1:D1,),))/VLOOKUP($N$22,Database!A:D,MATCH(Note!S18,Database!A1:D1,),)</f>
        <v>-4.4734569469138952E-2</v>
      </c>
      <c r="Q18" s="57">
        <f>(VLOOKUP($P$14,Database!A:D,MATCH(Note!S18,Database!A1:D1,),)-VLOOKUP($N$23,Database!A:D,MATCH(Note!S18,Database!A1:D1,),))/VLOOKUP($N$23,Database!A:D,MATCH(Note!S18,Database!A1:D1,),)</f>
        <v>7.0243935754857573E-2</v>
      </c>
      <c r="S18" s="8" t="s">
        <v>16</v>
      </c>
    </row>
    <row r="19" spans="2:19" ht="44.25" customHeight="1" thickBot="1" x14ac:dyDescent="0.4">
      <c r="B19" s="3" t="s">
        <v>22</v>
      </c>
      <c r="G19" s="77" t="s">
        <v>23</v>
      </c>
      <c r="H19" s="76"/>
      <c r="I19" s="76"/>
      <c r="J19" s="76"/>
      <c r="N19" s="88" t="s">
        <v>24</v>
      </c>
      <c r="O19" s="89"/>
      <c r="P19" s="58">
        <f>(VLOOKUP($P$14,Database!A:E,MATCH(Note!S19,Database!A1:E1,),)-VLOOKUP($N$22,Database!A:E,MATCH(Note!S19,Database!A1:E1,),))/VLOOKUP($N$22,Database!A:E,MATCH(Note!S19,Database!A1:E1,),)</f>
        <v>3.0260009464584976E-3</v>
      </c>
      <c r="Q19" s="59">
        <f>(VLOOKUP($P$14,Database!A:E,MATCH(Note!S19,Database!A1:E1,),)-VLOOKUP($N$23,Database!A:E,MATCH(Note!S19,Database!A1:E1,),))/VLOOKUP($N$23,Database!A:E,MATCH(Note!S19,Database!A1:E1,),)</f>
        <v>5.6902061312638301E-2</v>
      </c>
      <c r="S19" s="8" t="s">
        <v>22</v>
      </c>
    </row>
    <row r="21" spans="2:19" ht="16" customHeight="1" thickBot="1" x14ac:dyDescent="0.4">
      <c r="B21" s="41"/>
    </row>
    <row r="22" spans="2:19" ht="30" customHeight="1" thickBot="1" x14ac:dyDescent="0.4">
      <c r="B22" s="75"/>
      <c r="C22" s="76"/>
      <c r="D22" s="76"/>
      <c r="E22" s="76"/>
      <c r="F22" s="76"/>
      <c r="G22" s="76"/>
      <c r="H22" s="76"/>
      <c r="I22" s="76"/>
      <c r="J22" s="76"/>
      <c r="N22" s="44">
        <f>DATE(YEAR($P$14),MONTH($P$14)-1,DAY($P$14))</f>
        <v>44866</v>
      </c>
    </row>
    <row r="23" spans="2:19" ht="16" customHeight="1" thickBot="1" x14ac:dyDescent="0.4">
      <c r="B23" s="42"/>
      <c r="N23" s="46">
        <f>DATE(YEAR($P$14)-1,MONTH($P$14),DAY($P$14))</f>
        <v>44531</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3"/>
  <sheetViews>
    <sheetView zoomScale="110" zoomScaleNormal="110" workbookViewId="0">
      <pane ySplit="1" topLeftCell="A892"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248.74299999999999</v>
      </c>
      <c r="C854">
        <v>216.87200000000001</v>
      </c>
      <c r="D854">
        <v>251.999</v>
      </c>
      <c r="E854">
        <v>255.072</v>
      </c>
    </row>
    <row r="855" spans="1:5" x14ac:dyDescent="0.35">
      <c r="A855" s="74">
        <v>43132</v>
      </c>
      <c r="B855">
        <v>249.43899999999999</v>
      </c>
      <c r="C855">
        <v>220.381</v>
      </c>
      <c r="D855">
        <v>252.029</v>
      </c>
      <c r="E855">
        <v>255.56800000000001</v>
      </c>
    </row>
    <row r="856" spans="1:5" x14ac:dyDescent="0.35">
      <c r="A856" s="74">
        <v>43160</v>
      </c>
      <c r="B856">
        <v>249.58099999999999</v>
      </c>
      <c r="C856">
        <v>216.92500000000001</v>
      </c>
      <c r="D856">
        <v>252.19800000000001</v>
      </c>
      <c r="E856">
        <v>256.12799999999999</v>
      </c>
    </row>
    <row r="857" spans="1:5" x14ac:dyDescent="0.35">
      <c r="A857" s="74">
        <v>43191</v>
      </c>
      <c r="B857">
        <v>250.14599999999999</v>
      </c>
      <c r="C857">
        <v>218.268</v>
      </c>
      <c r="D857">
        <v>252.80199999999999</v>
      </c>
      <c r="E857">
        <v>256.60300000000001</v>
      </c>
    </row>
    <row r="858" spans="1:5" x14ac:dyDescent="0.35">
      <c r="A858" s="74">
        <v>43221</v>
      </c>
      <c r="B858">
        <v>250.779</v>
      </c>
      <c r="C858">
        <v>220.63200000000001</v>
      </c>
      <c r="D858">
        <v>252.77600000000001</v>
      </c>
      <c r="E858">
        <v>257.15100000000001</v>
      </c>
    </row>
    <row r="859" spans="1:5" x14ac:dyDescent="0.35">
      <c r="A859" s="74">
        <v>43252</v>
      </c>
      <c r="B859">
        <v>251.11799999999999</v>
      </c>
      <c r="C859">
        <v>221.47300000000001</v>
      </c>
      <c r="D859">
        <v>253.078</v>
      </c>
      <c r="E859">
        <v>257.44900000000001</v>
      </c>
    </row>
    <row r="860" spans="1:5" x14ac:dyDescent="0.35">
      <c r="A860" s="74">
        <v>43282</v>
      </c>
      <c r="B860">
        <v>251.32300000000001</v>
      </c>
      <c r="C860">
        <v>219.75800000000001</v>
      </c>
      <c r="D860">
        <v>253.44399999999999</v>
      </c>
      <c r="E860">
        <v>257.84800000000001</v>
      </c>
    </row>
    <row r="861" spans="1:5" x14ac:dyDescent="0.35">
      <c r="A861" s="74">
        <v>43313</v>
      </c>
      <c r="B861">
        <v>251.749</v>
      </c>
      <c r="C861">
        <v>222.435</v>
      </c>
      <c r="D861">
        <v>253.76</v>
      </c>
      <c r="E861">
        <v>258.02800000000002</v>
      </c>
    </row>
    <row r="862" spans="1:5" x14ac:dyDescent="0.35">
      <c r="A862" s="74">
        <v>43344</v>
      </c>
      <c r="B862">
        <v>252.239</v>
      </c>
      <c r="C862">
        <v>223.44399999999999</v>
      </c>
      <c r="D862">
        <v>254.084</v>
      </c>
      <c r="E862">
        <v>258.505</v>
      </c>
    </row>
    <row r="863" spans="1:5" x14ac:dyDescent="0.35">
      <c r="A863" s="74">
        <v>43374</v>
      </c>
      <c r="B863">
        <v>252.86199999999999</v>
      </c>
      <c r="C863">
        <v>226.46199999999999</v>
      </c>
      <c r="D863">
        <v>253.92400000000001</v>
      </c>
      <c r="E863">
        <v>258.99700000000001</v>
      </c>
    </row>
    <row r="864" spans="1:5" x14ac:dyDescent="0.35">
      <c r="A864" s="74">
        <v>43405</v>
      </c>
      <c r="B864">
        <v>252.65700000000001</v>
      </c>
      <c r="C864">
        <v>219.267</v>
      </c>
      <c r="D864">
        <v>254.60599999999999</v>
      </c>
      <c r="E864">
        <v>259.45499999999998</v>
      </c>
    </row>
    <row r="865" spans="1:5" x14ac:dyDescent="0.35">
      <c r="A865" s="74">
        <v>43435</v>
      </c>
      <c r="B865">
        <v>252.55099999999999</v>
      </c>
      <c r="C865">
        <v>212.63300000000001</v>
      </c>
      <c r="D865">
        <v>255.47499999999999</v>
      </c>
      <c r="E865">
        <v>259.93400000000003</v>
      </c>
    </row>
    <row r="866" spans="1:5" x14ac:dyDescent="0.35">
      <c r="A866" s="74">
        <v>43466</v>
      </c>
      <c r="B866">
        <v>252.47</v>
      </c>
      <c r="C866">
        <v>205.54</v>
      </c>
      <c r="D866">
        <v>256.14600000000002</v>
      </c>
      <c r="E866">
        <v>260.53399999999999</v>
      </c>
    </row>
    <row r="867" spans="1:5" x14ac:dyDescent="0.35">
      <c r="A867" s="74">
        <v>43497</v>
      </c>
      <c r="B867">
        <v>253.13499999999999</v>
      </c>
      <c r="C867">
        <v>208.69900000000001</v>
      </c>
      <c r="D867">
        <v>256.97800000000001</v>
      </c>
      <c r="E867">
        <v>260.88499999999999</v>
      </c>
    </row>
    <row r="868" spans="1:5" x14ac:dyDescent="0.35">
      <c r="A868" s="74">
        <v>43525</v>
      </c>
      <c r="B868">
        <v>254.273</v>
      </c>
      <c r="C868">
        <v>216.376</v>
      </c>
      <c r="D868">
        <v>257.435</v>
      </c>
      <c r="E868">
        <v>261.38200000000001</v>
      </c>
    </row>
    <row r="869" spans="1:5" x14ac:dyDescent="0.35">
      <c r="A869" s="74">
        <v>43556</v>
      </c>
      <c r="B869">
        <v>255.16300000000001</v>
      </c>
      <c r="C869">
        <v>221.75800000000001</v>
      </c>
      <c r="D869">
        <v>257.161</v>
      </c>
      <c r="E869">
        <v>261.95800000000003</v>
      </c>
    </row>
    <row r="870" spans="1:5" x14ac:dyDescent="0.35">
      <c r="A870" s="74">
        <v>43586</v>
      </c>
      <c r="B870">
        <v>255.32499999999999</v>
      </c>
      <c r="C870">
        <v>219.68</v>
      </c>
      <c r="D870">
        <v>257.70100000000002</v>
      </c>
      <c r="E870">
        <v>262.32100000000003</v>
      </c>
    </row>
    <row r="871" spans="1:5" x14ac:dyDescent="0.35">
      <c r="A871" s="74">
        <v>43617</v>
      </c>
      <c r="B871">
        <v>255.36099999999999</v>
      </c>
      <c r="C871">
        <v>214.666</v>
      </c>
      <c r="D871">
        <v>257.76600000000002</v>
      </c>
      <c r="E871">
        <v>262.94499999999999</v>
      </c>
    </row>
    <row r="872" spans="1:5" x14ac:dyDescent="0.35">
      <c r="A872" s="74">
        <v>43647</v>
      </c>
      <c r="B872">
        <v>255.9</v>
      </c>
      <c r="C872">
        <v>215.85</v>
      </c>
      <c r="D872">
        <v>257.928</v>
      </c>
      <c r="E872">
        <v>263.49099999999999</v>
      </c>
    </row>
    <row r="873" spans="1:5" x14ac:dyDescent="0.35">
      <c r="A873" s="74">
        <v>43678</v>
      </c>
      <c r="B873">
        <v>256.17899999999997</v>
      </c>
      <c r="C873">
        <v>213.16900000000001</v>
      </c>
      <c r="D873">
        <v>258.09800000000001</v>
      </c>
      <c r="E873">
        <v>264.13499999999999</v>
      </c>
    </row>
    <row r="874" spans="1:5" x14ac:dyDescent="0.35">
      <c r="A874" s="74">
        <v>43709</v>
      </c>
      <c r="B874">
        <v>256.596</v>
      </c>
      <c r="C874">
        <v>213.12200000000001</v>
      </c>
      <c r="D874">
        <v>258.58999999999997</v>
      </c>
      <c r="E874">
        <v>264.58800000000002</v>
      </c>
    </row>
    <row r="875" spans="1:5" x14ac:dyDescent="0.35">
      <c r="A875" s="74">
        <v>43739</v>
      </c>
      <c r="B875">
        <v>257.30500000000001</v>
      </c>
      <c r="C875">
        <v>216.62</v>
      </c>
      <c r="D875">
        <v>259.02499999999998</v>
      </c>
      <c r="E875">
        <v>265.01900000000001</v>
      </c>
    </row>
    <row r="876" spans="1:5" x14ac:dyDescent="0.35">
      <c r="A876" s="74">
        <v>43770</v>
      </c>
      <c r="B876">
        <v>257.78800000000001</v>
      </c>
      <c r="C876">
        <v>217.435</v>
      </c>
      <c r="D876">
        <v>259.48500000000001</v>
      </c>
      <c r="E876">
        <v>265.46100000000001</v>
      </c>
    </row>
    <row r="877" spans="1:5" x14ac:dyDescent="0.35">
      <c r="A877" s="74">
        <v>43800</v>
      </c>
      <c r="B877">
        <v>258.26299999999998</v>
      </c>
      <c r="C877">
        <v>219.786</v>
      </c>
      <c r="D877">
        <v>259.84500000000003</v>
      </c>
      <c r="E877">
        <v>265.74200000000002</v>
      </c>
    </row>
    <row r="878" spans="1:5" x14ac:dyDescent="0.35">
      <c r="A878" s="74">
        <v>43831</v>
      </c>
      <c r="B878">
        <v>258.68200000000002</v>
      </c>
      <c r="C878">
        <v>217.803</v>
      </c>
      <c r="D878">
        <v>260.67099999999999</v>
      </c>
      <c r="E878">
        <v>266.41800000000001</v>
      </c>
    </row>
    <row r="879" spans="1:5" x14ac:dyDescent="0.35">
      <c r="A879" s="74">
        <v>43862</v>
      </c>
      <c r="B879">
        <v>259.00700000000001</v>
      </c>
      <c r="C879">
        <v>214.119</v>
      </c>
      <c r="D879">
        <v>261.49200000000002</v>
      </c>
      <c r="E879">
        <v>267.08300000000003</v>
      </c>
    </row>
    <row r="880" spans="1:5" x14ac:dyDescent="0.35">
      <c r="A880" s="74">
        <v>43891</v>
      </c>
      <c r="B880">
        <v>258.16500000000002</v>
      </c>
      <c r="C880">
        <v>203.91200000000001</v>
      </c>
      <c r="D880">
        <v>262.32299999999998</v>
      </c>
      <c r="E880">
        <v>266.916</v>
      </c>
    </row>
    <row r="881" spans="1:5" x14ac:dyDescent="0.35">
      <c r="A881" s="74">
        <v>43922</v>
      </c>
      <c r="B881">
        <v>256.09399999999999</v>
      </c>
      <c r="C881">
        <v>182.88900000000001</v>
      </c>
      <c r="D881">
        <v>265.88200000000001</v>
      </c>
      <c r="E881">
        <v>265.77100000000002</v>
      </c>
    </row>
    <row r="882" spans="1:5" x14ac:dyDescent="0.35">
      <c r="A882" s="74">
        <v>43952</v>
      </c>
      <c r="B882">
        <v>255.94399999999999</v>
      </c>
      <c r="C882">
        <v>179.542</v>
      </c>
      <c r="D882">
        <v>267.69299999999998</v>
      </c>
      <c r="E882">
        <v>265.60599999999999</v>
      </c>
    </row>
    <row r="883" spans="1:5" x14ac:dyDescent="0.35">
      <c r="A883" s="74">
        <v>43983</v>
      </c>
      <c r="B883">
        <v>257.21699999999998</v>
      </c>
      <c r="C883">
        <v>188.43700000000001</v>
      </c>
      <c r="D883">
        <v>268.95</v>
      </c>
      <c r="E883">
        <v>266.08800000000002</v>
      </c>
    </row>
    <row r="884" spans="1:5" x14ac:dyDescent="0.35">
      <c r="A884" s="74">
        <v>44013</v>
      </c>
      <c r="B884">
        <v>258.54300000000001</v>
      </c>
      <c r="C884">
        <v>192.55600000000001</v>
      </c>
      <c r="D884">
        <v>267.97699999999998</v>
      </c>
      <c r="E884">
        <v>267.55200000000002</v>
      </c>
    </row>
    <row r="885" spans="1:5" x14ac:dyDescent="0.35">
      <c r="A885" s="74">
        <v>44044</v>
      </c>
      <c r="B885">
        <v>259.58</v>
      </c>
      <c r="C885">
        <v>194.285</v>
      </c>
      <c r="D885">
        <v>268.28899999999999</v>
      </c>
      <c r="E885">
        <v>268.66199999999998</v>
      </c>
    </row>
    <row r="886" spans="1:5" x14ac:dyDescent="0.35">
      <c r="A886" s="74">
        <v>44075</v>
      </c>
      <c r="B886">
        <v>260.19</v>
      </c>
      <c r="C886">
        <v>196.875</v>
      </c>
      <c r="D886">
        <v>268.428</v>
      </c>
      <c r="E886">
        <v>269.15199999999999</v>
      </c>
    </row>
    <row r="887" spans="1:5" x14ac:dyDescent="0.35">
      <c r="A887" s="74">
        <v>44105</v>
      </c>
      <c r="B887">
        <v>260.35199999999998</v>
      </c>
      <c r="C887">
        <v>196.435</v>
      </c>
      <c r="D887">
        <v>268.904</v>
      </c>
      <c r="E887">
        <v>269.33199999999999</v>
      </c>
    </row>
    <row r="888" spans="1:5" x14ac:dyDescent="0.35">
      <c r="A888" s="74">
        <v>44136</v>
      </c>
      <c r="B888">
        <v>260.721</v>
      </c>
      <c r="C888">
        <v>196.35900000000001</v>
      </c>
      <c r="D888">
        <v>268.99900000000002</v>
      </c>
      <c r="E888">
        <v>269.81599999999997</v>
      </c>
    </row>
    <row r="889" spans="1:5" x14ac:dyDescent="0.35">
      <c r="A889" s="74">
        <v>44166</v>
      </c>
      <c r="B889">
        <v>261.56400000000002</v>
      </c>
      <c r="C889">
        <v>203.649</v>
      </c>
      <c r="D889">
        <v>269.82</v>
      </c>
      <c r="E889">
        <v>269.98399999999998</v>
      </c>
    </row>
    <row r="890" spans="1:5" x14ac:dyDescent="0.35">
      <c r="A890" s="74">
        <v>44197</v>
      </c>
      <c r="B890">
        <v>262.2</v>
      </c>
      <c r="C890">
        <v>209.328</v>
      </c>
      <c r="D890">
        <v>270.34699999999998</v>
      </c>
      <c r="E890">
        <v>270.11399999999998</v>
      </c>
    </row>
    <row r="891" spans="1:5" x14ac:dyDescent="0.35">
      <c r="A891" s="74">
        <v>44228</v>
      </c>
      <c r="B891">
        <v>263.346</v>
      </c>
      <c r="C891">
        <v>218.94399999999999</v>
      </c>
      <c r="D891">
        <v>270.70499999999998</v>
      </c>
      <c r="E891">
        <v>270.52199999999999</v>
      </c>
    </row>
    <row r="892" spans="1:5" x14ac:dyDescent="0.35">
      <c r="A892" s="74">
        <v>44256</v>
      </c>
      <c r="B892">
        <v>265.02800000000002</v>
      </c>
      <c r="C892">
        <v>231.12700000000001</v>
      </c>
      <c r="D892">
        <v>271.16000000000003</v>
      </c>
      <c r="E892">
        <v>271.34699999999998</v>
      </c>
    </row>
    <row r="893" spans="1:5" x14ac:dyDescent="0.35">
      <c r="A893" s="74">
        <v>44287</v>
      </c>
      <c r="B893">
        <v>266.72699999999998</v>
      </c>
      <c r="C893">
        <v>228.374</v>
      </c>
      <c r="D893">
        <v>272.101</v>
      </c>
      <c r="E893">
        <v>273.66899999999998</v>
      </c>
    </row>
    <row r="894" spans="1:5" x14ac:dyDescent="0.35">
      <c r="A894" s="74">
        <v>44317</v>
      </c>
      <c r="B894">
        <v>268.59899999999999</v>
      </c>
      <c r="C894">
        <v>229.874</v>
      </c>
      <c r="D894">
        <v>273.33800000000002</v>
      </c>
      <c r="E894">
        <v>275.71499999999997</v>
      </c>
    </row>
    <row r="895" spans="1:5" x14ac:dyDescent="0.35">
      <c r="A895" s="74">
        <v>44348</v>
      </c>
      <c r="B895">
        <v>270.95499999999998</v>
      </c>
      <c r="C895">
        <v>234.625</v>
      </c>
      <c r="D895">
        <v>275.25099999999998</v>
      </c>
      <c r="E895">
        <v>277.92200000000003</v>
      </c>
    </row>
    <row r="896" spans="1:5" x14ac:dyDescent="0.35">
      <c r="A896" s="74">
        <v>44378</v>
      </c>
      <c r="B896">
        <v>272.18400000000003</v>
      </c>
      <c r="C896">
        <v>238.447</v>
      </c>
      <c r="D896">
        <v>276.99200000000002</v>
      </c>
      <c r="E896">
        <v>278.79399999999998</v>
      </c>
    </row>
    <row r="897" spans="1:5" x14ac:dyDescent="0.35">
      <c r="A897" s="74">
        <v>44409</v>
      </c>
      <c r="B897">
        <v>273.09199999999998</v>
      </c>
      <c r="C897">
        <v>242.958</v>
      </c>
      <c r="D897">
        <v>278.06200000000001</v>
      </c>
      <c r="E897">
        <v>279.30599999999998</v>
      </c>
    </row>
    <row r="898" spans="1:5" x14ac:dyDescent="0.35">
      <c r="A898" s="74">
        <v>44440</v>
      </c>
      <c r="B898">
        <v>274.214</v>
      </c>
      <c r="C898">
        <v>245.84700000000001</v>
      </c>
      <c r="D898">
        <v>280.41300000000001</v>
      </c>
      <c r="E898">
        <v>280.017</v>
      </c>
    </row>
    <row r="899" spans="1:5" x14ac:dyDescent="0.35">
      <c r="A899" s="74">
        <v>44470</v>
      </c>
      <c r="B899">
        <v>276.58999999999997</v>
      </c>
      <c r="C899">
        <v>255.01</v>
      </c>
      <c r="D899">
        <v>282.661</v>
      </c>
      <c r="E899">
        <v>281.70499999999998</v>
      </c>
    </row>
    <row r="900" spans="1:5" x14ac:dyDescent="0.35">
      <c r="A900" s="74">
        <v>44501</v>
      </c>
      <c r="B900">
        <v>278.524</v>
      </c>
      <c r="C900">
        <v>261.25700000000001</v>
      </c>
      <c r="D900">
        <v>284.67599999999999</v>
      </c>
      <c r="E900">
        <v>283.17899999999997</v>
      </c>
    </row>
    <row r="901" spans="1:5" x14ac:dyDescent="0.35">
      <c r="A901" s="74">
        <v>44531</v>
      </c>
      <c r="B901">
        <v>280.12599999999998</v>
      </c>
      <c r="C901">
        <v>263.553</v>
      </c>
      <c r="D901">
        <v>286.01799999999997</v>
      </c>
      <c r="E901">
        <v>284.77</v>
      </c>
    </row>
    <row r="902" spans="1:5" x14ac:dyDescent="0.35">
      <c r="A902" s="74">
        <v>44562</v>
      </c>
      <c r="B902">
        <v>281.93299999999999</v>
      </c>
      <c r="C902">
        <v>265.92899999999997</v>
      </c>
      <c r="D902">
        <v>288.43599999999998</v>
      </c>
      <c r="E902">
        <v>286.43099999999998</v>
      </c>
    </row>
    <row r="903" spans="1:5" x14ac:dyDescent="0.35">
      <c r="A903" s="74">
        <v>44593</v>
      </c>
      <c r="B903">
        <v>284.18200000000002</v>
      </c>
      <c r="C903">
        <v>275.17</v>
      </c>
      <c r="D903">
        <v>291.32499999999999</v>
      </c>
      <c r="E903">
        <v>287.87799999999999</v>
      </c>
    </row>
    <row r="904" spans="1:5" x14ac:dyDescent="0.35">
      <c r="A904" s="74">
        <v>44621</v>
      </c>
      <c r="B904">
        <v>287.70800000000003</v>
      </c>
      <c r="C904">
        <v>305.46899999999999</v>
      </c>
      <c r="D904">
        <v>294.11900000000003</v>
      </c>
      <c r="E904">
        <v>288.81099999999998</v>
      </c>
    </row>
    <row r="905" spans="1:5" x14ac:dyDescent="0.35">
      <c r="A905" s="74">
        <v>44652</v>
      </c>
      <c r="B905">
        <v>288.66300000000001</v>
      </c>
      <c r="C905">
        <v>297.233</v>
      </c>
      <c r="D905">
        <v>296.58499999999998</v>
      </c>
      <c r="E905">
        <v>290.45499999999998</v>
      </c>
    </row>
    <row r="906" spans="1:5" x14ac:dyDescent="0.35">
      <c r="A906" s="74">
        <v>44682</v>
      </c>
      <c r="B906">
        <v>291.47399999999999</v>
      </c>
      <c r="C906">
        <v>308.839</v>
      </c>
      <c r="D906">
        <v>299.94099999999997</v>
      </c>
      <c r="E906">
        <v>292.28899999999999</v>
      </c>
    </row>
    <row r="907" spans="1:5" x14ac:dyDescent="0.35">
      <c r="A907" s="74">
        <v>44713</v>
      </c>
      <c r="B907">
        <v>295.32799999999997</v>
      </c>
      <c r="C907">
        <v>332.08699999999999</v>
      </c>
      <c r="D907">
        <v>302.80500000000001</v>
      </c>
      <c r="E907">
        <v>294.35399999999998</v>
      </c>
    </row>
    <row r="908" spans="1:5" x14ac:dyDescent="0.35">
      <c r="A908" s="74">
        <v>44743</v>
      </c>
      <c r="B908">
        <v>295.27100000000002</v>
      </c>
      <c r="C908">
        <v>316.95499999999998</v>
      </c>
      <c r="D908">
        <v>306.02300000000002</v>
      </c>
      <c r="E908">
        <v>295.27499999999998</v>
      </c>
    </row>
    <row r="909" spans="1:5" x14ac:dyDescent="0.35">
      <c r="A909" s="74">
        <v>44774</v>
      </c>
      <c r="B909">
        <v>295.62</v>
      </c>
      <c r="C909">
        <v>301.04500000000002</v>
      </c>
      <c r="D909">
        <v>308.36900000000003</v>
      </c>
      <c r="E909">
        <v>296.95</v>
      </c>
    </row>
    <row r="910" spans="1:5" x14ac:dyDescent="0.35">
      <c r="A910" s="74">
        <v>44805</v>
      </c>
      <c r="B910">
        <v>296.76100000000002</v>
      </c>
      <c r="C910">
        <v>294.70499999999998</v>
      </c>
      <c r="D910">
        <v>310.63499999999999</v>
      </c>
      <c r="E910">
        <v>298.66000000000003</v>
      </c>
    </row>
    <row r="911" spans="1:5" x14ac:dyDescent="0.35">
      <c r="A911" s="74">
        <v>44835</v>
      </c>
      <c r="B911">
        <v>298.06200000000001</v>
      </c>
      <c r="C911">
        <v>300.01299999999998</v>
      </c>
      <c r="D911">
        <v>312.53300000000002</v>
      </c>
      <c r="E911">
        <v>299.471</v>
      </c>
    </row>
    <row r="912" spans="1:5" x14ac:dyDescent="0.35">
      <c r="A912" s="74">
        <v>44866</v>
      </c>
      <c r="B912">
        <v>298.34899999999999</v>
      </c>
      <c r="C912">
        <v>295.27499999999998</v>
      </c>
      <c r="D912">
        <v>314.11700000000002</v>
      </c>
      <c r="E912">
        <v>300.06599999999997</v>
      </c>
    </row>
    <row r="913" spans="1:5" x14ac:dyDescent="0.35">
      <c r="A913" s="74">
        <v>44896</v>
      </c>
      <c r="B913">
        <v>298.11200000000002</v>
      </c>
      <c r="C913">
        <v>282.06599999999997</v>
      </c>
      <c r="D913">
        <v>315.00799999999998</v>
      </c>
      <c r="E91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3"/>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2" width="9.1796875" style="73" customWidth="1"/>
    <col min="23"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3"/>
  <sheetViews>
    <sheetView zoomScale="90" zoomScaleNormal="90" workbookViewId="0">
      <pane ySplit="4" topLeftCell="A874" activePane="bottomLeft" state="frozen"/>
      <selection pane="bottomLeft" activeCell="A911" sqref="A911:F916"/>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35">
      <c r="A858" s="60">
        <v>43132</v>
      </c>
      <c r="B858" s="67">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35">
      <c r="A859" s="60">
        <v>43160</v>
      </c>
      <c r="B859" s="67">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35">
      <c r="A860" s="60">
        <v>43191</v>
      </c>
      <c r="B860" s="67">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35">
      <c r="A861" s="60">
        <v>43221</v>
      </c>
      <c r="B861" s="67">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35">
      <c r="A862" s="60">
        <v>43252</v>
      </c>
      <c r="B862" s="67">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35">
      <c r="A863" s="60">
        <v>43282</v>
      </c>
      <c r="B863" s="67">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35">
      <c r="A864" s="60">
        <v>43313</v>
      </c>
      <c r="B864" s="67">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35">
      <c r="A865" s="60">
        <v>43344</v>
      </c>
      <c r="B865" s="67">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35">
      <c r="A866" s="60">
        <v>43374</v>
      </c>
      <c r="B866" s="67">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35">
      <c r="A867" s="60">
        <v>43405</v>
      </c>
      <c r="B867" s="67">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35">
      <c r="A868" s="60">
        <v>43435</v>
      </c>
      <c r="B868" s="67">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35">
      <c r="A869" s="60">
        <v>43466</v>
      </c>
      <c r="B869" s="67">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35">
      <c r="A870" s="60">
        <v>43497</v>
      </c>
      <c r="B870" s="67">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35">
      <c r="A871" s="60">
        <v>43525</v>
      </c>
      <c r="B871" s="67">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35">
      <c r="A872" s="60">
        <v>43556</v>
      </c>
      <c r="B872" s="67">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35">
      <c r="A873" s="60">
        <v>43586</v>
      </c>
      <c r="B873" s="67">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3" customFormat="1" x14ac:dyDescent="0.35">
      <c r="A874" s="60">
        <v>43617</v>
      </c>
      <c r="B874" s="67">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3" customFormat="1" x14ac:dyDescent="0.35">
      <c r="A875" s="60">
        <v>43647</v>
      </c>
      <c r="B875" s="67">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3" customFormat="1" x14ac:dyDescent="0.35">
      <c r="A876" s="60">
        <v>43678</v>
      </c>
      <c r="B876" s="67">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3" customFormat="1" x14ac:dyDescent="0.35">
      <c r="A877" s="60">
        <v>43709</v>
      </c>
      <c r="B877" s="67">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3" customFormat="1" x14ac:dyDescent="0.35">
      <c r="A878" s="60">
        <v>43739</v>
      </c>
      <c r="B878" s="67">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3" customFormat="1" x14ac:dyDescent="0.35">
      <c r="A879" s="60">
        <v>43770</v>
      </c>
      <c r="B879" s="67">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3" customFormat="1" x14ac:dyDescent="0.35">
      <c r="A880" s="60">
        <v>43800</v>
      </c>
      <c r="B880" s="67">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3" customFormat="1" x14ac:dyDescent="0.35">
      <c r="A881" s="60">
        <v>43831</v>
      </c>
      <c r="B881" s="67">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3" customFormat="1" x14ac:dyDescent="0.35">
      <c r="A882" s="60">
        <v>43862</v>
      </c>
      <c r="B882" s="67">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3" customFormat="1" x14ac:dyDescent="0.35">
      <c r="A883" s="60">
        <v>43891</v>
      </c>
      <c r="B883" s="67">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3" customFormat="1" x14ac:dyDescent="0.35">
      <c r="A884" s="60">
        <v>43922</v>
      </c>
      <c r="B884" s="67">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3" customFormat="1" x14ac:dyDescent="0.35">
      <c r="A885" s="60">
        <v>43952</v>
      </c>
      <c r="B885" s="67">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3" customFormat="1" x14ac:dyDescent="0.35">
      <c r="A886" s="60">
        <v>43983</v>
      </c>
      <c r="B886" s="67">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3" customFormat="1" x14ac:dyDescent="0.35">
      <c r="A887" s="60">
        <v>44013</v>
      </c>
      <c r="B887" s="67">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3" customFormat="1" x14ac:dyDescent="0.35">
      <c r="A888" s="60">
        <v>44044</v>
      </c>
      <c r="B888" s="67">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3" customFormat="1" x14ac:dyDescent="0.35">
      <c r="A889" s="60">
        <v>44075</v>
      </c>
      <c r="B889" s="67">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3" customFormat="1" x14ac:dyDescent="0.35">
      <c r="A890" s="60">
        <v>44105</v>
      </c>
      <c r="B890" s="67">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3" customFormat="1" x14ac:dyDescent="0.35">
      <c r="A891" s="60">
        <v>44136</v>
      </c>
      <c r="B891" s="67">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3" customFormat="1" x14ac:dyDescent="0.35">
      <c r="A892" s="60">
        <v>44166</v>
      </c>
      <c r="B892" s="67">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3" customFormat="1" x14ac:dyDescent="0.35">
      <c r="A893" s="60">
        <v>44197</v>
      </c>
      <c r="B893" s="67">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3" customFormat="1" x14ac:dyDescent="0.35">
      <c r="A894" s="60">
        <v>44228</v>
      </c>
      <c r="B894" s="67">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3" customFormat="1" x14ac:dyDescent="0.35">
      <c r="A895" s="60">
        <v>44256</v>
      </c>
      <c r="B895" s="67">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3" customFormat="1" x14ac:dyDescent="0.35">
      <c r="A898" s="60">
        <v>44348</v>
      </c>
      <c r="B898" s="67">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3" customFormat="1" x14ac:dyDescent="0.35">
      <c r="A899" s="60">
        <v>44378</v>
      </c>
      <c r="B899" s="67">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3" customFormat="1" x14ac:dyDescent="0.35">
      <c r="A900" s="60">
        <v>44409</v>
      </c>
      <c r="B900" s="67">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3" customFormat="1" x14ac:dyDescent="0.35">
      <c r="A901" s="60">
        <v>44440</v>
      </c>
      <c r="B901" s="67">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3" customFormat="1" x14ac:dyDescent="0.35">
      <c r="A902" s="60">
        <v>44470</v>
      </c>
      <c r="B902" s="67">
        <f>VLOOKUP(Table2[[#This Row],[Date]],Database!A:E,2,)</f>
        <v>276.58999999999997</v>
      </c>
      <c r="C902" s="14">
        <f t="shared" ref="C902:C916" si="28">(B902-B901)/B901</f>
        <v>8.6647654751397674E-3</v>
      </c>
      <c r="D902" s="14">
        <f t="shared" si="27"/>
        <v>6.2369407571288109E-2</v>
      </c>
      <c r="E902" s="15">
        <f>VLOOKUP(Table2[[#This Row],[Date]],'Fed Fund New'!$A:$C,2,FALSE)</f>
        <v>0.25</v>
      </c>
      <c r="F902" s="15">
        <f>VLOOKUP(Table2[[#This Row],[Date]],'Fed Fund New'!$A:$C,3,FALSE)</f>
        <v>0.08</v>
      </c>
    </row>
    <row r="903" spans="1:6" s="73" customFormat="1" x14ac:dyDescent="0.35">
      <c r="A903" s="60">
        <v>44501</v>
      </c>
      <c r="B903" s="67">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3" customFormat="1" x14ac:dyDescent="0.35">
      <c r="A904" s="60">
        <v>44531</v>
      </c>
      <c r="B904" s="67">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3" customFormat="1" x14ac:dyDescent="0.35">
      <c r="A905" s="60">
        <v>44562</v>
      </c>
      <c r="B905" s="67">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3" customFormat="1" x14ac:dyDescent="0.35">
      <c r="A906" s="60">
        <v>44593</v>
      </c>
      <c r="B906" s="67">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3" customFormat="1" x14ac:dyDescent="0.35">
      <c r="A907" s="60">
        <v>44621</v>
      </c>
      <c r="B907" s="67">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3" customFormat="1" x14ac:dyDescent="0.35">
      <c r="A908" s="60">
        <v>44652</v>
      </c>
      <c r="B908" s="67">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3" customFormat="1" x14ac:dyDescent="0.35">
      <c r="A909" s="60">
        <v>44682</v>
      </c>
      <c r="B909" s="67">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3" customFormat="1" x14ac:dyDescent="0.35">
      <c r="A910" s="60">
        <v>44713</v>
      </c>
      <c r="B910" s="67">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3" customFormat="1" x14ac:dyDescent="0.35">
      <c r="A911" s="60">
        <v>44743</v>
      </c>
      <c r="B911" s="67">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3" customFormat="1" x14ac:dyDescent="0.35">
      <c r="A912" s="60">
        <v>44774</v>
      </c>
      <c r="B912" s="67">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3" customFormat="1" x14ac:dyDescent="0.35">
      <c r="A913" s="60">
        <v>44805</v>
      </c>
      <c r="B913" s="67">
        <f>VLOOKUP(Table2[[#This Row],[Date]],Database!A:E,2,)</f>
        <v>296.76100000000002</v>
      </c>
      <c r="C913" s="14">
        <f t="shared" si="28"/>
        <v>3.8596847303971975E-3</v>
      </c>
      <c r="D913" s="14">
        <f t="shared" ref="D913:D916" si="29">(B913-B901)/B901</f>
        <v>8.2224102343425295E-2</v>
      </c>
      <c r="E913" s="15">
        <f>VLOOKUP(Table2[[#This Row],[Date]],'Fed Fund New'!$A:$C,2,FALSE)</f>
        <v>3.25</v>
      </c>
      <c r="F913" s="15">
        <f>VLOOKUP(Table2[[#This Row],[Date]],'Fed Fund New'!$A:$C,3,FALSE)</f>
        <v>2.56</v>
      </c>
    </row>
    <row r="914" spans="1:6" s="73" customFormat="1" x14ac:dyDescent="0.35">
      <c r="A914" s="60">
        <v>44835</v>
      </c>
      <c r="B914" s="67">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3" customFormat="1" x14ac:dyDescent="0.35">
      <c r="A915" s="60">
        <v>44866</v>
      </c>
      <c r="B915" s="67">
        <f>VLOOKUP(Table2[[#This Row],[Date]],Database!A:E,2,)</f>
        <v>298.34899999999999</v>
      </c>
      <c r="C915" s="14">
        <f t="shared" si="28"/>
        <v>9.6288691614488829E-4</v>
      </c>
      <c r="D915" s="14">
        <f t="shared" si="29"/>
        <v>7.1178785311140108E-2</v>
      </c>
      <c r="E915" s="15">
        <f>VLOOKUP(Table2[[#This Row],[Date]],'Fed Fund New'!$A:$C,2,FALSE)</f>
        <v>4</v>
      </c>
      <c r="F915" s="15">
        <f>VLOOKUP(Table2[[#This Row],[Date]],'Fed Fund New'!$A:$C,3,FALSE)</f>
        <v>3.78</v>
      </c>
    </row>
    <row r="916" spans="1:6" s="73" customFormat="1" x14ac:dyDescent="0.35">
      <c r="A916" s="60">
        <v>44896</v>
      </c>
      <c r="B916" s="67">
        <f>VLOOKUP(Table2[[#This Row],[Date]],Database!A:E,2,)</f>
        <v>298.11200000000002</v>
      </c>
      <c r="C916" s="14">
        <f t="shared" si="28"/>
        <v>-7.9437169221269839E-4</v>
      </c>
      <c r="D916" s="14">
        <f t="shared" si="29"/>
        <v>6.4206821216167179E-2</v>
      </c>
      <c r="E916" s="15">
        <f>VLOOKUP(Table2[[#This Row],[Date]],'Fed Fund New'!$A:$C,2,FALSE)</f>
        <v>4.5</v>
      </c>
      <c r="F916" s="15">
        <f>VLOOKUP(Table2[[#This Row],[Date]],'Fed Fund New'!$A:$C,3,FALSE)</f>
        <v>4.0999999999999996</v>
      </c>
    </row>
    <row r="917" spans="1:6" s="73" customFormat="1" x14ac:dyDescent="0.35">
      <c r="A917" s="2"/>
      <c r="B917" s="63"/>
      <c r="C917" s="2"/>
      <c r="D917" s="2"/>
      <c r="E917" s="5"/>
      <c r="F917" s="5"/>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8"/>
  <sheetViews>
    <sheetView zoomScale="110" zoomScaleNormal="110" workbookViewId="0">
      <pane ySplit="4" topLeftCell="A645" activePane="bottomLeft" state="frozen"/>
      <selection activeCell="N27" sqref="N27"/>
      <selection pane="bottomLeft" activeCell="W666" sqref="W666"/>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251.999</v>
      </c>
      <c r="C617" s="14">
        <f t="shared" si="18"/>
        <v>2.0239373334923301E-3</v>
      </c>
      <c r="D617" s="14">
        <f t="shared" si="19"/>
        <v>1.653489310205724E-2</v>
      </c>
    </row>
    <row r="618" spans="1:4" x14ac:dyDescent="0.35">
      <c r="A618" s="60">
        <v>43132</v>
      </c>
      <c r="B618" s="67">
        <f>VLOOKUP(Table3[[#This Row],[Date]],Database!A:E,4,)</f>
        <v>252.029</v>
      </c>
      <c r="C618" s="14">
        <f t="shared" si="18"/>
        <v>1.1904809146068491E-4</v>
      </c>
      <c r="D618" s="14">
        <f t="shared" si="19"/>
        <v>1.4148153215324717E-2</v>
      </c>
    </row>
    <row r="619" spans="1:4" x14ac:dyDescent="0.35">
      <c r="A619" s="60">
        <v>43160</v>
      </c>
      <c r="B619" s="67">
        <f>VLOOKUP(Table3[[#This Row],[Date]],Database!A:E,4,)</f>
        <v>252.19800000000001</v>
      </c>
      <c r="C619" s="14">
        <f t="shared" si="18"/>
        <v>6.7055775327446896E-4</v>
      </c>
      <c r="D619" s="14">
        <f t="shared" si="19"/>
        <v>1.2762027146413932E-2</v>
      </c>
    </row>
    <row r="620" spans="1:4" x14ac:dyDescent="0.35">
      <c r="A620" s="60">
        <v>43191</v>
      </c>
      <c r="B620" s="67">
        <f>VLOOKUP(Table3[[#This Row],[Date]],Database!A:E,4,)</f>
        <v>252.80199999999999</v>
      </c>
      <c r="C620" s="14">
        <f t="shared" si="18"/>
        <v>2.3949436553818231E-3</v>
      </c>
      <c r="D620" s="14">
        <f t="shared" si="19"/>
        <v>1.3717965683031155E-2</v>
      </c>
    </row>
    <row r="621" spans="1:4" x14ac:dyDescent="0.35">
      <c r="A621" s="60">
        <v>43221</v>
      </c>
      <c r="B621" s="67">
        <f>VLOOKUP(Table3[[#This Row],[Date]],Database!A:E,4,)</f>
        <v>252.77600000000001</v>
      </c>
      <c r="C621" s="14">
        <f t="shared" si="18"/>
        <v>-1.0284728760050174E-4</v>
      </c>
      <c r="D621" s="14">
        <f t="shared" si="19"/>
        <v>1.2274188962440572E-2</v>
      </c>
    </row>
    <row r="622" spans="1:4" x14ac:dyDescent="0.35">
      <c r="A622" s="60">
        <v>43252</v>
      </c>
      <c r="B622" s="67">
        <f>VLOOKUP(Table3[[#This Row],[Date]],Database!A:E,4,)</f>
        <v>253.078</v>
      </c>
      <c r="C622" s="14">
        <f t="shared" si="18"/>
        <v>1.1947336772478103E-3</v>
      </c>
      <c r="D622" s="14">
        <f t="shared" si="19"/>
        <v>1.426344286407046E-2</v>
      </c>
    </row>
    <row r="623" spans="1:4" x14ac:dyDescent="0.35">
      <c r="A623" s="60">
        <v>43282</v>
      </c>
      <c r="B623" s="67">
        <f>VLOOKUP(Table3[[#This Row],[Date]],Database!A:E,4,)</f>
        <v>253.44399999999999</v>
      </c>
      <c r="C623" s="14">
        <f t="shared" si="18"/>
        <v>1.4461944538837253E-3</v>
      </c>
      <c r="D623" s="14">
        <f t="shared" si="19"/>
        <v>1.4031535947058565E-2</v>
      </c>
    </row>
    <row r="624" spans="1:4" x14ac:dyDescent="0.35">
      <c r="A624" s="60">
        <v>43313</v>
      </c>
      <c r="B624" s="67">
        <f>VLOOKUP(Table3[[#This Row],[Date]],Database!A:E,4,)</f>
        <v>253.76</v>
      </c>
      <c r="C624" s="14">
        <f t="shared" si="18"/>
        <v>1.2468237559382052E-3</v>
      </c>
      <c r="D624" s="14">
        <f t="shared" si="19"/>
        <v>1.4188082011110598E-2</v>
      </c>
    </row>
    <row r="625" spans="1:4" x14ac:dyDescent="0.35">
      <c r="A625" s="60">
        <v>43344</v>
      </c>
      <c r="B625" s="67">
        <f>VLOOKUP(Table3[[#This Row],[Date]],Database!A:E,4,)</f>
        <v>254.084</v>
      </c>
      <c r="C625" s="14">
        <f t="shared" si="18"/>
        <v>1.2767969735183334E-3</v>
      </c>
      <c r="D625" s="14">
        <f t="shared" si="19"/>
        <v>1.395523311265155E-2</v>
      </c>
    </row>
    <row r="626" spans="1:4" x14ac:dyDescent="0.35">
      <c r="A626" s="60">
        <v>43374</v>
      </c>
      <c r="B626" s="67">
        <f>VLOOKUP(Table3[[#This Row],[Date]],Database!A:E,4,)</f>
        <v>253.92400000000001</v>
      </c>
      <c r="C626" s="14">
        <f t="shared" si="18"/>
        <v>-6.2971300829645549E-4</v>
      </c>
      <c r="D626" s="14">
        <f t="shared" si="19"/>
        <v>1.2391553967848957E-2</v>
      </c>
    </row>
    <row r="627" spans="1:4" x14ac:dyDescent="0.35">
      <c r="A627" s="60">
        <v>43405</v>
      </c>
      <c r="B627" s="67">
        <f>VLOOKUP(Table3[[#This Row],[Date]],Database!A:E,4,)</f>
        <v>254.60599999999999</v>
      </c>
      <c r="C627" s="14">
        <f t="shared" si="18"/>
        <v>2.6858430081441215E-3</v>
      </c>
      <c r="D627" s="14">
        <f t="shared" si="19"/>
        <v>1.4382699325885612E-2</v>
      </c>
    </row>
    <row r="628" spans="1:4" x14ac:dyDescent="0.35">
      <c r="A628" s="60">
        <v>43435</v>
      </c>
      <c r="B628" s="67">
        <f>VLOOKUP(Table3[[#This Row],[Date]],Database!A:E,4,)</f>
        <v>255.47499999999999</v>
      </c>
      <c r="C628" s="14">
        <f t="shared" si="18"/>
        <v>3.4131167372332145E-3</v>
      </c>
      <c r="D628" s="14">
        <f t="shared" si="19"/>
        <v>1.5845560459660363E-2</v>
      </c>
    </row>
    <row r="629" spans="1:4" x14ac:dyDescent="0.35">
      <c r="A629" s="60">
        <v>43466</v>
      </c>
      <c r="B629" s="67">
        <f>VLOOKUP(Table3[[#This Row],[Date]],Database!A:E,4,)</f>
        <v>256.14600000000002</v>
      </c>
      <c r="C629" s="14">
        <f t="shared" si="18"/>
        <v>2.6264800861141822E-3</v>
      </c>
      <c r="D629" s="14">
        <f t="shared" si="19"/>
        <v>1.6456414509581466E-2</v>
      </c>
    </row>
    <row r="630" spans="1:4" x14ac:dyDescent="0.35">
      <c r="A630" s="60">
        <v>43497</v>
      </c>
      <c r="B630" s="67">
        <f>VLOOKUP(Table3[[#This Row],[Date]],Database!A:E,4,)</f>
        <v>256.97800000000001</v>
      </c>
      <c r="C630" s="14">
        <f t="shared" si="18"/>
        <v>3.2481475408555806E-3</v>
      </c>
      <c r="D630" s="14">
        <f t="shared" si="19"/>
        <v>1.9636629118077731E-2</v>
      </c>
    </row>
    <row r="631" spans="1:4" x14ac:dyDescent="0.35">
      <c r="A631" s="60">
        <v>43525</v>
      </c>
      <c r="B631" s="67">
        <f>VLOOKUP(Table3[[#This Row],[Date]],Database!A:E,4,)</f>
        <v>257.435</v>
      </c>
      <c r="C631" s="14">
        <f t="shared" si="18"/>
        <v>1.7783623500844182E-3</v>
      </c>
      <c r="D631" s="14">
        <f t="shared" si="19"/>
        <v>2.0765430336481632E-2</v>
      </c>
    </row>
    <row r="632" spans="1:4" x14ac:dyDescent="0.35">
      <c r="A632" s="60">
        <v>43556</v>
      </c>
      <c r="B632" s="67">
        <f>VLOOKUP(Table3[[#This Row],[Date]],Database!A:E,4,)</f>
        <v>257.161</v>
      </c>
      <c r="C632" s="14">
        <f t="shared" si="18"/>
        <v>-1.0643463398527819E-3</v>
      </c>
      <c r="D632" s="14">
        <f t="shared" si="19"/>
        <v>1.7242743332726834E-2</v>
      </c>
    </row>
    <row r="633" spans="1:4" x14ac:dyDescent="0.35">
      <c r="A633" s="60">
        <v>43586</v>
      </c>
      <c r="B633" s="67">
        <f>VLOOKUP(Table3[[#This Row],[Date]],Database!A:E,4,)</f>
        <v>257.70100000000002</v>
      </c>
      <c r="C633" s="14">
        <f t="shared" si="18"/>
        <v>2.0998518437866567E-3</v>
      </c>
      <c r="D633" s="14">
        <f t="shared" si="19"/>
        <v>1.9483653511409356E-2</v>
      </c>
    </row>
    <row r="634" spans="1:4" x14ac:dyDescent="0.35">
      <c r="A634" s="60">
        <v>43617</v>
      </c>
      <c r="B634" s="67">
        <f>VLOOKUP(Table3[[#This Row],[Date]],Database!A:E,4,)</f>
        <v>257.76600000000002</v>
      </c>
      <c r="C634" s="14">
        <f t="shared" si="18"/>
        <v>2.522302979033753E-4</v>
      </c>
      <c r="D634" s="14">
        <f t="shared" si="19"/>
        <v>1.8523933332806553E-2</v>
      </c>
    </row>
    <row r="635" spans="1:4" x14ac:dyDescent="0.35">
      <c r="A635" s="60">
        <v>43647</v>
      </c>
      <c r="B635" s="67">
        <f>VLOOKUP(Table3[[#This Row],[Date]],Database!A:E,4,)</f>
        <v>257.928</v>
      </c>
      <c r="C635" s="14">
        <f t="shared" si="18"/>
        <v>6.2847699075897409E-4</v>
      </c>
      <c r="D635" s="14">
        <f t="shared" si="19"/>
        <v>1.7692271270971137E-2</v>
      </c>
    </row>
    <row r="636" spans="1:4" s="73" customFormat="1" x14ac:dyDescent="0.35">
      <c r="A636" s="60">
        <v>43678</v>
      </c>
      <c r="B636" s="67">
        <f>VLOOKUP(Table3[[#This Row],[Date]],Database!A:E,4,)</f>
        <v>258.09800000000001</v>
      </c>
      <c r="C636" s="14">
        <f t="shared" si="18"/>
        <v>6.5909866319289068E-4</v>
      </c>
      <c r="D636" s="14">
        <f t="shared" si="19"/>
        <v>1.7094892812106015E-2</v>
      </c>
    </row>
    <row r="637" spans="1:4" s="73" customFormat="1" x14ac:dyDescent="0.35">
      <c r="A637" s="60">
        <v>43709</v>
      </c>
      <c r="B637" s="67">
        <f>VLOOKUP(Table3[[#This Row],[Date]],Database!A:E,4,)</f>
        <v>258.58999999999997</v>
      </c>
      <c r="C637" s="14">
        <f t="shared" si="18"/>
        <v>1.9062526637167346E-3</v>
      </c>
      <c r="D637" s="14">
        <f t="shared" si="19"/>
        <v>1.7734292596149195E-2</v>
      </c>
    </row>
    <row r="638" spans="1:4" s="73" customFormat="1" x14ac:dyDescent="0.35">
      <c r="A638" s="60">
        <v>43739</v>
      </c>
      <c r="B638" s="67">
        <f>VLOOKUP(Table3[[#This Row],[Date]],Database!A:E,4,)</f>
        <v>259.02499999999998</v>
      </c>
      <c r="C638" s="14">
        <f t="shared" si="18"/>
        <v>1.6821996210217036E-3</v>
      </c>
      <c r="D638" s="14">
        <f t="shared" si="19"/>
        <v>2.0088687953875847E-2</v>
      </c>
    </row>
    <row r="639" spans="1:4" s="73" customFormat="1" x14ac:dyDescent="0.35">
      <c r="A639" s="60">
        <v>43770</v>
      </c>
      <c r="B639" s="67">
        <f>VLOOKUP(Table3[[#This Row],[Date]],Database!A:E,4,)</f>
        <v>259.48500000000001</v>
      </c>
      <c r="C639" s="14">
        <f t="shared" si="18"/>
        <v>1.7758903580736855E-3</v>
      </c>
      <c r="D639" s="14">
        <f t="shared" si="19"/>
        <v>1.9162941957377357E-2</v>
      </c>
    </row>
    <row r="640" spans="1:4" s="73" customFormat="1" x14ac:dyDescent="0.35">
      <c r="A640" s="60">
        <v>43800</v>
      </c>
      <c r="B640" s="67">
        <f>VLOOKUP(Table3[[#This Row],[Date]],Database!A:E,4,)</f>
        <v>259.84500000000003</v>
      </c>
      <c r="C640" s="14">
        <f t="shared" si="18"/>
        <v>1.3873634314122728E-3</v>
      </c>
      <c r="D640" s="14">
        <f t="shared" si="19"/>
        <v>1.7105391917017449E-2</v>
      </c>
    </row>
    <row r="641" spans="1:4" s="73" customFormat="1" x14ac:dyDescent="0.35">
      <c r="A641" s="60">
        <v>43831</v>
      </c>
      <c r="B641" s="67">
        <f>VLOOKUP(Table3[[#This Row],[Date]],Database!A:E,4,)</f>
        <v>260.67099999999999</v>
      </c>
      <c r="C641" s="14">
        <f t="shared" si="18"/>
        <v>3.1788181415842711E-3</v>
      </c>
      <c r="D641" s="14">
        <f t="shared" si="19"/>
        <v>1.7665706276888873E-2</v>
      </c>
    </row>
    <row r="642" spans="1:4" s="73" customFormat="1" x14ac:dyDescent="0.35">
      <c r="A642" s="60">
        <v>43862</v>
      </c>
      <c r="B642" s="67">
        <f>VLOOKUP(Table3[[#This Row],[Date]],Database!A:E,4,)</f>
        <v>261.49200000000002</v>
      </c>
      <c r="C642" s="14">
        <f t="shared" si="18"/>
        <v>3.1495640098055649E-3</v>
      </c>
      <c r="D642" s="14">
        <f t="shared" si="19"/>
        <v>1.7565706013744405E-2</v>
      </c>
    </row>
    <row r="643" spans="1:4" s="73" customFormat="1" x14ac:dyDescent="0.35">
      <c r="A643" s="60">
        <v>43891</v>
      </c>
      <c r="B643" s="67">
        <f>VLOOKUP(Table3[[#This Row],[Date]],Database!A:E,4,)</f>
        <v>262.32299999999998</v>
      </c>
      <c r="C643" s="14">
        <f t="shared" si="18"/>
        <v>3.177917488871401E-3</v>
      </c>
      <c r="D643" s="14">
        <f t="shared" si="19"/>
        <v>1.8987317186862612E-2</v>
      </c>
    </row>
    <row r="644" spans="1:4" s="73" customFormat="1" x14ac:dyDescent="0.35">
      <c r="A644" s="60">
        <v>43922</v>
      </c>
      <c r="B644" s="67">
        <f>VLOOKUP(Table3[[#This Row],[Date]],Database!A:E,4,)</f>
        <v>265.88200000000001</v>
      </c>
      <c r="C644" s="14">
        <f t="shared" si="18"/>
        <v>1.3567243436526825E-2</v>
      </c>
      <c r="D644" s="14">
        <f t="shared" si="19"/>
        <v>3.3912607277153235E-2</v>
      </c>
    </row>
    <row r="645" spans="1:4" s="73" customFormat="1" x14ac:dyDescent="0.35">
      <c r="A645" s="60">
        <v>43952</v>
      </c>
      <c r="B645" s="67">
        <f>VLOOKUP(Table3[[#This Row],[Date]],Database!A:E,4,)</f>
        <v>267.69299999999998</v>
      </c>
      <c r="C645" s="14">
        <f t="shared" si="18"/>
        <v>6.811292227378982E-3</v>
      </c>
      <c r="D645" s="14">
        <f t="shared" si="19"/>
        <v>3.877361748693238E-2</v>
      </c>
    </row>
    <row r="646" spans="1:4" s="73" customFormat="1" x14ac:dyDescent="0.35">
      <c r="A646" s="60">
        <v>43983</v>
      </c>
      <c r="B646" s="67">
        <f>VLOOKUP(Table3[[#This Row],[Date]],Database!A:E,4,)</f>
        <v>268.95</v>
      </c>
      <c r="C646" s="14">
        <f t="shared" ref="C646:C709" si="20">(B646-B645)/B645</f>
        <v>4.6956775111788697E-3</v>
      </c>
      <c r="D646" s="14">
        <f t="shared" si="19"/>
        <v>4.338818928795872E-2</v>
      </c>
    </row>
    <row r="647" spans="1:4" s="73" customFormat="1" x14ac:dyDescent="0.35">
      <c r="A647" s="60">
        <v>44013</v>
      </c>
      <c r="B647" s="67">
        <f>VLOOKUP(Table3[[#This Row],[Date]],Database!A:E,4,)</f>
        <v>267.97699999999998</v>
      </c>
      <c r="C647" s="14">
        <f t="shared" si="20"/>
        <v>-3.6177728202268574E-3</v>
      </c>
      <c r="D647" s="14">
        <f t="shared" si="19"/>
        <v>3.8960485096616024E-2</v>
      </c>
    </row>
    <row r="648" spans="1:4" s="73" customFormat="1" x14ac:dyDescent="0.35">
      <c r="A648" s="60">
        <v>44044</v>
      </c>
      <c r="B648" s="67">
        <f>VLOOKUP(Table3[[#This Row],[Date]],Database!A:E,4,)</f>
        <v>268.28899999999999</v>
      </c>
      <c r="C648" s="14">
        <f t="shared" si="20"/>
        <v>1.1642790239461292E-3</v>
      </c>
      <c r="D648" s="14">
        <f t="shared" si="19"/>
        <v>3.9485001821013624E-2</v>
      </c>
    </row>
    <row r="649" spans="1:4" s="73" customFormat="1" x14ac:dyDescent="0.35">
      <c r="A649" s="60">
        <v>44075</v>
      </c>
      <c r="B649" s="67">
        <f>VLOOKUP(Table3[[#This Row],[Date]],Database!A:E,4,)</f>
        <v>268.428</v>
      </c>
      <c r="C649" s="14">
        <f t="shared" si="20"/>
        <v>5.1809802116378235E-4</v>
      </c>
      <c r="D649" s="14">
        <f t="shared" si="19"/>
        <v>3.8044781314049356E-2</v>
      </c>
    </row>
    <row r="650" spans="1:4" s="73" customFormat="1" x14ac:dyDescent="0.35">
      <c r="A650" s="60">
        <v>44105</v>
      </c>
      <c r="B650" s="67">
        <f>VLOOKUP(Table3[[#This Row],[Date]],Database!A:E,4,)</f>
        <v>268.904</v>
      </c>
      <c r="C650" s="14">
        <f t="shared" si="20"/>
        <v>1.7732874364820327E-3</v>
      </c>
      <c r="D650" s="14">
        <f t="shared" si="19"/>
        <v>3.8139175755236059E-2</v>
      </c>
    </row>
    <row r="651" spans="1:4" s="73" customFormat="1" x14ac:dyDescent="0.35">
      <c r="A651" s="60">
        <v>44136</v>
      </c>
      <c r="B651" s="67">
        <f>VLOOKUP(Table3[[#This Row],[Date]],Database!A:E,4,)</f>
        <v>268.99900000000002</v>
      </c>
      <c r="C651" s="14">
        <f t="shared" si="20"/>
        <v>3.5328593103868772E-4</v>
      </c>
      <c r="D651" s="14">
        <f t="shared" si="19"/>
        <v>3.6664932462377439E-2</v>
      </c>
    </row>
    <row r="652" spans="1:4" s="73" customFormat="1" x14ac:dyDescent="0.35">
      <c r="A652" s="60">
        <v>44166</v>
      </c>
      <c r="B652" s="67">
        <f>VLOOKUP(Table3[[#This Row],[Date]],Database!A:E,4,)</f>
        <v>269.82</v>
      </c>
      <c r="C652" s="14">
        <f t="shared" si="20"/>
        <v>3.0520559555982344E-3</v>
      </c>
      <c r="D652" s="14">
        <f t="shared" si="19"/>
        <v>3.8388269930150529E-2</v>
      </c>
    </row>
    <row r="653" spans="1:4" s="73" customFormat="1" x14ac:dyDescent="0.35">
      <c r="A653" s="60">
        <v>44197</v>
      </c>
      <c r="B653" s="67">
        <f>VLOOKUP(Table3[[#This Row],[Date]],Database!A:E,4,)</f>
        <v>270.34699999999998</v>
      </c>
      <c r="C653" s="14">
        <f t="shared" si="20"/>
        <v>1.9531539544881283E-3</v>
      </c>
      <c r="D653" s="14">
        <f t="shared" si="19"/>
        <v>3.7119587526038521E-2</v>
      </c>
    </row>
    <row r="654" spans="1:4" s="73" customFormat="1" x14ac:dyDescent="0.35">
      <c r="A654" s="60">
        <v>44228</v>
      </c>
      <c r="B654" s="67">
        <f>VLOOKUP(Table3[[#This Row],[Date]],Database!A:E,4,)</f>
        <v>270.70499999999998</v>
      </c>
      <c r="C654" s="14">
        <f t="shared" si="20"/>
        <v>1.3242240527914278E-3</v>
      </c>
      <c r="D654" s="14">
        <f t="shared" si="19"/>
        <v>3.5232435409113722E-2</v>
      </c>
    </row>
    <row r="655" spans="1:4" s="73" customFormat="1" x14ac:dyDescent="0.35">
      <c r="A655" s="60">
        <v>44256</v>
      </c>
      <c r="B655" s="67">
        <f>VLOOKUP(Table3[[#This Row],[Date]],Database!A:E,4,)</f>
        <v>271.16000000000003</v>
      </c>
      <c r="C655" s="14">
        <f t="shared" si="20"/>
        <v>1.6807964389281356E-3</v>
      </c>
      <c r="D655" s="14">
        <f t="shared" si="19"/>
        <v>3.3687476889178787E-2</v>
      </c>
    </row>
    <row r="656" spans="1:4" s="73" customFormat="1" x14ac:dyDescent="0.35">
      <c r="A656" s="60">
        <v>44287</v>
      </c>
      <c r="B656" s="67">
        <f>VLOOKUP(Table3[[#This Row],[Date]],Database!A:E,4,)</f>
        <v>272.101</v>
      </c>
      <c r="C656" s="14">
        <f t="shared" si="20"/>
        <v>3.470275851895464E-3</v>
      </c>
      <c r="D656" s="14">
        <f t="shared" si="19"/>
        <v>2.3390075296560106E-2</v>
      </c>
    </row>
    <row r="657" spans="1:4" s="73" customFormat="1" x14ac:dyDescent="0.35">
      <c r="A657" s="60">
        <v>44317</v>
      </c>
      <c r="B657" s="67">
        <f>VLOOKUP(Table3[[#This Row],[Date]],Database!A:E,4,)</f>
        <v>273.33800000000002</v>
      </c>
      <c r="C657" s="14">
        <f t="shared" si="20"/>
        <v>4.5461060415067315E-3</v>
      </c>
      <c r="D657" s="14">
        <f t="shared" ref="D657:D720" si="21">(B657-B645)/B645</f>
        <v>2.1087589141292596E-2</v>
      </c>
    </row>
    <row r="658" spans="1:4" s="73" customFormat="1" x14ac:dyDescent="0.35">
      <c r="A658" s="60">
        <v>44348</v>
      </c>
      <c r="B658" s="67">
        <f>VLOOKUP(Table3[[#This Row],[Date]],Database!A:E,4,)</f>
        <v>275.25099999999998</v>
      </c>
      <c r="C658" s="14">
        <f t="shared" si="20"/>
        <v>6.9986609984705895E-3</v>
      </c>
      <c r="D658" s="14">
        <f t="shared" si="21"/>
        <v>2.3428146495631113E-2</v>
      </c>
    </row>
    <row r="659" spans="1:4" s="73" customFormat="1" x14ac:dyDescent="0.35">
      <c r="A659" s="60">
        <v>44378</v>
      </c>
      <c r="B659" s="67">
        <f>VLOOKUP(Table3[[#This Row],[Date]],Database!A:E,4,)</f>
        <v>276.99200000000002</v>
      </c>
      <c r="C659" s="14">
        <f t="shared" si="20"/>
        <v>6.3251359668086305E-3</v>
      </c>
      <c r="D659" s="14">
        <f t="shared" si="21"/>
        <v>3.3640946797673099E-2</v>
      </c>
    </row>
    <row r="660" spans="1:4" s="73" customFormat="1" x14ac:dyDescent="0.35">
      <c r="A660" s="60">
        <v>44409</v>
      </c>
      <c r="B660" s="67">
        <f>VLOOKUP(Table3[[#This Row],[Date]],Database!A:E,4,)</f>
        <v>278.06200000000001</v>
      </c>
      <c r="C660" s="14">
        <f t="shared" si="20"/>
        <v>3.8629274491681822E-3</v>
      </c>
      <c r="D660" s="14">
        <f t="shared" si="21"/>
        <v>3.6427136408872615E-2</v>
      </c>
    </row>
    <row r="661" spans="1:4" s="73" customFormat="1" x14ac:dyDescent="0.35">
      <c r="A661" s="60">
        <v>44440</v>
      </c>
      <c r="B661" s="67">
        <f>VLOOKUP(Table3[[#This Row],[Date]],Database!A:E,4,)</f>
        <v>280.41300000000001</v>
      </c>
      <c r="C661" s="14">
        <f t="shared" si="20"/>
        <v>8.4549488962893139E-3</v>
      </c>
      <c r="D661" s="14">
        <f t="shared" si="21"/>
        <v>4.464884438285132E-2</v>
      </c>
    </row>
    <row r="662" spans="1:4" s="73" customFormat="1" x14ac:dyDescent="0.35">
      <c r="A662" s="60">
        <v>44470</v>
      </c>
      <c r="B662" s="67">
        <f>VLOOKUP(Table3[[#This Row],[Date]],Database!A:E,4,)</f>
        <v>282.661</v>
      </c>
      <c r="C662" s="14">
        <f t="shared" si="20"/>
        <v>8.0167467271488498E-3</v>
      </c>
      <c r="D662" s="14">
        <f t="shared" si="21"/>
        <v>5.1159521613661399E-2</v>
      </c>
    </row>
    <row r="663" spans="1:4" s="73" customFormat="1" x14ac:dyDescent="0.35">
      <c r="A663" s="60">
        <v>44501</v>
      </c>
      <c r="B663" s="67">
        <f>VLOOKUP(Table3[[#This Row],[Date]],Database!A:E,4,)</f>
        <v>284.67599999999999</v>
      </c>
      <c r="C663" s="14">
        <f t="shared" si="20"/>
        <v>7.1286806457204433E-3</v>
      </c>
      <c r="D663" s="14">
        <f t="shared" si="21"/>
        <v>5.8279027059580012E-2</v>
      </c>
    </row>
    <row r="664" spans="1:4" s="73" customFormat="1" x14ac:dyDescent="0.35">
      <c r="A664" s="60">
        <v>44531</v>
      </c>
      <c r="B664" s="67">
        <f>VLOOKUP(Table3[[#This Row],[Date]],Database!A:E,4,)</f>
        <v>286.01799999999997</v>
      </c>
      <c r="C664" s="14">
        <f t="shared" si="20"/>
        <v>4.7141311526085255E-3</v>
      </c>
      <c r="D664" s="14">
        <f t="shared" si="21"/>
        <v>6.0032614335482841E-2</v>
      </c>
    </row>
    <row r="665" spans="1:4" s="73" customFormat="1" x14ac:dyDescent="0.35">
      <c r="A665" s="60">
        <v>44562</v>
      </c>
      <c r="B665" s="67">
        <f>VLOOKUP(Table3[[#This Row],[Date]],Database!A:E,4,)</f>
        <v>288.43599999999998</v>
      </c>
      <c r="C665" s="14">
        <f t="shared" si="20"/>
        <v>8.4540133837730722E-3</v>
      </c>
      <c r="D665" s="14">
        <f t="shared" si="21"/>
        <v>6.691030416464766E-2</v>
      </c>
    </row>
    <row r="666" spans="1:4" s="73" customFormat="1" x14ac:dyDescent="0.35">
      <c r="A666" s="60">
        <v>44593</v>
      </c>
      <c r="B666" s="67">
        <f>VLOOKUP(Table3[[#This Row],[Date]],Database!A:E,4,)</f>
        <v>291.32499999999999</v>
      </c>
      <c r="C666" s="14">
        <f t="shared" si="20"/>
        <v>1.0016086757547636E-2</v>
      </c>
      <c r="D666" s="14">
        <f t="shared" si="21"/>
        <v>7.6171478177351745E-2</v>
      </c>
    </row>
    <row r="667" spans="1:4" s="73" customFormat="1" x14ac:dyDescent="0.35">
      <c r="A667" s="60">
        <v>44621</v>
      </c>
      <c r="B667" s="67">
        <f>VLOOKUP(Table3[[#This Row],[Date]],Database!A:E,4,)</f>
        <v>294.11900000000003</v>
      </c>
      <c r="C667" s="14">
        <f t="shared" si="20"/>
        <v>9.590663348494087E-3</v>
      </c>
      <c r="D667" s="14">
        <f t="shared" si="21"/>
        <v>8.4669567782858834E-2</v>
      </c>
    </row>
    <row r="668" spans="1:4" s="73" customFormat="1" x14ac:dyDescent="0.35">
      <c r="A668" s="60">
        <v>44652</v>
      </c>
      <c r="B668" s="67">
        <f>VLOOKUP(Table3[[#This Row],[Date]],Database!A:E,4,)</f>
        <v>296.58499999999998</v>
      </c>
      <c r="C668" s="14">
        <f t="shared" si="20"/>
        <v>8.3843614319372463E-3</v>
      </c>
      <c r="D668" s="14">
        <f t="shared" si="21"/>
        <v>8.9981293710791138E-2</v>
      </c>
    </row>
    <row r="669" spans="1:4" s="73" customFormat="1" x14ac:dyDescent="0.35">
      <c r="A669" s="60">
        <v>44682</v>
      </c>
      <c r="B669" s="67">
        <f>VLOOKUP(Table3[[#This Row],[Date]],Database!A:E,4,)</f>
        <v>299.94099999999997</v>
      </c>
      <c r="C669" s="14">
        <f t="shared" si="20"/>
        <v>1.1315474484549099E-2</v>
      </c>
      <c r="D669" s="14">
        <f t="shared" si="21"/>
        <v>9.7326387110463777E-2</v>
      </c>
    </row>
    <row r="670" spans="1:4" s="73" customFormat="1" x14ac:dyDescent="0.35">
      <c r="A670" s="60">
        <v>44713</v>
      </c>
      <c r="B670" s="67">
        <f>VLOOKUP(Table3[[#This Row],[Date]],Database!A:E,4,)</f>
        <v>302.80500000000001</v>
      </c>
      <c r="C670" s="14">
        <f t="shared" si="20"/>
        <v>9.5485445470943724E-3</v>
      </c>
      <c r="D670" s="14">
        <f t="shared" si="21"/>
        <v>0.10010499507722055</v>
      </c>
    </row>
    <row r="671" spans="1:4" s="73" customFormat="1" x14ac:dyDescent="0.35">
      <c r="A671" s="60">
        <v>44743</v>
      </c>
      <c r="B671" s="67">
        <f>VLOOKUP(Table3[[#This Row],[Date]],Database!A:E,4,)</f>
        <v>306.02300000000002</v>
      </c>
      <c r="C671" s="14">
        <f t="shared" si="20"/>
        <v>1.062730139858991E-2</v>
      </c>
      <c r="D671" s="14">
        <f t="shared" si="21"/>
        <v>0.10480808109981517</v>
      </c>
    </row>
    <row r="672" spans="1:4" s="73" customFormat="1" x14ac:dyDescent="0.35">
      <c r="A672" s="60">
        <v>44774</v>
      </c>
      <c r="B672" s="67">
        <f>VLOOKUP(Table3[[#This Row],[Date]],Database!A:E,4,)</f>
        <v>308.36900000000003</v>
      </c>
      <c r="C672" s="14">
        <f t="shared" si="20"/>
        <v>7.6660904572532244E-3</v>
      </c>
      <c r="D672" s="14">
        <f t="shared" si="21"/>
        <v>0.10899367766900912</v>
      </c>
    </row>
    <row r="673" spans="1:4" s="73" customFormat="1" x14ac:dyDescent="0.35">
      <c r="A673" s="60">
        <v>44805</v>
      </c>
      <c r="B673" s="67">
        <f>VLOOKUP(Table3[[#This Row],[Date]],Database!A:E,4,)</f>
        <v>310.63499999999999</v>
      </c>
      <c r="C673" s="14">
        <f t="shared" si="20"/>
        <v>7.3483391650910517E-3</v>
      </c>
      <c r="D673" s="14">
        <f t="shared" si="21"/>
        <v>0.10777674358892055</v>
      </c>
    </row>
    <row r="674" spans="1:4" s="73" customFormat="1" x14ac:dyDescent="0.35">
      <c r="A674" s="60">
        <v>44835</v>
      </c>
      <c r="B674" s="67">
        <f>VLOOKUP(Table3[[#This Row],[Date]],Database!A:E,4,)</f>
        <v>312.53300000000002</v>
      </c>
      <c r="C674" s="14">
        <f t="shared" si="20"/>
        <v>6.1100648671270933E-3</v>
      </c>
      <c r="D674" s="14">
        <f t="shared" si="21"/>
        <v>0.10568136389526682</v>
      </c>
    </row>
    <row r="675" spans="1:4" s="73" customFormat="1" x14ac:dyDescent="0.35">
      <c r="A675" s="60">
        <v>44866</v>
      </c>
      <c r="B675" s="67">
        <f>VLOOKUP(Table3[[#This Row],[Date]],Database!A:E,4,)</f>
        <v>314.11700000000002</v>
      </c>
      <c r="C675" s="14">
        <f t="shared" si="20"/>
        <v>5.0682647912380554E-3</v>
      </c>
      <c r="D675" s="14">
        <f t="shared" si="21"/>
        <v>0.10341932583006658</v>
      </c>
    </row>
    <row r="676" spans="1:4" s="73" customFormat="1" x14ac:dyDescent="0.35">
      <c r="A676" s="60">
        <v>44896</v>
      </c>
      <c r="B676" s="67">
        <f>VLOOKUP(Table3[[#This Row],[Date]],Database!A:E,4,)</f>
        <v>315.00799999999998</v>
      </c>
      <c r="C676" s="14">
        <f t="shared" si="20"/>
        <v>2.8365226969567477E-3</v>
      </c>
      <c r="D676" s="14">
        <f t="shared" si="21"/>
        <v>0.10135725723555865</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9"/>
  <sheetViews>
    <sheetView zoomScale="120" zoomScaleNormal="120" workbookViewId="0">
      <pane ySplit="4" topLeftCell="A643" activePane="bottomLeft" state="frozen"/>
      <selection activeCell="N27" sqref="N27"/>
      <selection pane="bottomLeft" activeCell="R680" sqref="R680"/>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81"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92"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216.87200000000001</v>
      </c>
      <c r="C617" s="14">
        <f t="shared" si="22"/>
        <v>1.5441954545028896E-2</v>
      </c>
      <c r="D617" s="14">
        <f t="shared" si="21"/>
        <v>5.6011374647585634E-2</v>
      </c>
    </row>
    <row r="618" spans="1:4" x14ac:dyDescent="0.35">
      <c r="A618" s="60">
        <v>43132</v>
      </c>
      <c r="B618" s="67">
        <f>VLOOKUP(Table4[[#This Row],[Date]],Database!A:E,3,)</f>
        <v>220.381</v>
      </c>
      <c r="C618" s="14">
        <f t="shared" si="22"/>
        <v>1.618005090560324E-2</v>
      </c>
      <c r="D618" s="14">
        <f t="shared" si="21"/>
        <v>7.9595165896743744E-2</v>
      </c>
    </row>
    <row r="619" spans="1:4" x14ac:dyDescent="0.35">
      <c r="A619" s="60">
        <v>43160</v>
      </c>
      <c r="B619" s="67">
        <f>VLOOKUP(Table4[[#This Row],[Date]],Database!A:E,3,)</f>
        <v>216.92500000000001</v>
      </c>
      <c r="C619" s="14">
        <f t="shared" si="22"/>
        <v>-1.5681932652996351E-2</v>
      </c>
      <c r="D619" s="14">
        <f t="shared" si="21"/>
        <v>7.1086467056407115E-2</v>
      </c>
    </row>
    <row r="620" spans="1:4" x14ac:dyDescent="0.35">
      <c r="A620" s="60">
        <v>43191</v>
      </c>
      <c r="B620" s="67">
        <f>VLOOKUP(Table4[[#This Row],[Date]],Database!A:E,3,)</f>
        <v>218.268</v>
      </c>
      <c r="C620" s="14">
        <f t="shared" si="22"/>
        <v>6.1910798663131926E-3</v>
      </c>
      <c r="D620" s="14">
        <f t="shared" si="21"/>
        <v>7.5455521940932385E-2</v>
      </c>
    </row>
    <row r="621" spans="1:4" x14ac:dyDescent="0.35">
      <c r="A621" s="60">
        <v>43221</v>
      </c>
      <c r="B621" s="67">
        <f>VLOOKUP(Table4[[#This Row],[Date]],Database!A:E,3,)</f>
        <v>220.63200000000001</v>
      </c>
      <c r="C621" s="14">
        <f t="shared" si="22"/>
        <v>1.0830721864863399E-2</v>
      </c>
      <c r="D621" s="14">
        <f t="shared" si="21"/>
        <v>0.11178186838935944</v>
      </c>
    </row>
    <row r="622" spans="1:4" x14ac:dyDescent="0.35">
      <c r="A622" s="60">
        <v>43252</v>
      </c>
      <c r="B622" s="67">
        <f>VLOOKUP(Table4[[#This Row],[Date]],Database!A:E,3,)</f>
        <v>221.47300000000001</v>
      </c>
      <c r="C622" s="14">
        <f t="shared" si="22"/>
        <v>3.8117770767613409E-3</v>
      </c>
      <c r="D622" s="14">
        <f t="shared" si="21"/>
        <v>0.11963621289331079</v>
      </c>
    </row>
    <row r="623" spans="1:4" x14ac:dyDescent="0.35">
      <c r="A623" s="60">
        <v>43282</v>
      </c>
      <c r="B623" s="67">
        <f>VLOOKUP(Table4[[#This Row],[Date]],Database!A:E,3,)</f>
        <v>219.75800000000001</v>
      </c>
      <c r="C623" s="14">
        <f t="shared" si="22"/>
        <v>-7.7436075729321553E-3</v>
      </c>
      <c r="D623" s="14">
        <f t="shared" si="21"/>
        <v>0.12124860965131591</v>
      </c>
    </row>
    <row r="624" spans="1:4" x14ac:dyDescent="0.35">
      <c r="A624" s="60">
        <v>43313</v>
      </c>
      <c r="B624" s="67">
        <f>VLOOKUP(Table4[[#This Row],[Date]],Database!A:E,3,)</f>
        <v>222.435</v>
      </c>
      <c r="C624" s="14">
        <f t="shared" si="22"/>
        <v>1.2181581557895468E-2</v>
      </c>
      <c r="D624" s="14">
        <f t="shared" si="21"/>
        <v>0.10416976917349226</v>
      </c>
    </row>
    <row r="625" spans="1:4" x14ac:dyDescent="0.35">
      <c r="A625" s="60">
        <v>43344</v>
      </c>
      <c r="B625" s="67">
        <f>VLOOKUP(Table4[[#This Row],[Date]],Database!A:E,3,)</f>
        <v>223.44399999999999</v>
      </c>
      <c r="C625" s="14">
        <f t="shared" si="22"/>
        <v>4.5361566300266866E-3</v>
      </c>
      <c r="D625" s="14">
        <f t="shared" si="21"/>
        <v>5.039887553296999E-2</v>
      </c>
    </row>
    <row r="626" spans="1:4" x14ac:dyDescent="0.35">
      <c r="A626" s="60">
        <v>43374</v>
      </c>
      <c r="B626" s="67">
        <f>VLOOKUP(Table4[[#This Row],[Date]],Database!A:E,3,)</f>
        <v>226.46199999999999</v>
      </c>
      <c r="C626" s="14">
        <f t="shared" si="22"/>
        <v>1.3506739943789052E-2</v>
      </c>
      <c r="D626" s="14">
        <f t="shared" si="21"/>
        <v>8.7045428362966026E-2</v>
      </c>
    </row>
    <row r="627" spans="1:4" x14ac:dyDescent="0.35">
      <c r="A627" s="60">
        <v>43405</v>
      </c>
      <c r="B627" s="67">
        <f>VLOOKUP(Table4[[#This Row],[Date]],Database!A:E,3,)</f>
        <v>219.267</v>
      </c>
      <c r="C627" s="14">
        <f t="shared" si="22"/>
        <v>-3.177133470516022E-2</v>
      </c>
      <c r="D627" s="14">
        <f t="shared" si="21"/>
        <v>2.9195435748919248E-2</v>
      </c>
    </row>
    <row r="628" spans="1:4" x14ac:dyDescent="0.35">
      <c r="A628" s="60">
        <v>43435</v>
      </c>
      <c r="B628" s="67">
        <f>VLOOKUP(Table4[[#This Row],[Date]],Database!A:E,3,)</f>
        <v>212.63300000000001</v>
      </c>
      <c r="C628" s="14">
        <f t="shared" si="22"/>
        <v>-3.0255350782379412E-2</v>
      </c>
      <c r="D628" s="14">
        <f t="shared" si="21"/>
        <v>-4.405967018457314E-3</v>
      </c>
    </row>
    <row r="629" spans="1:4" x14ac:dyDescent="0.35">
      <c r="A629" s="60">
        <v>43466</v>
      </c>
      <c r="B629" s="67">
        <f>VLOOKUP(Table4[[#This Row],[Date]],Database!A:E,3,)</f>
        <v>205.54</v>
      </c>
      <c r="C629" s="14">
        <f t="shared" si="22"/>
        <v>-3.3357945380068088E-2</v>
      </c>
      <c r="D629" s="14">
        <f t="shared" si="21"/>
        <v>-5.2252019624479056E-2</v>
      </c>
    </row>
    <row r="630" spans="1:4" x14ac:dyDescent="0.35">
      <c r="A630" s="60">
        <v>43497</v>
      </c>
      <c r="B630" s="67">
        <f>VLOOKUP(Table4[[#This Row],[Date]],Database!A:E,3,)</f>
        <v>208.69900000000001</v>
      </c>
      <c r="C630" s="14">
        <f t="shared" si="22"/>
        <v>1.5369271188090009E-2</v>
      </c>
      <c r="D630" s="14">
        <f t="shared" si="21"/>
        <v>-5.3008199436430488E-2</v>
      </c>
    </row>
    <row r="631" spans="1:4" x14ac:dyDescent="0.35">
      <c r="A631" s="60">
        <v>43525</v>
      </c>
      <c r="B631" s="67">
        <f>VLOOKUP(Table4[[#This Row],[Date]],Database!A:E,3,)</f>
        <v>216.376</v>
      </c>
      <c r="C631" s="14">
        <f t="shared" si="22"/>
        <v>3.6785034906731663E-2</v>
      </c>
      <c r="D631" s="14">
        <f t="shared" si="21"/>
        <v>-2.5308286274058158E-3</v>
      </c>
    </row>
    <row r="632" spans="1:4" x14ac:dyDescent="0.35">
      <c r="A632" s="60">
        <v>43556</v>
      </c>
      <c r="B632" s="67">
        <f>VLOOKUP(Table4[[#This Row],[Date]],Database!A:E,3,)</f>
        <v>221.75800000000001</v>
      </c>
      <c r="C632" s="14">
        <f t="shared" si="22"/>
        <v>2.4873368580618945E-2</v>
      </c>
      <c r="D632" s="14">
        <f t="shared" si="21"/>
        <v>1.5989517473931174E-2</v>
      </c>
    </row>
    <row r="633" spans="1:4" x14ac:dyDescent="0.35">
      <c r="A633" s="60">
        <v>43586</v>
      </c>
      <c r="B633" s="67">
        <f>VLOOKUP(Table4[[#This Row],[Date]],Database!A:E,3,)</f>
        <v>219.68</v>
      </c>
      <c r="C633" s="14">
        <f t="shared" si="22"/>
        <v>-9.3705751314496107E-3</v>
      </c>
      <c r="D633" s="14">
        <f t="shared" si="21"/>
        <v>-4.3148772616846071E-3</v>
      </c>
    </row>
    <row r="634" spans="1:4" x14ac:dyDescent="0.35">
      <c r="A634" s="60">
        <v>43617</v>
      </c>
      <c r="B634" s="67">
        <f>VLOOKUP(Table4[[#This Row],[Date]],Database!A:E,3,)</f>
        <v>214.666</v>
      </c>
      <c r="C634" s="14">
        <f t="shared" si="22"/>
        <v>-2.2824107793153723E-2</v>
      </c>
      <c r="D634" s="14">
        <f t="shared" si="21"/>
        <v>-3.0735123468775046E-2</v>
      </c>
    </row>
    <row r="635" spans="1:4" x14ac:dyDescent="0.35">
      <c r="A635" s="60">
        <v>43647</v>
      </c>
      <c r="B635" s="67">
        <f>VLOOKUP(Table4[[#This Row],[Date]],Database!A:E,3,)</f>
        <v>215.85</v>
      </c>
      <c r="C635" s="14">
        <f t="shared" si="22"/>
        <v>5.5155450793325329E-3</v>
      </c>
      <c r="D635" s="14">
        <f t="shared" ref="D635:D666" si="23">(B635-B623)/B623</f>
        <v>-1.7783197881305869E-2</v>
      </c>
    </row>
    <row r="636" spans="1:4" s="73" customFormat="1" x14ac:dyDescent="0.35">
      <c r="A636" s="60">
        <v>43678</v>
      </c>
      <c r="B636" s="67">
        <f>VLOOKUP(Table4[[#This Row],[Date]],Database!A:E,3,)</f>
        <v>213.16900000000001</v>
      </c>
      <c r="C636" s="14">
        <f t="shared" si="22"/>
        <v>-1.2420662497104393E-2</v>
      </c>
      <c r="D636" s="14">
        <f t="shared" si="23"/>
        <v>-4.1657113314001806E-2</v>
      </c>
    </row>
    <row r="637" spans="1:4" s="73" customFormat="1" x14ac:dyDescent="0.35">
      <c r="A637" s="60">
        <v>43709</v>
      </c>
      <c r="B637" s="67">
        <f>VLOOKUP(Table4[[#This Row],[Date]],Database!A:E,3,)</f>
        <v>213.12200000000001</v>
      </c>
      <c r="C637" s="14">
        <f t="shared" si="22"/>
        <v>-2.2048234030275059E-4</v>
      </c>
      <c r="D637" s="14">
        <f t="shared" si="23"/>
        <v>-4.6195019781242616E-2</v>
      </c>
    </row>
    <row r="638" spans="1:4" s="73" customFormat="1" x14ac:dyDescent="0.35">
      <c r="A638" s="60">
        <v>43739</v>
      </c>
      <c r="B638" s="67">
        <f>VLOOKUP(Table4[[#This Row],[Date]],Database!A:E,3,)</f>
        <v>216.62</v>
      </c>
      <c r="C638" s="14">
        <f t="shared" si="22"/>
        <v>1.6413134261127383E-2</v>
      </c>
      <c r="D638" s="14">
        <f t="shared" si="23"/>
        <v>-4.3459829905237897E-2</v>
      </c>
    </row>
    <row r="639" spans="1:4" s="73" customFormat="1" x14ac:dyDescent="0.35">
      <c r="A639" s="60">
        <v>43770</v>
      </c>
      <c r="B639" s="67">
        <f>VLOOKUP(Table4[[#This Row],[Date]],Database!A:E,3,)</f>
        <v>217.435</v>
      </c>
      <c r="C639" s="14">
        <f t="shared" si="22"/>
        <v>3.7623488135906089E-3</v>
      </c>
      <c r="D639" s="14">
        <f t="shared" si="23"/>
        <v>-8.3551104361349118E-3</v>
      </c>
    </row>
    <row r="640" spans="1:4" s="73" customFormat="1" x14ac:dyDescent="0.35">
      <c r="A640" s="60">
        <v>43800</v>
      </c>
      <c r="B640" s="67">
        <f>VLOOKUP(Table4[[#This Row],[Date]],Database!A:E,3,)</f>
        <v>219.786</v>
      </c>
      <c r="C640" s="14">
        <f t="shared" si="22"/>
        <v>1.0812426702232847E-2</v>
      </c>
      <c r="D640" s="14">
        <f t="shared" si="23"/>
        <v>3.3640121712057824E-2</v>
      </c>
    </row>
    <row r="641" spans="1:4" s="73" customFormat="1" x14ac:dyDescent="0.35">
      <c r="A641" s="60">
        <v>43831</v>
      </c>
      <c r="B641" s="67">
        <f>VLOOKUP(Table4[[#This Row],[Date]],Database!A:E,3,)</f>
        <v>217.803</v>
      </c>
      <c r="C641" s="14">
        <f t="shared" si="22"/>
        <v>-9.0224127105457304E-3</v>
      </c>
      <c r="D641" s="14">
        <f t="shared" si="23"/>
        <v>5.9662352826700425E-2</v>
      </c>
    </row>
    <row r="642" spans="1:4" s="73" customFormat="1" x14ac:dyDescent="0.35">
      <c r="A642" s="60">
        <v>43862</v>
      </c>
      <c r="B642" s="67">
        <f>VLOOKUP(Table4[[#This Row],[Date]],Database!A:E,3,)</f>
        <v>214.119</v>
      </c>
      <c r="C642" s="14">
        <f t="shared" ref="C642:C673" si="24">(B642-B641)/B641</f>
        <v>-1.6914367570694606E-2</v>
      </c>
      <c r="D642" s="14">
        <f t="shared" si="23"/>
        <v>2.5970416724564981E-2</v>
      </c>
    </row>
    <row r="643" spans="1:4" s="73" customFormat="1" x14ac:dyDescent="0.35">
      <c r="A643" s="60">
        <v>43891</v>
      </c>
      <c r="B643" s="67">
        <f>VLOOKUP(Table4[[#This Row],[Date]],Database!A:E,3,)</f>
        <v>203.91200000000001</v>
      </c>
      <c r="C643" s="14">
        <f t="shared" si="24"/>
        <v>-4.7669753735072526E-2</v>
      </c>
      <c r="D643" s="14">
        <f t="shared" si="23"/>
        <v>-5.7603431064443371E-2</v>
      </c>
    </row>
    <row r="644" spans="1:4" s="73" customFormat="1" x14ac:dyDescent="0.35">
      <c r="A644" s="60">
        <v>43922</v>
      </c>
      <c r="B644" s="67">
        <f>VLOOKUP(Table4[[#This Row],[Date]],Database!A:E,3,)</f>
        <v>182.88900000000001</v>
      </c>
      <c r="C644" s="14">
        <f t="shared" si="24"/>
        <v>-0.10309839538624503</v>
      </c>
      <c r="D644" s="14">
        <f t="shared" si="23"/>
        <v>-0.17527665292796651</v>
      </c>
    </row>
    <row r="645" spans="1:4" s="73" customFormat="1" x14ac:dyDescent="0.35">
      <c r="A645" s="60">
        <v>43952</v>
      </c>
      <c r="B645" s="67">
        <f>VLOOKUP(Table4[[#This Row],[Date]],Database!A:E,3,)</f>
        <v>179.542</v>
      </c>
      <c r="C645" s="14">
        <f t="shared" si="24"/>
        <v>-1.8300717921799606E-2</v>
      </c>
      <c r="D645" s="14">
        <f t="shared" si="23"/>
        <v>-0.18271121631463949</v>
      </c>
    </row>
    <row r="646" spans="1:4" s="73" customFormat="1" x14ac:dyDescent="0.35">
      <c r="A646" s="60">
        <v>43983</v>
      </c>
      <c r="B646" s="67">
        <f>VLOOKUP(Table4[[#This Row],[Date]],Database!A:E,3,)</f>
        <v>188.43700000000001</v>
      </c>
      <c r="C646" s="14">
        <f t="shared" si="24"/>
        <v>4.9542725379020006E-2</v>
      </c>
      <c r="D646" s="14">
        <f t="shared" si="23"/>
        <v>-0.12218516206572064</v>
      </c>
    </row>
    <row r="647" spans="1:4" s="73" customFormat="1" x14ac:dyDescent="0.35">
      <c r="A647" s="60">
        <v>44013</v>
      </c>
      <c r="B647" s="67">
        <f>VLOOKUP(Table4[[#This Row],[Date]],Database!A:E,3,)</f>
        <v>192.55600000000001</v>
      </c>
      <c r="C647" s="14">
        <f t="shared" si="24"/>
        <v>2.1858764467700076E-2</v>
      </c>
      <c r="D647" s="14">
        <f t="shared" si="23"/>
        <v>-0.10791753532545742</v>
      </c>
    </row>
    <row r="648" spans="1:4" s="73" customFormat="1" x14ac:dyDescent="0.35">
      <c r="A648" s="60">
        <v>44044</v>
      </c>
      <c r="B648" s="67">
        <f>VLOOKUP(Table4[[#This Row],[Date]],Database!A:E,3,)</f>
        <v>194.285</v>
      </c>
      <c r="C648" s="14">
        <f t="shared" si="24"/>
        <v>8.9792060491492593E-3</v>
      </c>
      <c r="D648" s="14">
        <f t="shared" si="23"/>
        <v>-8.8586989665476748E-2</v>
      </c>
    </row>
    <row r="649" spans="1:4" s="73" customFormat="1" x14ac:dyDescent="0.35">
      <c r="A649" s="60">
        <v>44075</v>
      </c>
      <c r="B649" s="67">
        <f>VLOOKUP(Table4[[#This Row],[Date]],Database!A:E,3,)</f>
        <v>196.875</v>
      </c>
      <c r="C649" s="14">
        <f t="shared" si="24"/>
        <v>1.3330931363718266E-2</v>
      </c>
      <c r="D649" s="14">
        <f t="shared" si="23"/>
        <v>-7.6233331143664249E-2</v>
      </c>
    </row>
    <row r="650" spans="1:4" s="73" customFormat="1" x14ac:dyDescent="0.35">
      <c r="A650" s="60">
        <v>44105</v>
      </c>
      <c r="B650" s="67">
        <f>VLOOKUP(Table4[[#This Row],[Date]],Database!A:E,3,)</f>
        <v>196.435</v>
      </c>
      <c r="C650" s="14">
        <f t="shared" si="24"/>
        <v>-2.2349206349206235E-3</v>
      </c>
      <c r="D650" s="14">
        <f t="shared" si="23"/>
        <v>-9.3181608346413078E-2</v>
      </c>
    </row>
    <row r="651" spans="1:4" s="73" customFormat="1" x14ac:dyDescent="0.35">
      <c r="A651" s="60">
        <v>44136</v>
      </c>
      <c r="B651" s="67">
        <f>VLOOKUP(Table4[[#This Row],[Date]],Database!A:E,3,)</f>
        <v>196.35900000000001</v>
      </c>
      <c r="C651" s="14">
        <f t="shared" si="24"/>
        <v>-3.8689642884411334E-4</v>
      </c>
      <c r="D651" s="14">
        <f t="shared" si="23"/>
        <v>-9.6930117046473627E-2</v>
      </c>
    </row>
    <row r="652" spans="1:4" s="73" customFormat="1" x14ac:dyDescent="0.35">
      <c r="A652" s="60">
        <v>44166</v>
      </c>
      <c r="B652" s="67">
        <f>VLOOKUP(Table4[[#This Row],[Date]],Database!A:E,3,)</f>
        <v>203.649</v>
      </c>
      <c r="C652" s="14">
        <f t="shared" si="24"/>
        <v>3.7125876583197062E-2</v>
      </c>
      <c r="D652" s="14">
        <f t="shared" si="23"/>
        <v>-7.3421419016679867E-2</v>
      </c>
    </row>
    <row r="653" spans="1:4" s="73" customFormat="1" x14ac:dyDescent="0.35">
      <c r="A653" s="60">
        <v>44197</v>
      </c>
      <c r="B653" s="67">
        <f>VLOOKUP(Table4[[#This Row],[Date]],Database!A:E,3,)</f>
        <v>209.328</v>
      </c>
      <c r="C653" s="14">
        <f t="shared" si="24"/>
        <v>2.7886215989275674E-2</v>
      </c>
      <c r="D653" s="14">
        <f t="shared" si="23"/>
        <v>-3.8911309761573504E-2</v>
      </c>
    </row>
    <row r="654" spans="1:4" s="73" customFormat="1" x14ac:dyDescent="0.35">
      <c r="A654" s="60">
        <v>44228</v>
      </c>
      <c r="B654" s="67">
        <f>VLOOKUP(Table4[[#This Row],[Date]],Database!A:E,3,)</f>
        <v>218.94399999999999</v>
      </c>
      <c r="C654" s="14">
        <f t="shared" si="24"/>
        <v>4.5937476114041052E-2</v>
      </c>
      <c r="D654" s="14">
        <f t="shared" si="23"/>
        <v>2.2534198272922946E-2</v>
      </c>
    </row>
    <row r="655" spans="1:4" s="73" customFormat="1" x14ac:dyDescent="0.35">
      <c r="A655" s="60">
        <v>44256</v>
      </c>
      <c r="B655" s="67">
        <f>VLOOKUP(Table4[[#This Row],[Date]],Database!A:E,3,)</f>
        <v>231.12700000000001</v>
      </c>
      <c r="C655" s="14">
        <f t="shared" si="24"/>
        <v>5.564436568254906E-2</v>
      </c>
      <c r="D655" s="14">
        <f t="shared" si="23"/>
        <v>0.13346443563890306</v>
      </c>
    </row>
    <row r="656" spans="1:4" s="73" customFormat="1" x14ac:dyDescent="0.35">
      <c r="A656" s="60">
        <v>44287</v>
      </c>
      <c r="B656" s="67">
        <f>VLOOKUP(Table4[[#This Row],[Date]],Database!A:E,3,)</f>
        <v>228.374</v>
      </c>
      <c r="C656" s="14">
        <f t="shared" si="24"/>
        <v>-1.1911200335746209E-2</v>
      </c>
      <c r="D656" s="14">
        <f t="shared" si="23"/>
        <v>0.24870276506514871</v>
      </c>
    </row>
    <row r="657" spans="1:4" s="73" customFormat="1" x14ac:dyDescent="0.35">
      <c r="A657" s="60">
        <v>44317</v>
      </c>
      <c r="B657" s="67">
        <f>VLOOKUP(Table4[[#This Row],[Date]],Database!A:E,3,)</f>
        <v>229.874</v>
      </c>
      <c r="C657" s="14">
        <f t="shared" si="24"/>
        <v>6.5681732596530257E-3</v>
      </c>
      <c r="D657" s="14">
        <f t="shared" si="23"/>
        <v>0.28033552037963261</v>
      </c>
    </row>
    <row r="658" spans="1:4" s="73" customFormat="1" x14ac:dyDescent="0.35">
      <c r="A658" s="60">
        <v>44348</v>
      </c>
      <c r="B658" s="67">
        <f>VLOOKUP(Table4[[#This Row],[Date]],Database!A:E,3,)</f>
        <v>234.625</v>
      </c>
      <c r="C658" s="14">
        <f t="shared" si="24"/>
        <v>2.0667844123302352E-2</v>
      </c>
      <c r="D658" s="14">
        <f t="shared" si="23"/>
        <v>0.24511109813890045</v>
      </c>
    </row>
    <row r="659" spans="1:4" s="73" customFormat="1" x14ac:dyDescent="0.35">
      <c r="A659" s="60">
        <v>44378</v>
      </c>
      <c r="B659" s="67">
        <f>VLOOKUP(Table4[[#This Row],[Date]],Database!A:E,3,)</f>
        <v>238.447</v>
      </c>
      <c r="C659" s="14">
        <f t="shared" si="24"/>
        <v>1.628982418753331E-2</v>
      </c>
      <c r="D659" s="14">
        <f t="shared" si="23"/>
        <v>0.23832547414778033</v>
      </c>
    </row>
    <row r="660" spans="1:4" s="73" customFormat="1" x14ac:dyDescent="0.35">
      <c r="A660" s="60">
        <v>44409</v>
      </c>
      <c r="B660" s="67">
        <f>VLOOKUP(Table4[[#This Row],[Date]],Database!A:E,3,)</f>
        <v>242.958</v>
      </c>
      <c r="C660" s="14">
        <f t="shared" si="24"/>
        <v>1.8918250177188203E-2</v>
      </c>
      <c r="D660" s="14">
        <f t="shared" si="23"/>
        <v>0.25052371516071753</v>
      </c>
    </row>
    <row r="661" spans="1:4" s="73" customFormat="1" x14ac:dyDescent="0.35">
      <c r="A661" s="60">
        <v>44440</v>
      </c>
      <c r="B661" s="67">
        <f>VLOOKUP(Table4[[#This Row],[Date]],Database!A:E,3,)</f>
        <v>245.84700000000001</v>
      </c>
      <c r="C661" s="14">
        <f t="shared" si="24"/>
        <v>1.1890944113797488E-2</v>
      </c>
      <c r="D661" s="14">
        <f t="shared" si="23"/>
        <v>0.2487466666666667</v>
      </c>
    </row>
    <row r="662" spans="1:4" s="73" customFormat="1" x14ac:dyDescent="0.35">
      <c r="A662" s="60">
        <v>44470</v>
      </c>
      <c r="B662" s="67">
        <f>VLOOKUP(Table4[[#This Row],[Date]],Database!A:E,3,)</f>
        <v>255.01</v>
      </c>
      <c r="C662" s="14">
        <f t="shared" si="24"/>
        <v>3.7271148315822372E-2</v>
      </c>
      <c r="D662" s="14">
        <f t="shared" si="23"/>
        <v>0.29819024104665659</v>
      </c>
    </row>
    <row r="663" spans="1:4" s="73" customFormat="1" x14ac:dyDescent="0.35">
      <c r="A663" s="60">
        <v>44501</v>
      </c>
      <c r="B663" s="67">
        <f>VLOOKUP(Table4[[#This Row],[Date]],Database!A:E,3,)</f>
        <v>261.25700000000001</v>
      </c>
      <c r="C663" s="14">
        <f t="shared" si="24"/>
        <v>2.4497078545939431E-2</v>
      </c>
      <c r="D663" s="14">
        <f t="shared" si="23"/>
        <v>0.33050687770868659</v>
      </c>
    </row>
    <row r="664" spans="1:4" s="73" customFormat="1" x14ac:dyDescent="0.35">
      <c r="A664" s="60">
        <v>44531</v>
      </c>
      <c r="B664" s="67">
        <f>VLOOKUP(Table4[[#This Row],[Date]],Database!A:E,3,)</f>
        <v>263.553</v>
      </c>
      <c r="C664" s="14">
        <f t="shared" si="24"/>
        <v>8.7882812709324243E-3</v>
      </c>
      <c r="D664" s="14">
        <f t="shared" si="23"/>
        <v>0.2941531753163531</v>
      </c>
    </row>
    <row r="665" spans="1:4" s="73" customFormat="1" x14ac:dyDescent="0.35">
      <c r="A665" s="60">
        <v>44562</v>
      </c>
      <c r="B665" s="67">
        <f>VLOOKUP(Table4[[#This Row],[Date]],Database!A:E,3,)</f>
        <v>265.92899999999997</v>
      </c>
      <c r="C665" s="14">
        <f t="shared" si="24"/>
        <v>9.0152644819067752E-3</v>
      </c>
      <c r="D665" s="14">
        <f t="shared" si="23"/>
        <v>0.27039383168997921</v>
      </c>
    </row>
    <row r="666" spans="1:4" s="73" customFormat="1" x14ac:dyDescent="0.35">
      <c r="A666" s="60">
        <v>44593</v>
      </c>
      <c r="B666" s="67">
        <f>VLOOKUP(Table4[[#This Row],[Date]],Database!A:E,3,)</f>
        <v>275.17</v>
      </c>
      <c r="C666" s="14">
        <f t="shared" si="24"/>
        <v>3.4749876846827697E-2</v>
      </c>
      <c r="D666" s="14">
        <f t="shared" si="23"/>
        <v>0.25680539315989492</v>
      </c>
    </row>
    <row r="667" spans="1:4" s="73" customFormat="1" x14ac:dyDescent="0.35">
      <c r="A667" s="60">
        <v>44621</v>
      </c>
      <c r="B667" s="67">
        <f>VLOOKUP(Table4[[#This Row],[Date]],Database!A:E,3,)</f>
        <v>305.46899999999999</v>
      </c>
      <c r="C667" s="14">
        <f t="shared" si="24"/>
        <v>0.11011011374786488</v>
      </c>
      <c r="D667" s="14">
        <f t="shared" ref="D667:D698" si="25">(B667-B655)/B655</f>
        <v>0.32165000194698146</v>
      </c>
    </row>
    <row r="668" spans="1:4" s="73" customFormat="1" x14ac:dyDescent="0.35">
      <c r="A668" s="60">
        <v>44652</v>
      </c>
      <c r="B668" s="67">
        <f>VLOOKUP(Table4[[#This Row],[Date]],Database!A:E,3,)</f>
        <v>297.233</v>
      </c>
      <c r="C668" s="14">
        <f t="shared" si="24"/>
        <v>-2.6961819366285909E-2</v>
      </c>
      <c r="D668" s="14">
        <f t="shared" si="25"/>
        <v>0.3015185616576318</v>
      </c>
    </row>
    <row r="669" spans="1:4" s="73" customFormat="1" x14ac:dyDescent="0.35">
      <c r="A669" s="60">
        <v>44682</v>
      </c>
      <c r="B669" s="67">
        <f>VLOOKUP(Table4[[#This Row],[Date]],Database!A:E,3,)</f>
        <v>308.839</v>
      </c>
      <c r="C669" s="14">
        <f t="shared" si="24"/>
        <v>3.904680839610674E-2</v>
      </c>
      <c r="D669" s="14">
        <f t="shared" si="25"/>
        <v>0.34351427303653309</v>
      </c>
    </row>
    <row r="670" spans="1:4" s="73" customFormat="1" x14ac:dyDescent="0.35">
      <c r="A670" s="60">
        <v>44713</v>
      </c>
      <c r="B670" s="67">
        <f>VLOOKUP(Table4[[#This Row],[Date]],Database!A:E,3,)</f>
        <v>332.08699999999999</v>
      </c>
      <c r="C670" s="14">
        <f t="shared" si="24"/>
        <v>7.5275467152788322E-2</v>
      </c>
      <c r="D670" s="14">
        <f t="shared" si="25"/>
        <v>0.41539477890250392</v>
      </c>
    </row>
    <row r="671" spans="1:4" s="73" customFormat="1" x14ac:dyDescent="0.35">
      <c r="A671" s="60">
        <v>44743</v>
      </c>
      <c r="B671" s="67">
        <f>VLOOKUP(Table4[[#This Row],[Date]],Database!A:E,3,)</f>
        <v>316.95499999999998</v>
      </c>
      <c r="C671" s="14">
        <f t="shared" si="24"/>
        <v>-4.5566372667403439E-2</v>
      </c>
      <c r="D671" s="14">
        <f t="shared" si="25"/>
        <v>0.3292471702307011</v>
      </c>
    </row>
    <row r="672" spans="1:4" s="73" customFormat="1" x14ac:dyDescent="0.35">
      <c r="A672" s="60">
        <v>44774</v>
      </c>
      <c r="B672" s="67">
        <f>VLOOKUP(Table4[[#This Row],[Date]],Database!A:E,3,)</f>
        <v>301.04500000000002</v>
      </c>
      <c r="C672" s="14">
        <f t="shared" si="24"/>
        <v>-5.0196400119890738E-2</v>
      </c>
      <c r="D672" s="14">
        <f t="shared" si="25"/>
        <v>0.23908247516031586</v>
      </c>
    </row>
    <row r="673" spans="1:4" s="73" customFormat="1" x14ac:dyDescent="0.35">
      <c r="A673" s="60">
        <v>44805</v>
      </c>
      <c r="B673" s="67">
        <f>VLOOKUP(Table4[[#This Row],[Date]],Database!A:E,3,)</f>
        <v>294.70499999999998</v>
      </c>
      <c r="C673" s="14">
        <f t="shared" si="24"/>
        <v>-2.1059974422428646E-2</v>
      </c>
      <c r="D673" s="14">
        <f t="shared" si="25"/>
        <v>0.1987333585522702</v>
      </c>
    </row>
    <row r="674" spans="1:4" s="73" customFormat="1" x14ac:dyDescent="0.35">
      <c r="A674" s="60">
        <v>44835</v>
      </c>
      <c r="B674" s="67">
        <f>VLOOKUP(Table4[[#This Row],[Date]],Database!A:E,3,)</f>
        <v>300.01299999999998</v>
      </c>
      <c r="C674" s="14">
        <f t="shared" ref="C674:C705" si="26">(B674-B673)/B673</f>
        <v>1.8011231570553579E-2</v>
      </c>
      <c r="D674" s="14">
        <f t="shared" si="25"/>
        <v>0.17647543233598678</v>
      </c>
    </row>
    <row r="675" spans="1:4" s="73" customFormat="1" x14ac:dyDescent="0.35">
      <c r="A675" s="60">
        <v>44866</v>
      </c>
      <c r="B675" s="67">
        <f>VLOOKUP(Table4[[#This Row],[Date]],Database!A:E,3,)</f>
        <v>295.27499999999998</v>
      </c>
      <c r="C675" s="14">
        <f t="shared" si="26"/>
        <v>-1.5792648985210642E-2</v>
      </c>
      <c r="D675" s="14">
        <f t="shared" si="25"/>
        <v>0.13020895133910276</v>
      </c>
    </row>
    <row r="676" spans="1:4" s="73" customFormat="1" x14ac:dyDescent="0.35">
      <c r="A676" s="60">
        <v>44896</v>
      </c>
      <c r="B676" s="67">
        <f>VLOOKUP(Table4[[#This Row],[Date]],Database!A:E,3,)</f>
        <v>282.06599999999997</v>
      </c>
      <c r="C676" s="14">
        <f t="shared" si="26"/>
        <v>-4.4734569469138952E-2</v>
      </c>
      <c r="D676" s="14">
        <f t="shared" si="25"/>
        <v>7.0243935754857573E-2</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3"/>
  <sheetViews>
    <sheetView zoomScale="110" zoomScaleNormal="110" workbookViewId="0">
      <pane ySplit="4" topLeftCell="A641" activePane="bottomLeft" state="frozen"/>
      <selection activeCell="N27" sqref="N27"/>
      <selection pane="bottomLeft" activeCell="S668" sqref="S668"/>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255.072</v>
      </c>
      <c r="C617" s="14">
        <f t="shared" si="20"/>
        <v>2.8622652785204629E-3</v>
      </c>
      <c r="D617" s="14">
        <f t="shared" si="19"/>
        <v>1.8385655595347848E-2</v>
      </c>
      <c r="E617" s="15">
        <f>VLOOKUP(Table5[[#This Row],[Date]],'Fed Fund New'!$A:$C,2,FALSE)</f>
        <v>1.5</v>
      </c>
      <c r="F617" s="27">
        <v>0.02</v>
      </c>
    </row>
    <row r="618" spans="1:6" x14ac:dyDescent="0.35">
      <c r="A618" s="60">
        <v>43132</v>
      </c>
      <c r="B618" s="67">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35">
      <c r="A619" s="60">
        <v>43160</v>
      </c>
      <c r="B619" s="67">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35">
      <c r="A620" s="60">
        <v>43191</v>
      </c>
      <c r="B620" s="67">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35">
      <c r="A621" s="60">
        <v>43221</v>
      </c>
      <c r="B621" s="67">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35">
      <c r="A622" s="60">
        <v>43252</v>
      </c>
      <c r="B622" s="67">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35">
      <c r="A623" s="60">
        <v>43282</v>
      </c>
      <c r="B623" s="67">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35">
      <c r="A624" s="60">
        <v>43313</v>
      </c>
      <c r="B624" s="67">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35">
      <c r="A625" s="60">
        <v>43344</v>
      </c>
      <c r="B625" s="67">
        <f>VLOOKUP(Table5[[#This Row],[Date]],Database!A:E,5,)</f>
        <v>258.505</v>
      </c>
      <c r="C625" s="14">
        <f t="shared" si="20"/>
        <v>1.8486365820762686E-3</v>
      </c>
      <c r="D625" s="14">
        <f t="shared" si="19"/>
        <v>2.2518709554926124E-2</v>
      </c>
      <c r="E625" s="15">
        <f>VLOOKUP(Table5[[#This Row],[Date]],'Fed Fund New'!$A:$C,2,FALSE)</f>
        <v>2.25</v>
      </c>
      <c r="F625" s="27">
        <v>0.02</v>
      </c>
    </row>
    <row r="626" spans="1:22" x14ac:dyDescent="0.35">
      <c r="A626" s="60">
        <v>43374</v>
      </c>
      <c r="B626" s="67">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35">
      <c r="A627" s="60">
        <v>43405</v>
      </c>
      <c r="B627" s="67">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35">
      <c r="A628" s="60">
        <v>43435</v>
      </c>
      <c r="B628" s="67">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35">
      <c r="A629" s="60">
        <v>43466</v>
      </c>
      <c r="B629" s="67">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35">
      <c r="A630" s="60">
        <v>43497</v>
      </c>
      <c r="B630" s="67">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35">
      <c r="A631" s="60">
        <v>43525</v>
      </c>
      <c r="B631" s="67">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35">
      <c r="A632" s="60">
        <v>43556</v>
      </c>
      <c r="B632" s="67">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35">
      <c r="A633" s="60">
        <v>43586</v>
      </c>
      <c r="B633" s="67">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35">
      <c r="A634" s="60">
        <v>43617</v>
      </c>
      <c r="B634" s="67">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35">
      <c r="A635" s="60">
        <v>43647</v>
      </c>
      <c r="B635" s="67">
        <f>VLOOKUP(Table5[[#This Row],[Date]],Database!A:E,5,)</f>
        <v>263.49099999999999</v>
      </c>
      <c r="C635" s="14">
        <f t="shared" si="20"/>
        <v>2.0764798722165941E-3</v>
      </c>
      <c r="D635" s="14">
        <f t="shared" si="19"/>
        <v>2.1884986503676478E-2</v>
      </c>
      <c r="E635" s="15">
        <f>VLOOKUP(Table5[[#This Row],[Date]],'Fed Fund New'!$A:$C,2,FALSE)</f>
        <v>2.5</v>
      </c>
      <c r="F635" s="27">
        <v>0.02</v>
      </c>
    </row>
    <row r="636" spans="1:22" s="73" customFormat="1" x14ac:dyDescent="0.35">
      <c r="A636" s="60">
        <v>43678</v>
      </c>
      <c r="B636" s="67">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3" customFormat="1" x14ac:dyDescent="0.35">
      <c r="A637" s="60">
        <v>43709</v>
      </c>
      <c r="B637" s="67">
        <f>VLOOKUP(Table5[[#This Row],[Date]],Database!A:E,5,)</f>
        <v>264.58800000000002</v>
      </c>
      <c r="C637" s="14">
        <f t="shared" si="20"/>
        <v>1.7150320858653014E-3</v>
      </c>
      <c r="D637" s="14">
        <f t="shared" si="19"/>
        <v>2.3531459739656976E-2</v>
      </c>
      <c r="E637" s="15">
        <f>VLOOKUP(Table5[[#This Row],[Date]],'Fed Fund New'!$A:$C,2,FALSE)</f>
        <v>2</v>
      </c>
      <c r="F637" s="27">
        <v>0.02</v>
      </c>
    </row>
    <row r="638" spans="1:22" s="73" customFormat="1" x14ac:dyDescent="0.35">
      <c r="A638" s="60">
        <v>43739</v>
      </c>
      <c r="B638" s="67">
        <f>VLOOKUP(Table5[[#This Row],[Date]],Database!A:E,5,)</f>
        <v>265.01900000000001</v>
      </c>
      <c r="C638" s="14">
        <f t="shared" si="20"/>
        <v>1.6289476469075813E-3</v>
      </c>
      <c r="D638" s="14">
        <f t="shared" si="19"/>
        <v>2.3251234570284562E-2</v>
      </c>
      <c r="E638" s="15">
        <f>VLOOKUP(Table5[[#This Row],[Date]],'Fed Fund New'!$A:$C,2,FALSE)</f>
        <v>1.75</v>
      </c>
      <c r="F638" s="27">
        <v>0.02</v>
      </c>
    </row>
    <row r="639" spans="1:22" s="73" customFormat="1" x14ac:dyDescent="0.35">
      <c r="A639" s="60">
        <v>43770</v>
      </c>
      <c r="B639" s="67">
        <f>VLOOKUP(Table5[[#This Row],[Date]],Database!A:E,5,)</f>
        <v>265.46100000000001</v>
      </c>
      <c r="C639" s="14">
        <f t="shared" si="20"/>
        <v>1.6678049498338129E-3</v>
      </c>
      <c r="D639" s="14">
        <f t="shared" si="19"/>
        <v>2.3148522865236859E-2</v>
      </c>
      <c r="E639" s="15">
        <f>VLOOKUP(Table5[[#This Row],[Date]],'Fed Fund New'!$A:$C,2,FALSE)</f>
        <v>1.75</v>
      </c>
      <c r="F639" s="27">
        <v>0.02</v>
      </c>
    </row>
    <row r="640" spans="1:22" s="73" customFormat="1" x14ac:dyDescent="0.35">
      <c r="A640" s="60">
        <v>43800</v>
      </c>
      <c r="B640" s="67">
        <f>VLOOKUP(Table5[[#This Row],[Date]],Database!A:E,5,)</f>
        <v>265.74200000000002</v>
      </c>
      <c r="C640" s="14">
        <f t="shared" si="20"/>
        <v>1.0585359054625949E-3</v>
      </c>
      <c r="D640" s="14">
        <f t="shared" si="19"/>
        <v>2.2344133510814254E-2</v>
      </c>
      <c r="E640" s="15">
        <f>VLOOKUP(Table5[[#This Row],[Date]],'Fed Fund New'!$A:$C,2,FALSE)</f>
        <v>1.75</v>
      </c>
      <c r="F640" s="27">
        <v>0.02</v>
      </c>
    </row>
    <row r="641" spans="1:6" s="73" customFormat="1" x14ac:dyDescent="0.35">
      <c r="A641" s="60">
        <v>43831</v>
      </c>
      <c r="B641" s="67">
        <f>VLOOKUP(Table5[[#This Row],[Date]],Database!A:E,5,)</f>
        <v>266.41800000000001</v>
      </c>
      <c r="C641" s="14">
        <f t="shared" si="20"/>
        <v>2.5438206982712091E-3</v>
      </c>
      <c r="D641" s="14">
        <f t="shared" si="19"/>
        <v>2.2584384379773906E-2</v>
      </c>
      <c r="E641" s="15">
        <f>VLOOKUP(Table5[[#This Row],[Date]],'Fed Fund New'!$A:$C,2,FALSE)</f>
        <v>1.75</v>
      </c>
      <c r="F641" s="27">
        <v>0.02</v>
      </c>
    </row>
    <row r="642" spans="1:6" s="73" customFormat="1" x14ac:dyDescent="0.35">
      <c r="A642" s="60">
        <v>43862</v>
      </c>
      <c r="B642" s="67">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3" customFormat="1" x14ac:dyDescent="0.35">
      <c r="A643" s="60">
        <v>43891</v>
      </c>
      <c r="B643" s="67">
        <f>VLOOKUP(Table5[[#This Row],[Date]],Database!A:E,5,)</f>
        <v>266.916</v>
      </c>
      <c r="C643" s="14">
        <f t="shared" si="21"/>
        <v>-6.2527379129345554E-4</v>
      </c>
      <c r="D643" s="14">
        <f t="shared" si="19"/>
        <v>2.1172077648805167E-2</v>
      </c>
      <c r="E643" s="15">
        <f>VLOOKUP(Table5[[#This Row],[Date]],'Fed Fund New'!$A:$C,2,FALSE)</f>
        <v>0.25</v>
      </c>
      <c r="F643" s="27">
        <v>0.02</v>
      </c>
    </row>
    <row r="644" spans="1:6" s="73" customFormat="1" x14ac:dyDescent="0.35">
      <c r="A644" s="60">
        <v>43922</v>
      </c>
      <c r="B644" s="67">
        <f>VLOOKUP(Table5[[#This Row],[Date]],Database!A:E,5,)</f>
        <v>265.77100000000002</v>
      </c>
      <c r="C644" s="14">
        <f t="shared" si="21"/>
        <v>-4.2897390939470913E-3</v>
      </c>
      <c r="D644" s="14">
        <f t="shared" si="19"/>
        <v>1.4555768481970346E-2</v>
      </c>
      <c r="E644" s="15">
        <f>VLOOKUP(Table5[[#This Row],[Date]],'Fed Fund New'!$A:$C,2,FALSE)</f>
        <v>0.25</v>
      </c>
      <c r="F644" s="27">
        <v>0.02</v>
      </c>
    </row>
    <row r="645" spans="1:6" s="73" customFormat="1" x14ac:dyDescent="0.35">
      <c r="A645" s="60">
        <v>43952</v>
      </c>
      <c r="B645" s="67">
        <f>VLOOKUP(Table5[[#This Row],[Date]],Database!A:E,5,)</f>
        <v>265.60599999999999</v>
      </c>
      <c r="C645" s="14">
        <f t="shared" si="21"/>
        <v>-6.2083523032994742E-4</v>
      </c>
      <c r="D645" s="14">
        <f t="shared" si="19"/>
        <v>1.2522825088345835E-2</v>
      </c>
      <c r="E645" s="15">
        <f>VLOOKUP(Table5[[#This Row],[Date]],'Fed Fund New'!$A:$C,2,FALSE)</f>
        <v>0.25</v>
      </c>
      <c r="F645" s="27">
        <v>0.02</v>
      </c>
    </row>
    <row r="646" spans="1:6" s="73" customFormat="1" x14ac:dyDescent="0.35">
      <c r="A646" s="60">
        <v>43983</v>
      </c>
      <c r="B646" s="67">
        <f>VLOOKUP(Table5[[#This Row],[Date]],Database!A:E,5,)</f>
        <v>266.08800000000002</v>
      </c>
      <c r="C646" s="14">
        <f t="shared" si="21"/>
        <v>1.8147180410082143E-3</v>
      </c>
      <c r="D646" s="14">
        <f t="shared" si="19"/>
        <v>1.195307003365734E-2</v>
      </c>
      <c r="E646" s="15">
        <f>VLOOKUP(Table5[[#This Row],[Date]],'Fed Fund New'!$A:$C,2,FALSE)</f>
        <v>0.25</v>
      </c>
      <c r="F646" s="27">
        <v>0.02</v>
      </c>
    </row>
    <row r="647" spans="1:6" s="73" customFormat="1" x14ac:dyDescent="0.35">
      <c r="A647" s="60">
        <v>44013</v>
      </c>
      <c r="B647" s="67">
        <f>VLOOKUP(Table5[[#This Row],[Date]],Database!A:E,5,)</f>
        <v>267.55200000000002</v>
      </c>
      <c r="C647" s="14">
        <f t="shared" si="21"/>
        <v>5.5019392080815311E-3</v>
      </c>
      <c r="D647" s="14">
        <f t="shared" si="19"/>
        <v>1.5412291121898037E-2</v>
      </c>
      <c r="E647" s="15">
        <f>VLOOKUP(Table5[[#This Row],[Date]],'Fed Fund New'!$A:$C,2,FALSE)</f>
        <v>0.25</v>
      </c>
      <c r="F647" s="27">
        <v>0.02</v>
      </c>
    </row>
    <row r="648" spans="1:6" s="73" customFormat="1" x14ac:dyDescent="0.35">
      <c r="A648" s="60">
        <v>44044</v>
      </c>
      <c r="B648" s="67">
        <f>VLOOKUP(Table5[[#This Row],[Date]],Database!A:E,5,)</f>
        <v>268.66199999999998</v>
      </c>
      <c r="C648" s="14">
        <f t="shared" si="21"/>
        <v>4.1487262289198242E-3</v>
      </c>
      <c r="D648" s="14">
        <f t="shared" si="19"/>
        <v>1.7138963030268562E-2</v>
      </c>
      <c r="E648" s="15">
        <f>VLOOKUP(Table5[[#This Row],[Date]],'Fed Fund New'!$A:$C,2,FALSE)</f>
        <v>0.25</v>
      </c>
      <c r="F648" s="27">
        <v>0.02</v>
      </c>
    </row>
    <row r="649" spans="1:6" s="73" customFormat="1" x14ac:dyDescent="0.35">
      <c r="A649" s="60">
        <v>44075</v>
      </c>
      <c r="B649" s="67">
        <f>VLOOKUP(Table5[[#This Row],[Date]],Database!A:E,5,)</f>
        <v>269.15199999999999</v>
      </c>
      <c r="C649" s="14">
        <f t="shared" si="21"/>
        <v>1.823853019779534E-3</v>
      </c>
      <c r="D649" s="14">
        <f t="shared" si="19"/>
        <v>1.7249459537091495E-2</v>
      </c>
      <c r="E649" s="15">
        <f>VLOOKUP(Table5[[#This Row],[Date]],'Fed Fund New'!$A:$C,2,FALSE)</f>
        <v>0.25</v>
      </c>
      <c r="F649" s="27">
        <v>0.02</v>
      </c>
    </row>
    <row r="650" spans="1:6" s="73" customFormat="1" x14ac:dyDescent="0.35">
      <c r="A650" s="60">
        <v>44105</v>
      </c>
      <c r="B650" s="67">
        <f>VLOOKUP(Table5[[#This Row],[Date]],Database!A:E,5,)</f>
        <v>269.33199999999999</v>
      </c>
      <c r="C650" s="14">
        <f t="shared" si="21"/>
        <v>6.6876709071456587E-4</v>
      </c>
      <c r="D650" s="14">
        <f t="shared" si="19"/>
        <v>1.6274304861160854E-2</v>
      </c>
      <c r="E650" s="15">
        <f>VLOOKUP(Table5[[#This Row],[Date]],'Fed Fund New'!$A:$C,2,FALSE)</f>
        <v>0.25</v>
      </c>
      <c r="F650" s="27">
        <v>0.02</v>
      </c>
    </row>
    <row r="651" spans="1:6" s="73" customFormat="1" x14ac:dyDescent="0.35">
      <c r="A651" s="60">
        <v>44136</v>
      </c>
      <c r="B651" s="67">
        <f>VLOOKUP(Table5[[#This Row],[Date]],Database!A:E,5,)</f>
        <v>269.81599999999997</v>
      </c>
      <c r="C651" s="14">
        <f t="shared" si="21"/>
        <v>1.7970385992009136E-3</v>
      </c>
      <c r="D651" s="14">
        <f t="shared" si="19"/>
        <v>1.6405423018823712E-2</v>
      </c>
      <c r="E651" s="15">
        <f>VLOOKUP(Table5[[#This Row],[Date]],'Fed Fund New'!$A:$C,2,FALSE)</f>
        <v>0.25</v>
      </c>
      <c r="F651" s="27">
        <v>0.02</v>
      </c>
    </row>
    <row r="652" spans="1:6" s="73" customFormat="1" x14ac:dyDescent="0.35">
      <c r="A652" s="60">
        <v>44166</v>
      </c>
      <c r="B652" s="67">
        <f>VLOOKUP(Table5[[#This Row],[Date]],Database!A:E,5,)</f>
        <v>269.98399999999998</v>
      </c>
      <c r="C652" s="14">
        <f t="shared" si="21"/>
        <v>6.2264654431170273E-4</v>
      </c>
      <c r="D652" s="14">
        <f t="shared" si="19"/>
        <v>1.5962851186489005E-2</v>
      </c>
      <c r="E652" s="15">
        <f>VLOOKUP(Table5[[#This Row],[Date]],'Fed Fund New'!$A:$C,2,FALSE)</f>
        <v>0.25</v>
      </c>
      <c r="F652" s="27">
        <v>0.02</v>
      </c>
    </row>
    <row r="653" spans="1:6" s="73" customFormat="1" x14ac:dyDescent="0.35">
      <c r="A653" s="60">
        <v>44197</v>
      </c>
      <c r="B653" s="67">
        <f>VLOOKUP(Table5[[#This Row],[Date]],Database!A:E,5,)</f>
        <v>270.11399999999998</v>
      </c>
      <c r="C653" s="14">
        <f t="shared" si="21"/>
        <v>4.8151001540830369E-4</v>
      </c>
      <c r="D653" s="14">
        <f t="shared" si="19"/>
        <v>1.3872936513298536E-2</v>
      </c>
      <c r="E653" s="15">
        <f>VLOOKUP(Table5[[#This Row],[Date]],'Fed Fund New'!$A:$C,2,FALSE)</f>
        <v>0.25</v>
      </c>
      <c r="F653" s="27">
        <v>0.02</v>
      </c>
    </row>
    <row r="654" spans="1:6" s="73" customFormat="1" x14ac:dyDescent="0.35">
      <c r="A654" s="60">
        <v>44228</v>
      </c>
      <c r="B654" s="67">
        <f>VLOOKUP(Table5[[#This Row],[Date]],Database!A:E,5,)</f>
        <v>270.52199999999999</v>
      </c>
      <c r="C654" s="14">
        <f t="shared" si="21"/>
        <v>1.5104733556943197E-3</v>
      </c>
      <c r="D654" s="14">
        <f t="shared" si="19"/>
        <v>1.2876147115316079E-2</v>
      </c>
      <c r="E654" s="15">
        <f>VLOOKUP(Table5[[#This Row],[Date]],'Fed Fund New'!$A:$C,2,FALSE)</f>
        <v>0.25</v>
      </c>
      <c r="F654" s="27">
        <v>0.02</v>
      </c>
    </row>
    <row r="655" spans="1:6" s="73" customFormat="1" x14ac:dyDescent="0.35">
      <c r="A655" s="60">
        <v>44256</v>
      </c>
      <c r="B655" s="67">
        <f>VLOOKUP(Table5[[#This Row],[Date]],Database!A:E,5,)</f>
        <v>271.34699999999998</v>
      </c>
      <c r="C655" s="14">
        <f t="shared" si="21"/>
        <v>3.0496595470977913E-3</v>
      </c>
      <c r="D655" s="14">
        <f t="shared" si="19"/>
        <v>1.6600728319021651E-2</v>
      </c>
      <c r="E655" s="15">
        <f>VLOOKUP(Table5[[#This Row],[Date]],'Fed Fund New'!$A:$C,2,FALSE)</f>
        <v>0.25</v>
      </c>
      <c r="F655" s="27">
        <v>0.02</v>
      </c>
    </row>
    <row r="656" spans="1:6" s="73" customFormat="1" x14ac:dyDescent="0.35">
      <c r="A656" s="60">
        <v>44287</v>
      </c>
      <c r="B656" s="67">
        <f>VLOOKUP(Table5[[#This Row],[Date]],Database!A:E,5,)</f>
        <v>273.66899999999998</v>
      </c>
      <c r="C656" s="14">
        <f t="shared" si="21"/>
        <v>8.5573085385134279E-3</v>
      </c>
      <c r="D656" s="14">
        <f t="shared" si="19"/>
        <v>2.971731302512301E-2</v>
      </c>
      <c r="E656" s="15">
        <f>VLOOKUP(Table5[[#This Row],[Date]],'Fed Fund New'!$A:$C,2,FALSE)</f>
        <v>0.25</v>
      </c>
      <c r="F656" s="27">
        <v>0.02</v>
      </c>
    </row>
    <row r="657" spans="1:6" s="73" customFormat="1" x14ac:dyDescent="0.35">
      <c r="A657" s="60">
        <v>44317</v>
      </c>
      <c r="B657" s="67">
        <f>VLOOKUP(Table5[[#This Row],[Date]],Database!A:E,5,)</f>
        <v>275.71499999999997</v>
      </c>
      <c r="C657" s="14">
        <f t="shared" si="21"/>
        <v>7.4761847341130797E-3</v>
      </c>
      <c r="D657" s="14">
        <f t="shared" ref="D657:D720" si="22">(B657-B645)/B645</f>
        <v>3.8060134183715656E-2</v>
      </c>
      <c r="E657" s="15">
        <f>VLOOKUP(Table5[[#This Row],[Date]],'Fed Fund New'!$A:$C,2,FALSE)</f>
        <v>0.25</v>
      </c>
      <c r="F657" s="27">
        <v>0.02</v>
      </c>
    </row>
    <row r="658" spans="1:6" s="73" customFormat="1" x14ac:dyDescent="0.35">
      <c r="A658" s="60">
        <v>44348</v>
      </c>
      <c r="B658" s="67">
        <f>VLOOKUP(Table5[[#This Row],[Date]],Database!A:E,5,)</f>
        <v>277.92200000000003</v>
      </c>
      <c r="C658" s="14">
        <f t="shared" si="21"/>
        <v>8.0046424750196792E-3</v>
      </c>
      <c r="D658" s="14">
        <f t="shared" si="22"/>
        <v>4.4474008598659097E-2</v>
      </c>
      <c r="E658" s="15">
        <f>VLOOKUP(Table5[[#This Row],[Date]],'Fed Fund New'!$A:$C,2,FALSE)</f>
        <v>0.25</v>
      </c>
      <c r="F658" s="27">
        <v>0.02</v>
      </c>
    </row>
    <row r="659" spans="1:6" s="73" customFormat="1" x14ac:dyDescent="0.35">
      <c r="A659" s="60">
        <v>44378</v>
      </c>
      <c r="B659" s="67">
        <f>VLOOKUP(Table5[[#This Row],[Date]],Database!A:E,5,)</f>
        <v>278.79399999999998</v>
      </c>
      <c r="C659" s="14">
        <f t="shared" si="21"/>
        <v>3.1375709731505858E-3</v>
      </c>
      <c r="D659" s="14">
        <f t="shared" si="22"/>
        <v>4.201800023920569E-2</v>
      </c>
      <c r="E659" s="15">
        <f>VLOOKUP(Table5[[#This Row],[Date]],'Fed Fund New'!$A:$C,2,FALSE)</f>
        <v>0.25</v>
      </c>
      <c r="F659" s="27">
        <v>0.02</v>
      </c>
    </row>
    <row r="660" spans="1:6" s="73" customFormat="1" x14ac:dyDescent="0.35">
      <c r="A660" s="60">
        <v>44409</v>
      </c>
      <c r="B660" s="67">
        <f>VLOOKUP(Table5[[#This Row],[Date]],Database!A:E,5,)</f>
        <v>279.30599999999998</v>
      </c>
      <c r="C660" s="14">
        <f t="shared" si="21"/>
        <v>1.8364814163862942E-3</v>
      </c>
      <c r="D660" s="14">
        <f t="shared" si="22"/>
        <v>3.9618554168434711E-2</v>
      </c>
      <c r="E660" s="15">
        <f>VLOOKUP(Table5[[#This Row],[Date]],'Fed Fund New'!$A:$C,2,FALSE)</f>
        <v>0.25</v>
      </c>
      <c r="F660" s="27">
        <v>0.02</v>
      </c>
    </row>
    <row r="661" spans="1:6" s="73" customFormat="1" x14ac:dyDescent="0.35">
      <c r="A661" s="60">
        <v>44440</v>
      </c>
      <c r="B661" s="67">
        <f>VLOOKUP(Table5[[#This Row],[Date]],Database!A:E,5,)</f>
        <v>280.017</v>
      </c>
      <c r="C661" s="14">
        <f t="shared" si="21"/>
        <v>2.5455951537024365E-3</v>
      </c>
      <c r="D661" s="14">
        <f t="shared" si="22"/>
        <v>4.0367524670074935E-2</v>
      </c>
      <c r="E661" s="15">
        <f>VLOOKUP(Table5[[#This Row],[Date]],'Fed Fund New'!$A:$C,2,FALSE)</f>
        <v>0.25</v>
      </c>
      <c r="F661" s="27">
        <v>0.02</v>
      </c>
    </row>
    <row r="662" spans="1:6" s="73" customFormat="1" x14ac:dyDescent="0.35">
      <c r="A662" s="60">
        <v>44470</v>
      </c>
      <c r="B662" s="67">
        <f>VLOOKUP(Table5[[#This Row],[Date]],Database!A:E,5,)</f>
        <v>281.70499999999998</v>
      </c>
      <c r="C662" s="14">
        <f t="shared" si="21"/>
        <v>6.0282054303845414E-3</v>
      </c>
      <c r="D662" s="14">
        <f t="shared" si="22"/>
        <v>4.5939583859326005E-2</v>
      </c>
      <c r="E662" s="15">
        <f>VLOOKUP(Table5[[#This Row],[Date]],'Fed Fund New'!$A:$C,2,FALSE)</f>
        <v>0.25</v>
      </c>
      <c r="F662" s="27">
        <v>0.02</v>
      </c>
    </row>
    <row r="663" spans="1:6" s="73" customFormat="1" x14ac:dyDescent="0.35">
      <c r="A663" s="60">
        <v>44501</v>
      </c>
      <c r="B663" s="67">
        <f>VLOOKUP(Table5[[#This Row],[Date]],Database!A:E,5,)</f>
        <v>283.17899999999997</v>
      </c>
      <c r="C663" s="14">
        <f t="shared" si="21"/>
        <v>5.2324239896345097E-3</v>
      </c>
      <c r="D663" s="14">
        <f t="shared" si="22"/>
        <v>4.9526343878791478E-2</v>
      </c>
      <c r="E663" s="15">
        <f>VLOOKUP(Table5[[#This Row],[Date]],'Fed Fund New'!$A:$C,2,FALSE)</f>
        <v>0.25</v>
      </c>
      <c r="F663" s="27">
        <v>0.02</v>
      </c>
    </row>
    <row r="664" spans="1:6" s="73" customFormat="1" x14ac:dyDescent="0.35">
      <c r="A664" s="60">
        <v>44531</v>
      </c>
      <c r="B664" s="67">
        <f>VLOOKUP(Table5[[#This Row],[Date]],Database!A:E,5,)</f>
        <v>284.77</v>
      </c>
      <c r="C664" s="14">
        <f t="shared" si="21"/>
        <v>5.6183544683751563E-3</v>
      </c>
      <c r="D664" s="14">
        <f t="shared" si="22"/>
        <v>5.4766208367903295E-2</v>
      </c>
      <c r="E664" s="15">
        <f>VLOOKUP(Table5[[#This Row],[Date]],'Fed Fund New'!$A:$C,2,FALSE)</f>
        <v>0.25</v>
      </c>
      <c r="F664" s="27">
        <v>0.02</v>
      </c>
    </row>
    <row r="665" spans="1:6" s="73" customFormat="1" x14ac:dyDescent="0.35">
      <c r="A665" s="60">
        <v>44562</v>
      </c>
      <c r="B665" s="67">
        <f>VLOOKUP(Table5[[#This Row],[Date]],Database!A:E,5,)</f>
        <v>286.43099999999998</v>
      </c>
      <c r="C665" s="14">
        <f t="shared" si="21"/>
        <v>5.8327773290725903E-3</v>
      </c>
      <c r="D665" s="14">
        <f t="shared" si="22"/>
        <v>6.0407827806037484E-2</v>
      </c>
      <c r="E665" s="15">
        <f>VLOOKUP(Table5[[#This Row],[Date]],'Fed Fund New'!$A:$C,2,FALSE)</f>
        <v>0.25</v>
      </c>
      <c r="F665" s="27">
        <v>0.02</v>
      </c>
    </row>
    <row r="666" spans="1:6" s="73" customFormat="1" x14ac:dyDescent="0.35">
      <c r="A666" s="60">
        <v>44593</v>
      </c>
      <c r="B666" s="67">
        <f>VLOOKUP(Table5[[#This Row],[Date]],Database!A:E,5,)</f>
        <v>287.87799999999999</v>
      </c>
      <c r="C666" s="14">
        <f t="shared" si="21"/>
        <v>5.0518274907394899E-3</v>
      </c>
      <c r="D666" s="14">
        <f t="shared" si="22"/>
        <v>6.4157443756884813E-2</v>
      </c>
      <c r="E666" s="15">
        <f>VLOOKUP(Table5[[#This Row],[Date]],'Fed Fund New'!$A:$C,2,FALSE)</f>
        <v>0.25</v>
      </c>
      <c r="F666" s="27">
        <v>0.02</v>
      </c>
    </row>
    <row r="667" spans="1:6" s="73" customFormat="1" x14ac:dyDescent="0.35">
      <c r="A667" s="60">
        <v>44621</v>
      </c>
      <c r="B667" s="67">
        <f>VLOOKUP(Table5[[#This Row],[Date]],Database!A:E,5,)</f>
        <v>288.81099999999998</v>
      </c>
      <c r="C667" s="14">
        <f t="shared" si="21"/>
        <v>3.2409562384065221E-3</v>
      </c>
      <c r="D667" s="14">
        <f t="shared" si="22"/>
        <v>6.4360394623858008E-2</v>
      </c>
      <c r="E667" s="15">
        <f>VLOOKUP(Table5[[#This Row],[Date]],'Fed Fund New'!$A:$C,2,FALSE)</f>
        <v>0.5</v>
      </c>
      <c r="F667" s="27">
        <v>0.02</v>
      </c>
    </row>
    <row r="668" spans="1:6" s="73" customFormat="1" x14ac:dyDescent="0.35">
      <c r="A668" s="60">
        <v>44652</v>
      </c>
      <c r="B668" s="67">
        <f>VLOOKUP(Table5[[#This Row],[Date]],Database!A:E,5,)</f>
        <v>290.45499999999998</v>
      </c>
      <c r="C668" s="14">
        <f t="shared" si="21"/>
        <v>5.6923039634917145E-3</v>
      </c>
      <c r="D668" s="14">
        <f t="shared" si="22"/>
        <v>6.1336870452992492E-2</v>
      </c>
      <c r="E668" s="15">
        <f>VLOOKUP(Table5[[#This Row],[Date]],'Fed Fund New'!$A:$C,2,FALSE)</f>
        <v>0.5</v>
      </c>
      <c r="F668" s="27">
        <v>0.02</v>
      </c>
    </row>
    <row r="669" spans="1:6" s="73" customFormat="1" x14ac:dyDescent="0.35">
      <c r="A669" s="60">
        <v>44682</v>
      </c>
      <c r="B669" s="67">
        <f>VLOOKUP(Table5[[#This Row],[Date]],Database!A:E,5,)</f>
        <v>292.28899999999999</v>
      </c>
      <c r="C669" s="14">
        <f t="shared" si="21"/>
        <v>6.3142311201391035E-3</v>
      </c>
      <c r="D669" s="14">
        <f t="shared" si="22"/>
        <v>6.0112797635239336E-2</v>
      </c>
      <c r="E669" s="15">
        <f>VLOOKUP(Table5[[#This Row],[Date]],'Fed Fund New'!$A:$C,2,FALSE)</f>
        <v>1</v>
      </c>
      <c r="F669" s="27">
        <v>0.02</v>
      </c>
    </row>
    <row r="670" spans="1:6" s="73" customFormat="1" x14ac:dyDescent="0.35">
      <c r="A670" s="60">
        <v>44713</v>
      </c>
      <c r="B670" s="67">
        <f>VLOOKUP(Table5[[#This Row],[Date]],Database!A:E,5,)</f>
        <v>294.35399999999998</v>
      </c>
      <c r="C670" s="14">
        <f t="shared" si="21"/>
        <v>7.064925467602263E-3</v>
      </c>
      <c r="D670" s="14">
        <f t="shared" si="22"/>
        <v>5.9124502558271591E-2</v>
      </c>
      <c r="E670" s="15">
        <f>VLOOKUP(Table5[[#This Row],[Date]],'Fed Fund New'!$A:$C,2,FALSE)</f>
        <v>1.75</v>
      </c>
      <c r="F670" s="27">
        <v>0.02</v>
      </c>
    </row>
    <row r="671" spans="1:6" s="73" customFormat="1" x14ac:dyDescent="0.35">
      <c r="A671" s="60">
        <v>44743</v>
      </c>
      <c r="B671" s="67">
        <f>VLOOKUP(Table5[[#This Row],[Date]],Database!A:E,5,)</f>
        <v>295.27499999999998</v>
      </c>
      <c r="C671" s="14">
        <f t="shared" si="21"/>
        <v>3.128885627509707E-3</v>
      </c>
      <c r="D671" s="14">
        <f t="shared" si="22"/>
        <v>5.9115332467700149E-2</v>
      </c>
      <c r="E671" s="15">
        <f>VLOOKUP(Table5[[#This Row],[Date]],'Fed Fund New'!$A:$C,2,FALSE)</f>
        <v>2.5</v>
      </c>
      <c r="F671" s="27">
        <v>0.02</v>
      </c>
    </row>
    <row r="672" spans="1:6" s="73" customFormat="1" x14ac:dyDescent="0.35">
      <c r="A672" s="60">
        <v>44774</v>
      </c>
      <c r="B672" s="67">
        <f>VLOOKUP(Table5[[#This Row],[Date]],Database!A:E,5,)</f>
        <v>296.95</v>
      </c>
      <c r="C672" s="14">
        <f t="shared" si="21"/>
        <v>5.6726780120227296E-3</v>
      </c>
      <c r="D672" s="14">
        <f t="shared" si="22"/>
        <v>6.3170859201019697E-2</v>
      </c>
      <c r="E672" s="15">
        <f>VLOOKUP(Table5[[#This Row],[Date]],'Fed Fund New'!$A:$C,2,FALSE)</f>
        <v>2.5</v>
      </c>
      <c r="F672" s="27">
        <v>0.02</v>
      </c>
    </row>
    <row r="673" spans="1:6" s="73" customFormat="1" x14ac:dyDescent="0.35">
      <c r="A673" s="60">
        <v>44805</v>
      </c>
      <c r="B673" s="67">
        <f>VLOOKUP(Table5[[#This Row],[Date]],Database!A:E,5,)</f>
        <v>298.66000000000003</v>
      </c>
      <c r="C673" s="14">
        <f t="shared" si="21"/>
        <v>5.7585452096313734E-3</v>
      </c>
      <c r="D673" s="14">
        <f t="shared" si="22"/>
        <v>6.6578100615319893E-2</v>
      </c>
      <c r="E673" s="15">
        <f>VLOOKUP(Table5[[#This Row],[Date]],'Fed Fund New'!$A:$C,2,FALSE)</f>
        <v>3.25</v>
      </c>
      <c r="F673" s="27">
        <v>0.02</v>
      </c>
    </row>
    <row r="674" spans="1:6" s="73" customFormat="1" x14ac:dyDescent="0.35">
      <c r="A674" s="60">
        <v>44835</v>
      </c>
      <c r="B674" s="67">
        <f>VLOOKUP(Table5[[#This Row],[Date]],Database!A:E,5,)</f>
        <v>299.471</v>
      </c>
      <c r="C674" s="14">
        <f t="shared" ref="C674:C705" si="23">(B674-B673)/B673</f>
        <v>2.715462398714185E-3</v>
      </c>
      <c r="D674" s="14">
        <f t="shared" si="22"/>
        <v>6.3065973269910092E-2</v>
      </c>
      <c r="E674" s="15">
        <f>VLOOKUP(Table5[[#This Row],[Date]],'Fed Fund New'!$A:$C,2,FALSE)</f>
        <v>3.25</v>
      </c>
      <c r="F674" s="27">
        <v>0.02</v>
      </c>
    </row>
    <row r="675" spans="1:6" s="73" customFormat="1" x14ac:dyDescent="0.35">
      <c r="A675" s="60">
        <v>44866</v>
      </c>
      <c r="B675" s="67">
        <f>VLOOKUP(Table5[[#This Row],[Date]],Database!A:E,5,)</f>
        <v>300.06599999999997</v>
      </c>
      <c r="C675" s="14">
        <f t="shared" si="23"/>
        <v>1.9868367888709439E-3</v>
      </c>
      <c r="D675" s="14">
        <f t="shared" si="22"/>
        <v>5.9633659275581882E-2</v>
      </c>
      <c r="E675" s="15">
        <f>VLOOKUP(Table5[[#This Row],[Date]],'Fed Fund New'!$A:$C,2,FALSE)</f>
        <v>4</v>
      </c>
      <c r="F675" s="27">
        <v>0.02</v>
      </c>
    </row>
    <row r="676" spans="1:6" s="73" customFormat="1" x14ac:dyDescent="0.35">
      <c r="A676" s="60">
        <v>44896</v>
      </c>
      <c r="B676" s="67">
        <f>VLOOKUP(Table5[[#This Row],[Date]],Database!A:E,5,)</f>
        <v>300.97399999999999</v>
      </c>
      <c r="C676" s="14">
        <f t="shared" si="23"/>
        <v>3.0260009464584976E-3</v>
      </c>
      <c r="D676" s="14">
        <f t="shared" si="22"/>
        <v>5.6902061312638301E-2</v>
      </c>
      <c r="E676" s="15">
        <f>VLOOKUP(Table5[[#This Row],[Date]],'Fed Fund New'!$A:$C,2,FALSE)</f>
        <v>4.5</v>
      </c>
      <c r="F676" s="27">
        <v>0.02</v>
      </c>
    </row>
    <row r="677" spans="1:6" s="73" customFormat="1" x14ac:dyDescent="0.35">
      <c r="A677" s="2"/>
      <c r="B677" s="63"/>
      <c r="C677" s="2"/>
      <c r="D677" s="2"/>
      <c r="E677" s="11"/>
      <c r="F677" s="5"/>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90" zoomScaleNormal="90" workbookViewId="0">
      <selection activeCell="W43" sqref="W43"/>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5" width="9.1796875" style="73" customWidth="1"/>
    <col min="26"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44531</v>
      </c>
      <c r="E3" s="28"/>
      <c r="F3" s="28"/>
      <c r="G3" s="35" t="s">
        <v>15</v>
      </c>
      <c r="H3" s="48">
        <f>(VLOOKUP($D$5,CPI!A:B,2,)-VLOOKUP(Recap!$D$4,CPI!A:B,2,))/VLOOKUP(Recap!$D$4,CPI!A:B,2,)</f>
        <v>-7.9437169221269839E-4</v>
      </c>
      <c r="I3" s="49">
        <f>(VLOOKUP($D$5,CPI!A:B,2,)-VLOOKUP(Recap!$D$3,CPI!A:B,2,))/VLOOKUP(Recap!$D$3,CPI!A:B,2,)</f>
        <v>6.4206821216167179E-2</v>
      </c>
    </row>
    <row r="4" spans="1:9" ht="16" customHeight="1" x14ac:dyDescent="0.35">
      <c r="C4" s="31" t="s">
        <v>45</v>
      </c>
      <c r="D4" s="32">
        <f>DATE(YEAR(D5),MONTH(D5)-1,DAY(D5))</f>
        <v>44866</v>
      </c>
      <c r="E4" s="28"/>
      <c r="F4" s="28"/>
      <c r="G4" s="36" t="s">
        <v>18</v>
      </c>
      <c r="H4" s="50">
        <f>(VLOOKUP($D$5,'CPI Food'!A:B,2,)-VLOOKUP(Recap!$D$4,'CPI Food'!A:B,2,))/VLOOKUP(Recap!$D$4,'CPI Food'!A:B,2,)</f>
        <v>2.8365226969567477E-3</v>
      </c>
      <c r="I4" s="51">
        <f>(VLOOKUP($D$5,'CPI Food'!A:B,2,)-VLOOKUP(Recap!$D$3,'CPI Food'!A:B,2,))/VLOOKUP(Recap!$D$3,'CPI Food'!A:B,2,)</f>
        <v>0.10135725723555865</v>
      </c>
    </row>
    <row r="5" spans="1:9" ht="17" customHeight="1" thickBot="1" x14ac:dyDescent="0.4">
      <c r="C5" s="33" t="s">
        <v>46</v>
      </c>
      <c r="D5" s="34">
        <v>44896</v>
      </c>
      <c r="E5" s="28"/>
      <c r="F5" s="28"/>
      <c r="G5" s="36" t="s">
        <v>21</v>
      </c>
      <c r="H5" s="50">
        <f>(VLOOKUP($D$5,'CPI Energy'!A:B,2,)-VLOOKUP(Recap!$D$4,'CPI Energy'!A:B,2,))/VLOOKUP(Recap!$D$4,'CPI Energy'!A:B,2,)</f>
        <v>-4.4734569469138952E-2</v>
      </c>
      <c r="I5" s="51">
        <f>(VLOOKUP($D$5,'CPI Energy'!A:B,2,)-VLOOKUP(Recap!$D$3,'CPI Energy'!A:B,2,))/VLOOKUP(Recap!$D$3,'CPI Energy'!A:B,2,)</f>
        <v>7.0243935754857573E-2</v>
      </c>
    </row>
    <row r="6" spans="1:9" ht="17" customHeight="1" thickBot="1" x14ac:dyDescent="0.4">
      <c r="C6" s="28"/>
      <c r="D6" s="28"/>
      <c r="E6" s="28"/>
      <c r="F6" s="28"/>
      <c r="G6" s="37" t="s">
        <v>24</v>
      </c>
      <c r="H6" s="52">
        <f>(VLOOKUP($D$5,'Core CPI'!A:B,2,)-VLOOKUP(Recap!$D$4,'Core CPI'!A:B,2,))/VLOOKUP(Recap!$D$4,'Core CPI'!A:B,2,)</f>
        <v>3.0260009464584976E-3</v>
      </c>
      <c r="I6" s="53">
        <f>(VLOOKUP($D$5,'Core CPI'!A:B,2,)-VLOOKUP(Recap!$D$3,'Core CPI'!A:B,2,))/VLOOKUP(Recap!$D$3,'Core CPI'!A:B,2,)</f>
        <v>5.6902061312638301E-2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2023-01-21T03:38:22Z</dcterms:modified>
</cp:coreProperties>
</file>