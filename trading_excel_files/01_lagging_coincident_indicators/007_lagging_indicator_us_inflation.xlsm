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0" yWindow="500" windowWidth="28800" windowHeight="1750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7">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0" fontId="0" fillId="0" borderId="0" pivotButton="0" quotePrefix="0" xfId="0"/>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0" fillId="2" borderId="0" applyAlignment="1" pivotButton="0" quotePrefix="0" xfId="0">
      <alignment wrapText="1"/>
    </xf>
    <xf numFmtId="0" fontId="0" fillId="2" borderId="0" pivotButton="0" quotePrefix="0" xfId="0"/>
    <xf numFmtId="165" fontId="0" fillId="2" borderId="0" applyAlignment="1" pivotButton="0" quotePrefix="0" xfId="0">
      <alignment horizontal="left" vertical="center" wrapText="1"/>
    </xf>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10" fillId="2" borderId="22" applyAlignment="1" pivotButton="0" quotePrefix="0" xfId="0">
      <alignment horizontal="center" vertical="center"/>
    </xf>
    <xf numFmtId="0" fontId="0" fillId="0" borderId="27"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 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CPI'!$D$450:$D$672</f>
              <numCache>
                <formatCode>0.00%</formatCode>
                <ptCount val="22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CPI'!$A$450:$A$672</f>
              <numCache>
                <formatCode>[$-409]mmm\-yy;@</formatCode>
                <ptCount val="22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CPI'!$F$450:$F$672</f>
              <numCache>
                <formatCode>0%</formatCode>
                <ptCount val="22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CPI!$A$5:$A$1033</f>
              <numCache>
                <formatCode>[$-409]mmm\-yy;@</formatCode>
                <ptCount val="102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numCache>
            </numRef>
          </cat>
          <val>
            <numRef>
              <f>CPI!$D$5:$D$1033</f>
              <numCache>
                <formatCode>0.00%</formatCode>
                <ptCount val="102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0.02511234914917618</v>
                </pt>
                <pt idx="841">
                  <v>0.0275390164155459</v>
                </pt>
                <pt idx="842">
                  <v>0.02388272849462356</v>
                </pt>
                <pt idx="843">
                  <v>0.02210115819776399</v>
                </pt>
                <pt idx="844">
                  <v>0.01883476583861044</v>
                </pt>
                <pt idx="845">
                  <v>0.01663461298299065</v>
                </pt>
                <pt idx="846">
                  <v>0.01740517532205198</v>
                </pt>
                <pt idx="847">
                  <v>0.01937267455153932</v>
                </pt>
                <pt idx="848">
                  <v>0.02228662885195874</v>
                </pt>
                <pt idx="849">
                  <v>0.0203358139496403</v>
                </pt>
                <pt idx="850">
                  <v>0.02211332666738274</v>
                </pt>
                <pt idx="851">
                  <v>0.02101493177050487</v>
                </pt>
                <pt idx="852">
                  <v>0.02093834660536901</v>
                </pt>
                <pt idx="853">
                  <v>0.02225757774570265</v>
                </pt>
                <pt idx="854">
                  <v>0.023592297531239</v>
                </pt>
                <pt idx="855">
                  <v>0.02456667512711138</v>
                </pt>
                <pt idx="856">
                  <v>0.02752090597331088</v>
                </pt>
                <pt idx="857">
                  <v>0.02839266556928645</v>
                </pt>
                <pt idx="858">
                  <v>0.02892172916325527</v>
                </pt>
                <pt idx="859">
                  <v>0.02663077832833752</v>
                </pt>
                <pt idx="860">
                  <v>0.0228431440148286</v>
                </pt>
                <pt idx="861">
                  <v>0.02530639714259068</v>
                </pt>
                <pt idx="862">
                  <v>0.02200680739596899</v>
                </pt>
                <pt idx="863">
                  <v>0.01920189233700393</v>
                </pt>
                <pt idx="864">
                  <v>0.01495651754375384</v>
                </pt>
                <pt idx="865">
                  <v>0.01471720818291208</v>
                </pt>
                <pt idx="866">
                  <v>0.01855584990201067</v>
                </pt>
                <pt idx="867">
                  <v>0.02018180001997797</v>
                </pt>
                <pt idx="868">
                  <v>0.01828251975788125</v>
                </pt>
                <pt idx="869">
                  <v>0.01700563802000388</v>
                </pt>
                <pt idx="870">
                  <v>0.01822196582386764</v>
                </pt>
                <pt idx="871">
                  <v>0.01741116650445898</v>
                </pt>
                <pt idx="872">
                  <v>0.01724541305321925</v>
                </pt>
                <pt idx="873">
                  <v>0.01774621489211108</v>
                </pt>
                <pt idx="874">
                  <v>0.02043730371565755</v>
                </pt>
                <pt idx="875">
                  <v>0.02261448832244846</v>
                </pt>
                <pt idx="876">
                  <v>0.02474241505936044</v>
                </pt>
                <pt idx="877">
                  <v>0.02314512845447473</v>
                </pt>
                <pt idx="878">
                  <v>0.01511723530082977</v>
                </pt>
                <pt idx="879">
                  <v>0.003391742321581092</v>
                </pt>
                <pt idx="880">
                  <v>0.002235962579932717</v>
                </pt>
                <pt idx="881">
                  <v>0.00727812295682057</v>
                </pt>
                <pt idx="882">
                  <v>0.01046791052066025</v>
                </pt>
                <pt idx="883">
                  <v>0.01324779984226032</v>
                </pt>
                <pt idx="884">
                  <v>0.01409960550730521</v>
                </pt>
                <pt idx="885">
                  <v>0.01194699032973689</v>
                </pt>
                <pt idx="886">
                  <v>0.01138808243762349</v>
                </pt>
                <pt idx="887">
                  <v>0.01300139812473142</v>
                </pt>
                <pt idx="888">
                  <v>0.01369995399846139</v>
                </pt>
                <pt idx="889">
                  <v>0.01675656044261734</v>
                </pt>
                <pt idx="890">
                  <v>0.02637321746276016</v>
                </pt>
                <pt idx="891">
                  <v>0.04153135148638516</v>
                </pt>
                <pt idx="892">
                  <v>0.04926506786693852</v>
                </pt>
                <pt idx="893">
                  <v>0.05324507738590346</v>
                </pt>
                <pt idx="894">
                  <v>0.05282594236748079</v>
                </pt>
                <pt idx="895">
                  <v>0.0520247696629429</v>
                </pt>
                <pt idx="896">
                  <v>0.05377303007122832</v>
                </pt>
                <pt idx="897">
                  <v>0.06243521127842066</v>
                </pt>
                <pt idx="898">
                  <v>0.06880468483522201</v>
                </pt>
                <pt idx="899">
                  <v>0.07123413365958099</v>
                </pt>
                <pt idx="900">
                  <v>0.07513223074312342</v>
                </pt>
                <pt idx="901">
                  <v>0.07987885742948239</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CPI!$A$17:$A$914</f>
              <numCache>
                <formatCode>[$-409]mmm\-yy;@</formatCode>
                <ptCount val="89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numCache>
            </numRef>
          </cat>
          <val>
            <numRef>
              <f>CPI!$D$17:$D$914</f>
              <numCache>
                <formatCode>0.00%</formatCode>
                <ptCount val="89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0.02511234914917618</v>
                </pt>
                <pt idx="829">
                  <v>0.0275390164155459</v>
                </pt>
                <pt idx="830">
                  <v>0.02388272849462356</v>
                </pt>
                <pt idx="831">
                  <v>0.02210115819776399</v>
                </pt>
                <pt idx="832">
                  <v>0.01883476583861044</v>
                </pt>
                <pt idx="833">
                  <v>0.01663461298299065</v>
                </pt>
                <pt idx="834">
                  <v>0.01740517532205198</v>
                </pt>
                <pt idx="835">
                  <v>0.01937267455153932</v>
                </pt>
                <pt idx="836">
                  <v>0.02228662885195874</v>
                </pt>
                <pt idx="837">
                  <v>0.0203358139496403</v>
                </pt>
                <pt idx="838">
                  <v>0.02211332666738274</v>
                </pt>
                <pt idx="839">
                  <v>0.02101493177050487</v>
                </pt>
                <pt idx="840">
                  <v>0.02093834660536901</v>
                </pt>
                <pt idx="841">
                  <v>0.02225757774570265</v>
                </pt>
                <pt idx="842">
                  <v>0.023592297531239</v>
                </pt>
                <pt idx="843">
                  <v>0.02456667512711138</v>
                </pt>
                <pt idx="844">
                  <v>0.02752090597331088</v>
                </pt>
                <pt idx="845">
                  <v>0.02839266556928645</v>
                </pt>
                <pt idx="846">
                  <v>0.02892172916325527</v>
                </pt>
                <pt idx="847">
                  <v>0.02663077832833752</v>
                </pt>
                <pt idx="848">
                  <v>0.0228431440148286</v>
                </pt>
                <pt idx="849">
                  <v>0.02530639714259068</v>
                </pt>
                <pt idx="850">
                  <v>0.02200680739596899</v>
                </pt>
                <pt idx="851">
                  <v>0.01920189233700393</v>
                </pt>
                <pt idx="852">
                  <v>0.01495651754375384</v>
                </pt>
                <pt idx="853">
                  <v>0.01471720818291208</v>
                </pt>
                <pt idx="854">
                  <v>0.01855584990201067</v>
                </pt>
                <pt idx="855">
                  <v>0.02018180001997797</v>
                </pt>
                <pt idx="856">
                  <v>0.01828251975788125</v>
                </pt>
                <pt idx="857">
                  <v>0.01700563802000388</v>
                </pt>
                <pt idx="858">
                  <v>0.01822196582386764</v>
                </pt>
                <pt idx="859">
                  <v>0.01741116650445898</v>
                </pt>
                <pt idx="860">
                  <v>0.01724541305321925</v>
                </pt>
                <pt idx="861">
                  <v>0.01774621489211108</v>
                </pt>
                <pt idx="862">
                  <v>0.02043730371565755</v>
                </pt>
                <pt idx="863">
                  <v>0.02261448832244846</v>
                </pt>
                <pt idx="864">
                  <v>0.02474241505936044</v>
                </pt>
                <pt idx="865">
                  <v>0.02314512845447473</v>
                </pt>
                <pt idx="866">
                  <v>0.01511723530082977</v>
                </pt>
                <pt idx="867">
                  <v>0.003391742321581092</v>
                </pt>
                <pt idx="868">
                  <v>0.002235962579932717</v>
                </pt>
                <pt idx="869">
                  <v>0.00727812295682057</v>
                </pt>
                <pt idx="870">
                  <v>0.01046791052066025</v>
                </pt>
                <pt idx="871">
                  <v>0.01324779984226032</v>
                </pt>
                <pt idx="872">
                  <v>0.01409960550730521</v>
                </pt>
                <pt idx="873">
                  <v>0.01194699032973689</v>
                </pt>
                <pt idx="874">
                  <v>0.01138808243762349</v>
                </pt>
                <pt idx="875">
                  <v>0.01300139812473142</v>
                </pt>
                <pt idx="876">
                  <v>0.01369995399846139</v>
                </pt>
                <pt idx="877">
                  <v>0.01675656044261734</v>
                </pt>
                <pt idx="878">
                  <v>0.02637321746276016</v>
                </pt>
                <pt idx="879">
                  <v>0.04153135148638516</v>
                </pt>
                <pt idx="880">
                  <v>0.04926506786693852</v>
                </pt>
                <pt idx="881">
                  <v>0.05324507738590346</v>
                </pt>
                <pt idx="882">
                  <v>0.05282594236748079</v>
                </pt>
                <pt idx="883">
                  <v>0.0520247696629429</v>
                </pt>
                <pt idx="884">
                  <v>0.05377303007122832</v>
                </pt>
                <pt idx="885">
                  <v>0.06243521127842066</v>
                </pt>
                <pt idx="886">
                  <v>0.06880468483522201</v>
                </pt>
                <pt idx="887">
                  <v>0.07123413365958099</v>
                </pt>
                <pt idx="888">
                  <v>0.07513223074312342</v>
                </pt>
                <pt idx="889">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CPI!$A$641:$A$914</f>
              <numCache>
                <formatCode>[$-409]mmm\-yy;@</formatCode>
                <ptCount val="27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CPI!$D$641:$D$914</f>
              <numCache>
                <formatCode>0.00%</formatCode>
                <ptCount val="27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0.02511234914917618</v>
                </pt>
                <pt idx="205">
                  <v>0.0275390164155459</v>
                </pt>
                <pt idx="206">
                  <v>0.02388272849462356</v>
                </pt>
                <pt idx="207">
                  <v>0.02210115819776399</v>
                </pt>
                <pt idx="208">
                  <v>0.01883476583861044</v>
                </pt>
                <pt idx="209">
                  <v>0.01663461298299065</v>
                </pt>
                <pt idx="210">
                  <v>0.01740517532205198</v>
                </pt>
                <pt idx="211">
                  <v>0.01937267455153932</v>
                </pt>
                <pt idx="212">
                  <v>0.02228662885195874</v>
                </pt>
                <pt idx="213">
                  <v>0.0203358139496403</v>
                </pt>
                <pt idx="214">
                  <v>0.02211332666738274</v>
                </pt>
                <pt idx="215">
                  <v>0.02101493177050487</v>
                </pt>
                <pt idx="216">
                  <v>0.02093834660536901</v>
                </pt>
                <pt idx="217">
                  <v>0.02225757774570265</v>
                </pt>
                <pt idx="218">
                  <v>0.023592297531239</v>
                </pt>
                <pt idx="219">
                  <v>0.02456667512711138</v>
                </pt>
                <pt idx="220">
                  <v>0.02752090597331088</v>
                </pt>
                <pt idx="221">
                  <v>0.02839266556928645</v>
                </pt>
                <pt idx="222">
                  <v>0.02892172916325527</v>
                </pt>
                <pt idx="223">
                  <v>0.02663077832833752</v>
                </pt>
                <pt idx="224">
                  <v>0.0228431440148286</v>
                </pt>
                <pt idx="225">
                  <v>0.02530639714259068</v>
                </pt>
                <pt idx="226">
                  <v>0.02200680739596899</v>
                </pt>
                <pt idx="227">
                  <v>0.01920189233700393</v>
                </pt>
                <pt idx="228">
                  <v>0.01495651754375384</v>
                </pt>
                <pt idx="229">
                  <v>0.01471720818291208</v>
                </pt>
                <pt idx="230">
                  <v>0.01855584990201067</v>
                </pt>
                <pt idx="231">
                  <v>0.02018180001997797</v>
                </pt>
                <pt idx="232">
                  <v>0.01828251975788125</v>
                </pt>
                <pt idx="233">
                  <v>0.01700563802000388</v>
                </pt>
                <pt idx="234">
                  <v>0.01822196582386764</v>
                </pt>
                <pt idx="235">
                  <v>0.01741116650445898</v>
                </pt>
                <pt idx="236">
                  <v>0.01724541305321925</v>
                </pt>
                <pt idx="237">
                  <v>0.01774621489211108</v>
                </pt>
                <pt idx="238">
                  <v>0.02043730371565755</v>
                </pt>
                <pt idx="239">
                  <v>0.02261448832244846</v>
                </pt>
                <pt idx="240">
                  <v>0.02474241505936044</v>
                </pt>
                <pt idx="241">
                  <v>0.02314512845447473</v>
                </pt>
                <pt idx="242">
                  <v>0.01511723530082977</v>
                </pt>
                <pt idx="243">
                  <v>0.003391742321581092</v>
                </pt>
                <pt idx="244">
                  <v>0.002235962579932717</v>
                </pt>
                <pt idx="245">
                  <v>0.00727812295682057</v>
                </pt>
                <pt idx="246">
                  <v>0.01046791052066025</v>
                </pt>
                <pt idx="247">
                  <v>0.01324779984226032</v>
                </pt>
                <pt idx="248">
                  <v>0.01409960550730521</v>
                </pt>
                <pt idx="249">
                  <v>0.01194699032973689</v>
                </pt>
                <pt idx="250">
                  <v>0.01138808243762349</v>
                </pt>
                <pt idx="251">
                  <v>0.01300139812473142</v>
                </pt>
                <pt idx="252">
                  <v>0.01369995399846139</v>
                </pt>
                <pt idx="253">
                  <v>0.01675656044261734</v>
                </pt>
                <pt idx="254">
                  <v>0.02637321746276016</v>
                </pt>
                <pt idx="255">
                  <v>0.04153135148638516</v>
                </pt>
                <pt idx="256">
                  <v>0.04926506786693852</v>
                </pt>
                <pt idx="257">
                  <v>0.05324507738590346</v>
                </pt>
                <pt idx="258">
                  <v>0.05282594236748079</v>
                </pt>
                <pt idx="259">
                  <v>0.0520247696629429</v>
                </pt>
                <pt idx="260">
                  <v>0.05377303007122832</v>
                </pt>
                <pt idx="261">
                  <v>0.06243521127842066</v>
                </pt>
                <pt idx="262">
                  <v>0.06880468483522201</v>
                </pt>
                <pt idx="263">
                  <v>0.07123413365958099</v>
                </pt>
                <pt idx="264">
                  <v>0.07513223074312342</v>
                </pt>
                <pt idx="265">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CPI!$A$809:$A$914</f>
              <numCache>
                <formatCode>[$-409]mmm\-yy;@</formatCode>
                <ptCount val="10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CPI!$D$809:$D$914</f>
              <numCache>
                <formatCode>0.00%</formatCode>
                <ptCount val="10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0.02511234914917618</v>
                </pt>
                <pt idx="37">
                  <v>0.0275390164155459</v>
                </pt>
                <pt idx="38">
                  <v>0.02388272849462356</v>
                </pt>
                <pt idx="39">
                  <v>0.02210115819776399</v>
                </pt>
                <pt idx="40">
                  <v>0.01883476583861044</v>
                </pt>
                <pt idx="41">
                  <v>0.01663461298299065</v>
                </pt>
                <pt idx="42">
                  <v>0.01740517532205198</v>
                </pt>
                <pt idx="43">
                  <v>0.01937267455153932</v>
                </pt>
                <pt idx="44">
                  <v>0.02228662885195874</v>
                </pt>
                <pt idx="45">
                  <v>0.0203358139496403</v>
                </pt>
                <pt idx="46">
                  <v>0.02211332666738274</v>
                </pt>
                <pt idx="47">
                  <v>0.02101493177050487</v>
                </pt>
                <pt idx="48">
                  <v>0.02093834660536901</v>
                </pt>
                <pt idx="49">
                  <v>0.02225757774570265</v>
                </pt>
                <pt idx="50">
                  <v>0.023592297531239</v>
                </pt>
                <pt idx="51">
                  <v>0.02456667512711138</v>
                </pt>
                <pt idx="52">
                  <v>0.02752090597331088</v>
                </pt>
                <pt idx="53">
                  <v>0.02839266556928645</v>
                </pt>
                <pt idx="54">
                  <v>0.02892172916325527</v>
                </pt>
                <pt idx="55">
                  <v>0.02663077832833752</v>
                </pt>
                <pt idx="56">
                  <v>0.0228431440148286</v>
                </pt>
                <pt idx="57">
                  <v>0.02530639714259068</v>
                </pt>
                <pt idx="58">
                  <v>0.02200680739596899</v>
                </pt>
                <pt idx="59">
                  <v>0.01920189233700393</v>
                </pt>
                <pt idx="60">
                  <v>0.01495651754375384</v>
                </pt>
                <pt idx="61">
                  <v>0.01471720818291208</v>
                </pt>
                <pt idx="62">
                  <v>0.01855584990201067</v>
                </pt>
                <pt idx="63">
                  <v>0.02018180001997797</v>
                </pt>
                <pt idx="64">
                  <v>0.01828251975788125</v>
                </pt>
                <pt idx="65">
                  <v>0.01700563802000388</v>
                </pt>
                <pt idx="66">
                  <v>0.01822196582386764</v>
                </pt>
                <pt idx="67">
                  <v>0.01741116650445898</v>
                </pt>
                <pt idx="68">
                  <v>0.01724541305321925</v>
                </pt>
                <pt idx="69">
                  <v>0.01774621489211108</v>
                </pt>
                <pt idx="70">
                  <v>0.02043730371565755</v>
                </pt>
                <pt idx="71">
                  <v>0.02261448832244846</v>
                </pt>
                <pt idx="72">
                  <v>0.02474241505936044</v>
                </pt>
                <pt idx="73">
                  <v>0.02314512845447473</v>
                </pt>
                <pt idx="74">
                  <v>0.01511723530082977</v>
                </pt>
                <pt idx="75">
                  <v>0.003391742321581092</v>
                </pt>
                <pt idx="76">
                  <v>0.002235962579932717</v>
                </pt>
                <pt idx="77">
                  <v>0.00727812295682057</v>
                </pt>
                <pt idx="78">
                  <v>0.01046791052066025</v>
                </pt>
                <pt idx="79">
                  <v>0.01324779984226032</v>
                </pt>
                <pt idx="80">
                  <v>0.01409960550730521</v>
                </pt>
                <pt idx="81">
                  <v>0.01194699032973689</v>
                </pt>
                <pt idx="82">
                  <v>0.01138808243762349</v>
                </pt>
                <pt idx="83">
                  <v>0.01300139812473142</v>
                </pt>
                <pt idx="84">
                  <v>0.01369995399846139</v>
                </pt>
                <pt idx="85">
                  <v>0.01675656044261734</v>
                </pt>
                <pt idx="86">
                  <v>0.02637321746276016</v>
                </pt>
                <pt idx="87">
                  <v>0.04153135148638516</v>
                </pt>
                <pt idx="88">
                  <v>0.04926506786693852</v>
                </pt>
                <pt idx="89">
                  <v>0.05324507738590346</v>
                </pt>
                <pt idx="90">
                  <v>0.05282594236748079</v>
                </pt>
                <pt idx="91">
                  <v>0.0520247696629429</v>
                </pt>
                <pt idx="92">
                  <v>0.05377303007122832</v>
                </pt>
                <pt idx="93">
                  <v>0.06243521127842066</v>
                </pt>
                <pt idx="94">
                  <v>0.06880468483522201</v>
                </pt>
                <pt idx="95">
                  <v>0.07123413365958099</v>
                </pt>
                <pt idx="96">
                  <v>0.07513223074312342</v>
                </pt>
                <pt idx="97">
                  <v>0.07987885742948239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CPI!$A$293:$A$925</f>
              <numCache>
                <formatCode>[$-409]mmm\-yy;@</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CPI!$D$293:$D$925</f>
              <numCache>
                <formatCode>0.00%</formatCode>
                <ptCount val="63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0.02511234914917618</v>
                </pt>
                <pt idx="553">
                  <v>0.0275390164155459</v>
                </pt>
                <pt idx="554">
                  <v>0.02388272849462356</v>
                </pt>
                <pt idx="555">
                  <v>0.02210115819776399</v>
                </pt>
                <pt idx="556">
                  <v>0.01883476583861044</v>
                </pt>
                <pt idx="557">
                  <v>0.01663461298299065</v>
                </pt>
                <pt idx="558">
                  <v>0.01740517532205198</v>
                </pt>
                <pt idx="559">
                  <v>0.01937267455153932</v>
                </pt>
                <pt idx="560">
                  <v>0.02228662885195874</v>
                </pt>
                <pt idx="561">
                  <v>0.0203358139496403</v>
                </pt>
                <pt idx="562">
                  <v>0.02211332666738274</v>
                </pt>
                <pt idx="563">
                  <v>0.02101493177050487</v>
                </pt>
                <pt idx="564">
                  <v>0.02093834660536901</v>
                </pt>
                <pt idx="565">
                  <v>0.02225757774570265</v>
                </pt>
                <pt idx="566">
                  <v>0.023592297531239</v>
                </pt>
                <pt idx="567">
                  <v>0.02456667512711138</v>
                </pt>
                <pt idx="568">
                  <v>0.02752090597331088</v>
                </pt>
                <pt idx="569">
                  <v>0.02839266556928645</v>
                </pt>
                <pt idx="570">
                  <v>0.02892172916325527</v>
                </pt>
                <pt idx="571">
                  <v>0.02663077832833752</v>
                </pt>
                <pt idx="572">
                  <v>0.0228431440148286</v>
                </pt>
                <pt idx="573">
                  <v>0.02530639714259068</v>
                </pt>
                <pt idx="574">
                  <v>0.02200680739596899</v>
                </pt>
                <pt idx="575">
                  <v>0.01920189233700393</v>
                </pt>
                <pt idx="576">
                  <v>0.01495651754375384</v>
                </pt>
                <pt idx="577">
                  <v>0.01471720818291208</v>
                </pt>
                <pt idx="578">
                  <v>0.01855584990201067</v>
                </pt>
                <pt idx="579">
                  <v>0.02018180001997797</v>
                </pt>
                <pt idx="580">
                  <v>0.01828251975788125</v>
                </pt>
                <pt idx="581">
                  <v>0.01700563802000388</v>
                </pt>
                <pt idx="582">
                  <v>0.01822196582386764</v>
                </pt>
                <pt idx="583">
                  <v>0.01741116650445898</v>
                </pt>
                <pt idx="584">
                  <v>0.01724541305321925</v>
                </pt>
                <pt idx="585">
                  <v>0.01774621489211108</v>
                </pt>
                <pt idx="586">
                  <v>0.02043730371565755</v>
                </pt>
                <pt idx="587">
                  <v>0.02261448832244846</v>
                </pt>
                <pt idx="588">
                  <v>0.02474241505936044</v>
                </pt>
                <pt idx="589">
                  <v>0.02314512845447473</v>
                </pt>
                <pt idx="590">
                  <v>0.01511723530082977</v>
                </pt>
                <pt idx="591">
                  <v>0.003391742321581092</v>
                </pt>
                <pt idx="592">
                  <v>0.002235962579932717</v>
                </pt>
                <pt idx="593">
                  <v>0.00727812295682057</v>
                </pt>
                <pt idx="594">
                  <v>0.01046791052066025</v>
                </pt>
                <pt idx="595">
                  <v>0.01324779984226032</v>
                </pt>
                <pt idx="596">
                  <v>0.01409960550730521</v>
                </pt>
                <pt idx="597">
                  <v>0.01194699032973689</v>
                </pt>
                <pt idx="598">
                  <v>0.01138808243762349</v>
                </pt>
                <pt idx="599">
                  <v>0.01300139812473142</v>
                </pt>
                <pt idx="600">
                  <v>0.01369995399846139</v>
                </pt>
                <pt idx="601">
                  <v>0.01675656044261734</v>
                </pt>
                <pt idx="602">
                  <v>0.02637321746276016</v>
                </pt>
                <pt idx="603">
                  <v>0.04153135148638516</v>
                </pt>
                <pt idx="604">
                  <v>0.04926506786693852</v>
                </pt>
                <pt idx="605">
                  <v>0.05324507738590346</v>
                </pt>
                <pt idx="606">
                  <v>0.05282594236748079</v>
                </pt>
                <pt idx="607">
                  <v>0.0520247696629429</v>
                </pt>
                <pt idx="608">
                  <v>0.05377303007122832</v>
                </pt>
                <pt idx="609">
                  <v>0.06243521127842066</v>
                </pt>
                <pt idx="610">
                  <v>0.06880468483522201</v>
                </pt>
                <pt idx="611">
                  <v>0.07123413365958099</v>
                </pt>
                <pt idx="612">
                  <v>0.07513223074312342</v>
                </pt>
                <pt idx="613">
                  <v>0.07987885742948239</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CPI!$A$293:$A$907</f>
              <numCache>
                <formatCode>[$-409]mmm\-yy;@</formatCode>
                <ptCount val="61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CPI!$E$293:$E$907</f>
              <numCache>
                <formatCode>0.00</formatCode>
                <ptCount val="61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Food'!$D$17:$D$904</f>
              <numCache>
                <formatCode>0.00%</formatCode>
                <ptCount val="88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-0.0004113450580117671</v>
                </pt>
                <pt idx="589">
                  <v>0.0008016306537117203</v>
                </pt>
                <pt idx="590">
                  <v>0.004953592868764006</v>
                </pt>
                <pt idx="591">
                  <v>0.005574693633877377</v>
                </pt>
                <pt idx="592">
                  <v>0.008526709078057229</v>
                </pt>
                <pt idx="593">
                  <v>0.008560342737046414</v>
                </pt>
                <pt idx="594">
                  <v>0.0106141322360816</v>
                </pt>
                <pt idx="595">
                  <v>0.01119286888988553</v>
                </pt>
                <pt idx="596">
                  <v>0.01272583303707058</v>
                </pt>
                <pt idx="597">
                  <v>0.01342105688298683</v>
                </pt>
                <pt idx="598">
                  <v>0.01422078577921415</v>
                </pt>
                <pt idx="599">
                  <v>0.01595362178321824</v>
                </pt>
                <pt idx="600">
                  <v>0.01647267665866499</v>
                </pt>
                <pt idx="601">
                  <v>0.01416018966121002</v>
                </pt>
                <pt idx="602">
                  <v>0.01267846669291278</v>
                </pt>
                <pt idx="603">
                  <v>0.01363082057700329</v>
                </pt>
                <pt idx="604">
                  <v>0.01209519156060004</v>
                </pt>
                <pt idx="605">
                  <v>0.01414614207054637</v>
                </pt>
                <pt idx="606">
                  <v>0.0139942087412811</v>
                </pt>
                <pt idx="607">
                  <v>0.01424581117207261</v>
                </pt>
                <pt idx="608">
                  <v>0.01405388586154348</v>
                </pt>
                <pt idx="609">
                  <v>0.01253392529063157</v>
                </pt>
                <pt idx="610">
                  <v>0.01450337588878496</v>
                </pt>
                <pt idx="611">
                  <v>0.01610472445015283</v>
                </pt>
                <pt idx="612">
                  <v>0.01638433327512032</v>
                </pt>
                <pt idx="613">
                  <v>0.0196657419203765</v>
                </pt>
                <pt idx="614">
                  <v>0.02064010917082549</v>
                </pt>
                <pt idx="615">
                  <v>0.01717546678486344</v>
                </pt>
                <pt idx="616">
                  <v>0.0192516204601396</v>
                </pt>
                <pt idx="617">
                  <v>0.01833104145921247</v>
                </pt>
                <pt idx="618">
                  <v>0.01761914716543533</v>
                </pt>
                <pt idx="619">
                  <v>0.01711489515944756</v>
                </pt>
                <pt idx="620">
                  <v>0.01785594863906914</v>
                </pt>
                <pt idx="621">
                  <v>0.02027835506014239</v>
                </pt>
                <pt idx="622">
                  <v>0.01928649395726505</v>
                </pt>
                <pt idx="623">
                  <v>0.01737963205741826</v>
                </pt>
                <pt idx="624">
                  <v>0.01758462331495332</v>
                </pt>
                <pt idx="625">
                  <v>0.01749988323031645</v>
                </pt>
                <pt idx="626">
                  <v>0.01883903064694786</v>
                </pt>
                <pt idx="627">
                  <v>0.03375533992669998</v>
                </pt>
                <pt idx="628">
                  <v>0.03844376890255497</v>
                </pt>
                <pt idx="629">
                  <v>0.04320410388542032</v>
                </pt>
                <pt idx="630">
                  <v>0.03894991434042138</v>
                </pt>
                <pt idx="631">
                  <v>0.03956879120538575</v>
                </pt>
                <pt idx="632">
                  <v>0.03818891551364293</v>
                </pt>
                <pt idx="633">
                  <v>0.03837726066292196</v>
                </pt>
                <pt idx="634">
                  <v>0.03679535281473649</v>
                </pt>
                <pt idx="635">
                  <v>0.03863907373927745</v>
                </pt>
                <pt idx="636">
                  <v>0.03696767582959479</v>
                </pt>
                <pt idx="637">
                  <v>0.03516288464186804</v>
                </pt>
                <pt idx="638">
                  <v>0.03362428089664757</v>
                </pt>
                <pt idx="639">
                  <v>0.02345108429744599</v>
                </pt>
                <pt idx="640">
                  <v>0.02111988873643321</v>
                </pt>
                <pt idx="641">
                  <v>0.02359015179976263</v>
                </pt>
                <pt idx="642">
                  <v>0.03374035150551949</v>
                </pt>
                <pt idx="643">
                  <v>0.03653124569163079</v>
                </pt>
                <pt idx="644">
                  <v>0.04462421031862745</v>
                </pt>
                <pt idx="645">
                  <v>0.05122527529684509</v>
                </pt>
                <pt idx="646">
                  <v>0.0582760542448449</v>
                </pt>
                <pt idx="647">
                  <v>0.0601448067699943</v>
                </pt>
                <pt idx="648">
                  <v>0.06744334078427305</v>
                </pt>
                <pt idx="649">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Food'!$D$401:$D$904</f>
              <numCache>
                <formatCode>0.00%</formatCode>
                <ptCount val="50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-0.0004113450580117671</v>
                </pt>
                <pt idx="205">
                  <v>0.0008016306537117203</v>
                </pt>
                <pt idx="206">
                  <v>0.004953592868764006</v>
                </pt>
                <pt idx="207">
                  <v>0.005574693633877377</v>
                </pt>
                <pt idx="208">
                  <v>0.008526709078057229</v>
                </pt>
                <pt idx="209">
                  <v>0.008560342737046414</v>
                </pt>
                <pt idx="210">
                  <v>0.0106141322360816</v>
                </pt>
                <pt idx="211">
                  <v>0.01119286888988553</v>
                </pt>
                <pt idx="212">
                  <v>0.01272583303707058</v>
                </pt>
                <pt idx="213">
                  <v>0.01342105688298683</v>
                </pt>
                <pt idx="214">
                  <v>0.01422078577921415</v>
                </pt>
                <pt idx="215">
                  <v>0.01595362178321824</v>
                </pt>
                <pt idx="216">
                  <v>0.01647267665866499</v>
                </pt>
                <pt idx="217">
                  <v>0.01416018966121002</v>
                </pt>
                <pt idx="218">
                  <v>0.01267846669291278</v>
                </pt>
                <pt idx="219">
                  <v>0.01363082057700329</v>
                </pt>
                <pt idx="220">
                  <v>0.01209519156060004</v>
                </pt>
                <pt idx="221">
                  <v>0.01414614207054637</v>
                </pt>
                <pt idx="222">
                  <v>0.0139942087412811</v>
                </pt>
                <pt idx="223">
                  <v>0.01424581117207261</v>
                </pt>
                <pt idx="224">
                  <v>0.01405388586154348</v>
                </pt>
                <pt idx="225">
                  <v>0.01253392529063157</v>
                </pt>
                <pt idx="226">
                  <v>0.01450337588878496</v>
                </pt>
                <pt idx="227">
                  <v>0.01610472445015283</v>
                </pt>
                <pt idx="228">
                  <v>0.01638433327512032</v>
                </pt>
                <pt idx="229">
                  <v>0.0196657419203765</v>
                </pt>
                <pt idx="230">
                  <v>0.02064010917082549</v>
                </pt>
                <pt idx="231">
                  <v>0.01717546678486344</v>
                </pt>
                <pt idx="232">
                  <v>0.0192516204601396</v>
                </pt>
                <pt idx="233">
                  <v>0.01833104145921247</v>
                </pt>
                <pt idx="234">
                  <v>0.01761914716543533</v>
                </pt>
                <pt idx="235">
                  <v>0.01711489515944756</v>
                </pt>
                <pt idx="236">
                  <v>0.01785594863906914</v>
                </pt>
                <pt idx="237">
                  <v>0.02027835506014239</v>
                </pt>
                <pt idx="238">
                  <v>0.01928649395726505</v>
                </pt>
                <pt idx="239">
                  <v>0.01737963205741826</v>
                </pt>
                <pt idx="240">
                  <v>0.01758462331495332</v>
                </pt>
                <pt idx="241">
                  <v>0.01749988323031645</v>
                </pt>
                <pt idx="242">
                  <v>0.01883903064694786</v>
                </pt>
                <pt idx="243">
                  <v>0.03375533992669998</v>
                </pt>
                <pt idx="244">
                  <v>0.03844376890255497</v>
                </pt>
                <pt idx="245">
                  <v>0.04320410388542032</v>
                </pt>
                <pt idx="246">
                  <v>0.03894991434042138</v>
                </pt>
                <pt idx="247">
                  <v>0.03956879120538575</v>
                </pt>
                <pt idx="248">
                  <v>0.03818891551364293</v>
                </pt>
                <pt idx="249">
                  <v>0.03837726066292196</v>
                </pt>
                <pt idx="250">
                  <v>0.03679535281473649</v>
                </pt>
                <pt idx="251">
                  <v>0.03863907373927745</v>
                </pt>
                <pt idx="252">
                  <v>0.03696767582959479</v>
                </pt>
                <pt idx="253">
                  <v>0.03516288464186804</v>
                </pt>
                <pt idx="254">
                  <v>0.03362428089664757</v>
                </pt>
                <pt idx="255">
                  <v>0.02345108429744599</v>
                </pt>
                <pt idx="256">
                  <v>0.02111988873643321</v>
                </pt>
                <pt idx="257">
                  <v>0.02359015179976263</v>
                </pt>
                <pt idx="258">
                  <v>0.03374035150551949</v>
                </pt>
                <pt idx="259">
                  <v>0.03653124569163079</v>
                </pt>
                <pt idx="260">
                  <v>0.04462421031862745</v>
                </pt>
                <pt idx="261">
                  <v>0.05122527529684509</v>
                </pt>
                <pt idx="262">
                  <v>0.0582760542448449</v>
                </pt>
                <pt idx="263">
                  <v>0.0601448067699943</v>
                </pt>
                <pt idx="264">
                  <v>0.06744334078427305</v>
                </pt>
                <pt idx="265">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Food'!$D$569:$D$904</f>
              <numCache>
                <formatCode>0.00%</formatCode>
                <ptCount val="33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-0.0004113450580117671</v>
                </pt>
                <pt idx="37">
                  <v>0.0008016306537117203</v>
                </pt>
                <pt idx="38">
                  <v>0.004953592868764006</v>
                </pt>
                <pt idx="39">
                  <v>0.005574693633877377</v>
                </pt>
                <pt idx="40">
                  <v>0.008526709078057229</v>
                </pt>
                <pt idx="41">
                  <v>0.008560342737046414</v>
                </pt>
                <pt idx="42">
                  <v>0.0106141322360816</v>
                </pt>
                <pt idx="43">
                  <v>0.01119286888988553</v>
                </pt>
                <pt idx="44">
                  <v>0.01272583303707058</v>
                </pt>
                <pt idx="45">
                  <v>0.01342105688298683</v>
                </pt>
                <pt idx="46">
                  <v>0.01422078577921415</v>
                </pt>
                <pt idx="47">
                  <v>0.01595362178321824</v>
                </pt>
                <pt idx="48">
                  <v>0.01647267665866499</v>
                </pt>
                <pt idx="49">
                  <v>0.01416018966121002</v>
                </pt>
                <pt idx="50">
                  <v>0.01267846669291278</v>
                </pt>
                <pt idx="51">
                  <v>0.01363082057700329</v>
                </pt>
                <pt idx="52">
                  <v>0.01209519156060004</v>
                </pt>
                <pt idx="53">
                  <v>0.01414614207054637</v>
                </pt>
                <pt idx="54">
                  <v>0.0139942087412811</v>
                </pt>
                <pt idx="55">
                  <v>0.01424581117207261</v>
                </pt>
                <pt idx="56">
                  <v>0.01405388586154348</v>
                </pt>
                <pt idx="57">
                  <v>0.01253392529063157</v>
                </pt>
                <pt idx="58">
                  <v>0.01450337588878496</v>
                </pt>
                <pt idx="59">
                  <v>0.01610472445015283</v>
                </pt>
                <pt idx="60">
                  <v>0.01638433327512032</v>
                </pt>
                <pt idx="61">
                  <v>0.0196657419203765</v>
                </pt>
                <pt idx="62">
                  <v>0.02064010917082549</v>
                </pt>
                <pt idx="63">
                  <v>0.01717546678486344</v>
                </pt>
                <pt idx="64">
                  <v>0.0192516204601396</v>
                </pt>
                <pt idx="65">
                  <v>0.01833104145921247</v>
                </pt>
                <pt idx="66">
                  <v>0.01761914716543533</v>
                </pt>
                <pt idx="67">
                  <v>0.01711489515944756</v>
                </pt>
                <pt idx="68">
                  <v>0.01785594863906914</v>
                </pt>
                <pt idx="69">
                  <v>0.02027835506014239</v>
                </pt>
                <pt idx="70">
                  <v>0.01928649395726505</v>
                </pt>
                <pt idx="71">
                  <v>0.01737963205741826</v>
                </pt>
                <pt idx="72">
                  <v>0.01758462331495332</v>
                </pt>
                <pt idx="73">
                  <v>0.01749988323031645</v>
                </pt>
                <pt idx="74">
                  <v>0.01883903064694786</v>
                </pt>
                <pt idx="75">
                  <v>0.03375533992669998</v>
                </pt>
                <pt idx="76">
                  <v>0.03844376890255497</v>
                </pt>
                <pt idx="77">
                  <v>0.04320410388542032</v>
                </pt>
                <pt idx="78">
                  <v>0.03894991434042138</v>
                </pt>
                <pt idx="79">
                  <v>0.03956879120538575</v>
                </pt>
                <pt idx="80">
                  <v>0.03818891551364293</v>
                </pt>
                <pt idx="81">
                  <v>0.03837726066292196</v>
                </pt>
                <pt idx="82">
                  <v>0.03679535281473649</v>
                </pt>
                <pt idx="83">
                  <v>0.03863907373927745</v>
                </pt>
                <pt idx="84">
                  <v>0.03696767582959479</v>
                </pt>
                <pt idx="85">
                  <v>0.03516288464186804</v>
                </pt>
                <pt idx="86">
                  <v>0.03362428089664757</v>
                </pt>
                <pt idx="87">
                  <v>0.02345108429744599</v>
                </pt>
                <pt idx="88">
                  <v>0.02111988873643321</v>
                </pt>
                <pt idx="89">
                  <v>0.02359015179976263</v>
                </pt>
                <pt idx="90">
                  <v>0.03374035150551949</v>
                </pt>
                <pt idx="91">
                  <v>0.03653124569163079</v>
                </pt>
                <pt idx="92">
                  <v>0.04462421031862745</v>
                </pt>
                <pt idx="93">
                  <v>0.05122527529684509</v>
                </pt>
                <pt idx="94">
                  <v>0.0582760542448449</v>
                </pt>
                <pt idx="95">
                  <v>0.0601448067699943</v>
                </pt>
                <pt idx="96">
                  <v>0.06744334078427305</v>
                </pt>
                <pt idx="97">
                  <v>0.0765731474774948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'CPI Energy'!$D$17:$D$904</f>
              <numCache>
                <formatCode>0.00%</formatCode>
                <ptCount val="88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-0.03686362780712673</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0.1093799767862445</v>
                </pt>
                <pt idx="589">
                  <v>0.1538710098015317</v>
                </pt>
                <pt idx="590">
                  <v>0.1094691440675175</v>
                </pt>
                <pt idx="591">
                  <v>0.09147193821533588</v>
                </pt>
                <pt idx="592">
                  <v>0.05370209336359194</v>
                </pt>
                <pt idx="593">
                  <v>0.02511677095267471</v>
                </pt>
                <pt idx="594">
                  <v>0.03535118436782593</v>
                </pt>
                <pt idx="595">
                  <v>0.0654175407369738</v>
                </pt>
                <pt idx="596">
                  <v>0.1024016479143584</v>
                </pt>
                <pt idx="597">
                  <v>0.06351700947550491</v>
                </pt>
                <pt idx="598">
                  <v>0.09310390483368294</v>
                </pt>
                <pt idx="599">
                  <v>0.0681960573997684</v>
                </pt>
                <pt idx="600">
                  <v>0.05731011795850034</v>
                </pt>
                <pt idx="601">
                  <v>0.07969284282513842</v>
                </pt>
                <pt idx="602">
                  <v>0.07077251796639678</v>
                </pt>
                <pt idx="603">
                  <v>0.07670566067362804</v>
                </pt>
                <pt idx="604">
                  <v>0.1109377830558967</v>
                </pt>
                <pt idx="605">
                  <v>0.1183398737761955</v>
                </pt>
                <pt idx="606">
                  <v>0.1197523105927072</v>
                </pt>
                <pt idx="607">
                  <v>0.1026347323253166</v>
                </pt>
                <pt idx="608">
                  <v>0.04937030798050288</v>
                </pt>
                <pt idx="609">
                  <v>0.08783890762713095</v>
                </pt>
                <pt idx="610">
                  <v>0.03097062728564439</v>
                </pt>
                <pt idx="611">
                  <v>-0.003204782304721741</v>
                </pt>
                <pt idx="612">
                  <v>-0.05039282377469811</v>
                </pt>
                <pt idx="613">
                  <v>-0.05200555138443325</v>
                </pt>
                <pt idx="614">
                  <v>-0.004295770744415398</v>
                </pt>
                <pt idx="615">
                  <v>0.01617872247338478</v>
                </pt>
                <pt idx="616">
                  <v>-0.004176292068668736</v>
                </pt>
                <pt idx="617">
                  <v>-0.03240407877184651</v>
                </pt>
                <pt idx="618">
                  <v>-0.01924551029347358</v>
                </pt>
                <pt idx="619">
                  <v>-0.04282048853956705</v>
                </pt>
                <pt idx="620">
                  <v>-0.04649447821864097</v>
                </pt>
                <pt idx="621">
                  <v>-0.04211524466888661</v>
                </pt>
                <pt idx="622">
                  <v>-0.006927154173237539</v>
                </pt>
                <pt idx="623">
                  <v>0.03427855918959113</v>
                </pt>
                <pt idx="624">
                  <v>0.06200442023225596</v>
                </pt>
                <pt idx="625">
                  <v>0.0270092542815451</v>
                </pt>
                <pt idx="626">
                  <v>-0.05829877251092496</v>
                </pt>
                <pt idx="627">
                  <v>-0.1757424632468359</v>
                </pt>
                <pt idx="628">
                  <v>-0.1830264546413886</v>
                </pt>
                <pt idx="629">
                  <v>-0.123320512760598</v>
                </pt>
                <pt idx="630">
                  <v>-0.1087880902535473</v>
                </pt>
                <pt idx="631">
                  <v>-0.08906236014076611</v>
                </pt>
                <pt idx="632">
                  <v>-0.07572199271876703</v>
                </pt>
                <pt idx="633">
                  <v>-0.09222049303362093</v>
                </pt>
                <pt idx="634">
                  <v>-0.09643718432907138</v>
                </pt>
                <pt idx="635">
                  <v>-0.07282971809319209</v>
                </pt>
                <pt idx="636">
                  <v>-0.0378564876298963</v>
                </pt>
                <pt idx="637">
                  <v>0.02328907334445677</v>
                </pt>
                <pt idx="638">
                  <v>0.1324712431340673</v>
                </pt>
                <pt idx="639">
                  <v>0.2495810390232223</v>
                </pt>
                <pt idx="640">
                  <v>0.2784922888480595</v>
                </pt>
                <pt idx="641">
                  <v>0.2420371979465966</v>
                </pt>
                <pt idx="642">
                  <v>0.2361066159965755</v>
                </pt>
                <pt idx="643">
                  <v>0.2488182786690249</v>
                </pt>
                <pt idx="644">
                  <v>0.2478124441950049</v>
                </pt>
                <pt idx="645">
                  <v>0.2996089410977036</v>
                </pt>
                <pt idx="646">
                  <v>0.3350908468294256</v>
                </pt>
                <pt idx="647">
                  <v>0.2963144770170236</v>
                </pt>
                <pt idx="648">
                  <v>0.2613911261633035</v>
                </pt>
                <pt idx="649">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'CPI Energy'!$D$401:$D$904</f>
              <numCache>
                <formatCode>0.00%</formatCode>
                <ptCount val="50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-0.03686362780712673</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0.1093799767862445</v>
                </pt>
                <pt idx="205">
                  <v>0.1538710098015317</v>
                </pt>
                <pt idx="206">
                  <v>0.1094691440675175</v>
                </pt>
                <pt idx="207">
                  <v>0.09147193821533588</v>
                </pt>
                <pt idx="208">
                  <v>0.05370209336359194</v>
                </pt>
                <pt idx="209">
                  <v>0.02511677095267471</v>
                </pt>
                <pt idx="210">
                  <v>0.03535118436782593</v>
                </pt>
                <pt idx="211">
                  <v>0.0654175407369738</v>
                </pt>
                <pt idx="212">
                  <v>0.1024016479143584</v>
                </pt>
                <pt idx="213">
                  <v>0.06351700947550491</v>
                </pt>
                <pt idx="214">
                  <v>0.09310390483368294</v>
                </pt>
                <pt idx="215">
                  <v>0.0681960573997684</v>
                </pt>
                <pt idx="216">
                  <v>0.05731011795850034</v>
                </pt>
                <pt idx="217">
                  <v>0.07969284282513842</v>
                </pt>
                <pt idx="218">
                  <v>0.07077251796639678</v>
                </pt>
                <pt idx="219">
                  <v>0.07670566067362804</v>
                </pt>
                <pt idx="220">
                  <v>0.1109377830558967</v>
                </pt>
                <pt idx="221">
                  <v>0.1183398737761955</v>
                </pt>
                <pt idx="222">
                  <v>0.1197523105927072</v>
                </pt>
                <pt idx="223">
                  <v>0.1026347323253166</v>
                </pt>
                <pt idx="224">
                  <v>0.04937030798050288</v>
                </pt>
                <pt idx="225">
                  <v>0.08783890762713095</v>
                </pt>
                <pt idx="226">
                  <v>0.03097062728564439</v>
                </pt>
                <pt idx="227">
                  <v>-0.003204782304721741</v>
                </pt>
                <pt idx="228">
                  <v>-0.05039282377469811</v>
                </pt>
                <pt idx="229">
                  <v>-0.05200555138443325</v>
                </pt>
                <pt idx="230">
                  <v>-0.004295770744415398</v>
                </pt>
                <pt idx="231">
                  <v>0.01617872247338478</v>
                </pt>
                <pt idx="232">
                  <v>-0.004176292068668736</v>
                </pt>
                <pt idx="233">
                  <v>-0.03240407877184651</v>
                </pt>
                <pt idx="234">
                  <v>-0.01924551029347358</v>
                </pt>
                <pt idx="235">
                  <v>-0.04282048853956705</v>
                </pt>
                <pt idx="236">
                  <v>-0.04649447821864097</v>
                </pt>
                <pt idx="237">
                  <v>-0.04211524466888661</v>
                </pt>
                <pt idx="238">
                  <v>-0.006927154173237539</v>
                </pt>
                <pt idx="239">
                  <v>0.03427855918959113</v>
                </pt>
                <pt idx="240">
                  <v>0.06200442023225596</v>
                </pt>
                <pt idx="241">
                  <v>0.0270092542815451</v>
                </pt>
                <pt idx="242">
                  <v>-0.05829877251092496</v>
                </pt>
                <pt idx="243">
                  <v>-0.1757424632468359</v>
                </pt>
                <pt idx="244">
                  <v>-0.1830264546413886</v>
                </pt>
                <pt idx="245">
                  <v>-0.123320512760598</v>
                </pt>
                <pt idx="246">
                  <v>-0.1087880902535473</v>
                </pt>
                <pt idx="247">
                  <v>-0.08906236014076611</v>
                </pt>
                <pt idx="248">
                  <v>-0.07572199271876703</v>
                </pt>
                <pt idx="249">
                  <v>-0.09222049303362093</v>
                </pt>
                <pt idx="250">
                  <v>-0.09643718432907138</v>
                </pt>
                <pt idx="251">
                  <v>-0.07282971809319209</v>
                </pt>
                <pt idx="252">
                  <v>-0.0378564876298963</v>
                </pt>
                <pt idx="253">
                  <v>0.02328907334445677</v>
                </pt>
                <pt idx="254">
                  <v>0.1324712431340673</v>
                </pt>
                <pt idx="255">
                  <v>0.2495810390232223</v>
                </pt>
                <pt idx="256">
                  <v>0.2784922888480595</v>
                </pt>
                <pt idx="257">
                  <v>0.2420371979465966</v>
                </pt>
                <pt idx="258">
                  <v>0.2361066159965755</v>
                </pt>
                <pt idx="259">
                  <v>0.2488182786690249</v>
                </pt>
                <pt idx="260">
                  <v>0.2478124441950049</v>
                </pt>
                <pt idx="261">
                  <v>0.2996089410977036</v>
                </pt>
                <pt idx="262">
                  <v>0.3350908468294256</v>
                </pt>
                <pt idx="263">
                  <v>0.2963144770170236</v>
                </pt>
                <pt idx="264">
                  <v>0.2613911261633035</v>
                </pt>
                <pt idx="265">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'CPI Energy'!$D$569:$D$904</f>
              <numCache>
                <formatCode>0.00%</formatCode>
                <ptCount val="33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0.1093799767862445</v>
                </pt>
                <pt idx="37">
                  <v>0.1538710098015317</v>
                </pt>
                <pt idx="38">
                  <v>0.1094691440675175</v>
                </pt>
                <pt idx="39">
                  <v>0.09147193821533588</v>
                </pt>
                <pt idx="40">
                  <v>0.05370209336359194</v>
                </pt>
                <pt idx="41">
                  <v>0.02511677095267471</v>
                </pt>
                <pt idx="42">
                  <v>0.03535118436782593</v>
                </pt>
                <pt idx="43">
                  <v>0.0654175407369738</v>
                </pt>
                <pt idx="44">
                  <v>0.1024016479143584</v>
                </pt>
                <pt idx="45">
                  <v>0.06351700947550491</v>
                </pt>
                <pt idx="46">
                  <v>0.09310390483368294</v>
                </pt>
                <pt idx="47">
                  <v>0.0681960573997684</v>
                </pt>
                <pt idx="48">
                  <v>0.05731011795850034</v>
                </pt>
                <pt idx="49">
                  <v>0.07969284282513842</v>
                </pt>
                <pt idx="50">
                  <v>0.07077251796639678</v>
                </pt>
                <pt idx="51">
                  <v>0.07670566067362804</v>
                </pt>
                <pt idx="52">
                  <v>0.1109377830558967</v>
                </pt>
                <pt idx="53">
                  <v>0.1183398737761955</v>
                </pt>
                <pt idx="54">
                  <v>0.1197523105927072</v>
                </pt>
                <pt idx="55">
                  <v>0.1026347323253166</v>
                </pt>
                <pt idx="56">
                  <v>0.04937030798050288</v>
                </pt>
                <pt idx="57">
                  <v>0.08783890762713095</v>
                </pt>
                <pt idx="58">
                  <v>0.03097062728564439</v>
                </pt>
                <pt idx="59">
                  <v>-0.003204782304721741</v>
                </pt>
                <pt idx="60">
                  <v>-0.05039282377469811</v>
                </pt>
                <pt idx="61">
                  <v>-0.05200555138443325</v>
                </pt>
                <pt idx="62">
                  <v>-0.004295770744415398</v>
                </pt>
                <pt idx="63">
                  <v>0.01617872247338478</v>
                </pt>
                <pt idx="64">
                  <v>-0.004176292068668736</v>
                </pt>
                <pt idx="65">
                  <v>-0.03240407877184651</v>
                </pt>
                <pt idx="66">
                  <v>-0.01924551029347358</v>
                </pt>
                <pt idx="67">
                  <v>-0.04282048853956705</v>
                </pt>
                <pt idx="68">
                  <v>-0.04649447821864097</v>
                </pt>
                <pt idx="69">
                  <v>-0.04211524466888661</v>
                </pt>
                <pt idx="70">
                  <v>-0.006927154173237539</v>
                </pt>
                <pt idx="71">
                  <v>0.03427855918959113</v>
                </pt>
                <pt idx="72">
                  <v>0.06200442023225596</v>
                </pt>
                <pt idx="73">
                  <v>0.0270092542815451</v>
                </pt>
                <pt idx="74">
                  <v>-0.05829877251092496</v>
                </pt>
                <pt idx="75">
                  <v>-0.1757424632468359</v>
                </pt>
                <pt idx="76">
                  <v>-0.1830264546413886</v>
                </pt>
                <pt idx="77">
                  <v>-0.123320512760598</v>
                </pt>
                <pt idx="78">
                  <v>-0.1087880902535473</v>
                </pt>
                <pt idx="79">
                  <v>-0.08906236014076611</v>
                </pt>
                <pt idx="80">
                  <v>-0.07572199271876703</v>
                </pt>
                <pt idx="81">
                  <v>-0.09222049303362093</v>
                </pt>
                <pt idx="82">
                  <v>-0.09643718432907138</v>
                </pt>
                <pt idx="83">
                  <v>-0.07282971809319209</v>
                </pt>
                <pt idx="84">
                  <v>-0.0378564876298963</v>
                </pt>
                <pt idx="85">
                  <v>0.02328907334445677</v>
                </pt>
                <pt idx="86">
                  <v>0.1324712431340673</v>
                </pt>
                <pt idx="87">
                  <v>0.2495810390232223</v>
                </pt>
                <pt idx="88">
                  <v>0.2784922888480595</v>
                </pt>
                <pt idx="89">
                  <v>0.2420371979465966</v>
                </pt>
                <pt idx="90">
                  <v>0.2361066159965755</v>
                </pt>
                <pt idx="91">
                  <v>0.2488182786690249</v>
                </pt>
                <pt idx="92">
                  <v>0.2478124441950049</v>
                </pt>
                <pt idx="93">
                  <v>0.2996089410977036</v>
                </pt>
                <pt idx="94">
                  <v>0.3350908468294256</v>
                </pt>
                <pt idx="95">
                  <v>0.2963144770170236</v>
                </pt>
                <pt idx="96">
                  <v>0.2613911261633035</v>
                </pt>
                <pt idx="97">
                  <v>0.2567939126542619</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CPI'!$D$53:$D$668</f>
              <numCache>
                <formatCode>0.00%</formatCode>
                <ptCount val="61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0.02248168030862802</v>
                </pt>
                <pt idx="553">
                  <v>0.02196651867541037</v>
                </pt>
                <pt idx="554">
                  <v>0.02001927510948995</v>
                </pt>
                <pt idx="555">
                  <v>0.01906704900811606</v>
                </pt>
                <pt idx="556">
                  <v>0.01760561955514552</v>
                </pt>
                <pt idx="557">
                  <v>0.01729821442999116</v>
                </pt>
                <pt idx="558">
                  <v>0.01701979994270238</v>
                </pt>
                <pt idx="559">
                  <v>0.01680198693357703</v>
                </pt>
                <pt idx="560">
                  <v>0.0168661238858391</v>
                </pt>
                <pt idx="561">
                  <v>0.0176325147907619</v>
                </pt>
                <pt idx="562">
                  <v>0.01708747359518362</v>
                </pt>
                <pt idx="563">
                  <v>0.01755761843790015</v>
                </pt>
                <pt idx="564">
                  <v>0.01814646533206641</v>
                </pt>
                <pt idx="565">
                  <v>0.01821022466849746</v>
                </pt>
                <pt idx="566">
                  <v>0.02105359677239314</v>
                </pt>
                <pt idx="567">
                  <v>0.02150828650120197</v>
                </pt>
                <pt idx="568">
                  <v>0.02254183102175842</v>
                </pt>
                <pt idx="569">
                  <v>0.02268268856573289</v>
                </pt>
                <pt idx="570">
                  <v>0.02334088483497129</v>
                </pt>
                <pt idx="571">
                  <v>0.02170651274559862</v>
                </pt>
                <pt idx="572">
                  <v>0.02171602006014885</v>
                </pt>
                <pt idx="573">
                  <v>0.02151182282525087</v>
                </pt>
                <pt idx="574">
                  <v>0.02234929692918855</v>
                </pt>
                <pt idx="575">
                  <v>0.0218829136322884</v>
                </pt>
                <pt idx="576">
                  <v>0.02122294682106757</v>
                </pt>
                <pt idx="577">
                  <v>0.0205501972818938</v>
                </pt>
                <pt idx="578">
                  <v>0.02038911903544076</v>
                </pt>
                <pt idx="579">
                  <v>0.0210164578268188</v>
                </pt>
                <pt idx="580">
                  <v>0.02032610428648659</v>
                </pt>
                <pt idx="581">
                  <v>0.02167869096895954</v>
                </pt>
                <pt idx="582">
                  <v>0.02204474082115294</v>
                </pt>
                <pt idx="583">
                  <v>0.02352371357718547</v>
                </pt>
                <pt idx="584">
                  <v>0.02347466870895131</v>
                </pt>
                <pt idx="585">
                  <v>0.02330987030337209</v>
                </pt>
                <pt idx="586">
                  <v>0.02317522117071102</v>
                </pt>
                <pt idx="587">
                  <v>0.02223393734631924</v>
                </pt>
                <pt idx="588">
                  <v>0.02260587745133804</v>
                </pt>
                <pt idx="589">
                  <v>0.02360368515123387</v>
                </pt>
                <pt idx="590">
                  <v>0.0209727595192451</v>
                </pt>
                <pt idx="591">
                  <v>0.01444762449914139</v>
                </pt>
                <pt idx="592">
                  <v>0.01239785962558687</v>
                </pt>
                <pt idx="593">
                  <v>0.01202886928628695</v>
                </pt>
                <pt idx="594">
                  <v>0.01557568584607913</v>
                </pt>
                <pt idx="595">
                  <v>0.01704706777562828</v>
                </pt>
                <pt idx="596">
                  <v>0.01720313072792056</v>
                </pt>
                <pt idx="597">
                  <v>0.0163153803777743</v>
                </pt>
                <pt idx="598">
                  <v>0.01654692250599975</v>
                </pt>
                <pt idx="599">
                  <v>0.01614524319501898</v>
                </pt>
                <pt idx="600">
                  <v>0.01396513784894067</v>
                </pt>
                <pt idx="601">
                  <v>0.01282618144756367</v>
                </pt>
                <pt idx="602">
                  <v>0.01646803088224273</v>
                </pt>
                <pt idx="603">
                  <v>0.02958214839224174</v>
                </pt>
                <pt idx="604">
                  <v>0.03795028554004155</v>
                </pt>
                <pt idx="605">
                  <v>0.04453173703066676</v>
                </pt>
                <pt idx="606">
                  <v>0.04232748896243116</v>
                </pt>
                <pt idx="607">
                  <v>0.03976862432720163</v>
                </pt>
                <pt idx="608">
                  <v>0.04035592873994547</v>
                </pt>
                <pt idx="609">
                  <v>0.04583255986634479</v>
                </pt>
                <pt idx="610">
                  <v>0.04959621079316136</v>
                </pt>
                <pt idx="611">
                  <v>0.05489738460398613</v>
                </pt>
                <pt idx="612">
                  <v>0.06075733728358488</v>
                </pt>
                <pt idx="613">
                  <v>0.06503538673838974</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CPI'!$A$53:$A$668</f>
              <numCache>
                <formatCode>[$-409]mmm\-yy;@</formatCode>
                <ptCount val="61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numCache>
            </numRef>
          </cat>
          <val>
            <numRef>
              <f>'Core CPI'!$E$53:$E$668</f>
              <numCache>
                <formatCode>0.00</formatCode>
                <ptCount val="61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CPI'!$D$450:$D$668</f>
              <numCache>
                <formatCode>0.00%</formatCode>
                <ptCount val="21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0.02248168030862802</v>
                </pt>
                <pt idx="156">
                  <v>0.02196651867541037</v>
                </pt>
                <pt idx="157">
                  <v>0.02001927510948995</v>
                </pt>
                <pt idx="158">
                  <v>0.01906704900811606</v>
                </pt>
                <pt idx="159">
                  <v>0.01760561955514552</v>
                </pt>
                <pt idx="160">
                  <v>0.01729821442999116</v>
                </pt>
                <pt idx="161">
                  <v>0.01701979994270238</v>
                </pt>
                <pt idx="162">
                  <v>0.01680198693357703</v>
                </pt>
                <pt idx="163">
                  <v>0.0168661238858391</v>
                </pt>
                <pt idx="164">
                  <v>0.0176325147907619</v>
                </pt>
                <pt idx="165">
                  <v>0.01708747359518362</v>
                </pt>
                <pt idx="166">
                  <v>0.01755761843790015</v>
                </pt>
                <pt idx="167">
                  <v>0.01814646533206641</v>
                </pt>
                <pt idx="168">
                  <v>0.01821022466849746</v>
                </pt>
                <pt idx="169">
                  <v>0.02105359677239314</v>
                </pt>
                <pt idx="170">
                  <v>0.02150828650120197</v>
                </pt>
                <pt idx="171">
                  <v>0.02254183102175842</v>
                </pt>
                <pt idx="172">
                  <v>0.02268268856573289</v>
                </pt>
                <pt idx="173">
                  <v>0.02334088483497129</v>
                </pt>
                <pt idx="174">
                  <v>0.02170651274559862</v>
                </pt>
                <pt idx="175">
                  <v>0.02171602006014885</v>
                </pt>
                <pt idx="176">
                  <v>0.02151182282525087</v>
                </pt>
                <pt idx="177">
                  <v>0.02234929692918855</v>
                </pt>
                <pt idx="178">
                  <v>0.0218829136322884</v>
                </pt>
                <pt idx="179">
                  <v>0.02122294682106757</v>
                </pt>
                <pt idx="180">
                  <v>0.0205501972818938</v>
                </pt>
                <pt idx="181">
                  <v>0.02038911903544076</v>
                </pt>
                <pt idx="182">
                  <v>0.0210164578268188</v>
                </pt>
                <pt idx="183">
                  <v>0.02032610428648659</v>
                </pt>
                <pt idx="184">
                  <v>0.02167869096895954</v>
                </pt>
                <pt idx="185">
                  <v>0.02204474082115294</v>
                </pt>
                <pt idx="186">
                  <v>0.02352371357718547</v>
                </pt>
                <pt idx="187">
                  <v>0.02347466870895131</v>
                </pt>
                <pt idx="188">
                  <v>0.02330987030337209</v>
                </pt>
                <pt idx="189">
                  <v>0.02317522117071102</v>
                </pt>
                <pt idx="190">
                  <v>0.02223393734631924</v>
                </pt>
                <pt idx="191">
                  <v>0.02260587745133804</v>
                </pt>
                <pt idx="192">
                  <v>0.02360368515123387</v>
                </pt>
                <pt idx="193">
                  <v>0.0209727595192451</v>
                </pt>
                <pt idx="194">
                  <v>0.01444762449914139</v>
                </pt>
                <pt idx="195">
                  <v>0.01239785962558687</v>
                </pt>
                <pt idx="196">
                  <v>0.01202886928628695</v>
                </pt>
                <pt idx="197">
                  <v>0.01557568584607913</v>
                </pt>
                <pt idx="198">
                  <v>0.01704706777562828</v>
                </pt>
                <pt idx="199">
                  <v>0.01720313072792056</v>
                </pt>
                <pt idx="200">
                  <v>0.0163153803777743</v>
                </pt>
                <pt idx="201">
                  <v>0.01654692250599975</v>
                </pt>
                <pt idx="202">
                  <v>0.01614524319501898</v>
                </pt>
                <pt idx="203">
                  <v>0.01396513784894067</v>
                </pt>
                <pt idx="204">
                  <v>0.01282618144756367</v>
                </pt>
                <pt idx="205">
                  <v>0.01646803088224273</v>
                </pt>
                <pt idx="206">
                  <v>0.02958214839224174</v>
                </pt>
                <pt idx="207">
                  <v>0.03795028554004155</v>
                </pt>
                <pt idx="208">
                  <v>0.04453173703066676</v>
                </pt>
                <pt idx="209">
                  <v>0.04232748896243116</v>
                </pt>
                <pt idx="210">
                  <v>0.03976862432720163</v>
                </pt>
                <pt idx="211">
                  <v>0.04035592873994547</v>
                </pt>
                <pt idx="212">
                  <v>0.04583255986634479</v>
                </pt>
                <pt idx="213">
                  <v>0.04959621079316136</v>
                </pt>
                <pt idx="214">
                  <v>0.05489738460398613</v>
                </pt>
                <pt idx="215">
                  <v>0.06075733728358488</v>
                </pt>
                <pt idx="216">
                  <v>0.06503538673838974</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CPI'!$A$450:$A$668</f>
              <numCache>
                <formatCode>[$-409]mmm\-yy;@</formatCode>
                <ptCount val="21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numCache>
            </numRef>
          </cat>
          <val>
            <numRef>
              <f>'Core CPI'!$F$450:$F$668</f>
              <numCache>
                <formatCode>0%</formatCode>
                <ptCount val="21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CPI'!$A$17:$A$904</f>
              <numCache>
                <formatCode>[$-409]mmm\-yy;@</formatCode>
                <ptCount val="88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numCache>
            </numRef>
          </cat>
          <val>
            <numRef>
              <f>'Core CPI'!$D$17:$D$904</f>
              <numCache>
                <formatCode>0.00%</formatCode>
                <ptCount val="88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0.02248168030862802</v>
                </pt>
                <pt idx="589">
                  <v>0.02196651867541037</v>
                </pt>
                <pt idx="590">
                  <v>0.02001927510948995</v>
                </pt>
                <pt idx="591">
                  <v>0.01906704900811606</v>
                </pt>
                <pt idx="592">
                  <v>0.01760561955514552</v>
                </pt>
                <pt idx="593">
                  <v>0.01729821442999116</v>
                </pt>
                <pt idx="594">
                  <v>0.01701979994270238</v>
                </pt>
                <pt idx="595">
                  <v>0.01680198693357703</v>
                </pt>
                <pt idx="596">
                  <v>0.0168661238858391</v>
                </pt>
                <pt idx="597">
                  <v>0.0176325147907619</v>
                </pt>
                <pt idx="598">
                  <v>0.01708747359518362</v>
                </pt>
                <pt idx="599">
                  <v>0.01755761843790015</v>
                </pt>
                <pt idx="600">
                  <v>0.01814646533206641</v>
                </pt>
                <pt idx="601">
                  <v>0.01821022466849746</v>
                </pt>
                <pt idx="602">
                  <v>0.02105359677239314</v>
                </pt>
                <pt idx="603">
                  <v>0.02150828650120197</v>
                </pt>
                <pt idx="604">
                  <v>0.02254183102175842</v>
                </pt>
                <pt idx="605">
                  <v>0.02268268856573289</v>
                </pt>
                <pt idx="606">
                  <v>0.02334088483497129</v>
                </pt>
                <pt idx="607">
                  <v>0.02170651274559862</v>
                </pt>
                <pt idx="608">
                  <v>0.02171602006014885</v>
                </pt>
                <pt idx="609">
                  <v>0.02151182282525087</v>
                </pt>
                <pt idx="610">
                  <v>0.02234929692918855</v>
                </pt>
                <pt idx="611">
                  <v>0.0218829136322884</v>
                </pt>
                <pt idx="612">
                  <v>0.02122294682106757</v>
                </pt>
                <pt idx="613">
                  <v>0.0205501972818938</v>
                </pt>
                <pt idx="614">
                  <v>0.02038911903544076</v>
                </pt>
                <pt idx="615">
                  <v>0.0210164578268188</v>
                </pt>
                <pt idx="616">
                  <v>0.02032610428648659</v>
                </pt>
                <pt idx="617">
                  <v>0.02167869096895954</v>
                </pt>
                <pt idx="618">
                  <v>0.02204474082115294</v>
                </pt>
                <pt idx="619">
                  <v>0.02352371357718547</v>
                </pt>
                <pt idx="620">
                  <v>0.02347466870895131</v>
                </pt>
                <pt idx="621">
                  <v>0.02330987030337209</v>
                </pt>
                <pt idx="622">
                  <v>0.02317522117071102</v>
                </pt>
                <pt idx="623">
                  <v>0.02223393734631924</v>
                </pt>
                <pt idx="624">
                  <v>0.02260587745133804</v>
                </pt>
                <pt idx="625">
                  <v>0.02360368515123387</v>
                </pt>
                <pt idx="626">
                  <v>0.0209727595192451</v>
                </pt>
                <pt idx="627">
                  <v>0.01444762449914139</v>
                </pt>
                <pt idx="628">
                  <v>0.01239785962558687</v>
                </pt>
                <pt idx="629">
                  <v>0.01202886928628695</v>
                </pt>
                <pt idx="630">
                  <v>0.01557568584607913</v>
                </pt>
                <pt idx="631">
                  <v>0.01704706777562828</v>
                </pt>
                <pt idx="632">
                  <v>0.01720313072792056</v>
                </pt>
                <pt idx="633">
                  <v>0.0163153803777743</v>
                </pt>
                <pt idx="634">
                  <v>0.01654692250599975</v>
                </pt>
                <pt idx="635">
                  <v>0.01614524319501898</v>
                </pt>
                <pt idx="636">
                  <v>0.01396513784894067</v>
                </pt>
                <pt idx="637">
                  <v>0.01282618144756367</v>
                </pt>
                <pt idx="638">
                  <v>0.01646803088224273</v>
                </pt>
                <pt idx="639">
                  <v>0.02958214839224174</v>
                </pt>
                <pt idx="640">
                  <v>0.03795028554004155</v>
                </pt>
                <pt idx="641">
                  <v>0.04453173703066676</v>
                </pt>
                <pt idx="642">
                  <v>0.04232748896243116</v>
                </pt>
                <pt idx="643">
                  <v>0.03976862432720163</v>
                </pt>
                <pt idx="644">
                  <v>0.04035592873994547</v>
                </pt>
                <pt idx="645">
                  <v>0.04583255986634479</v>
                </pt>
                <pt idx="646">
                  <v>0.04959621079316136</v>
                </pt>
                <pt idx="647">
                  <v>0.05489738460398613</v>
                </pt>
                <pt idx="648">
                  <v>0.06075733728358488</v>
                </pt>
                <pt idx="649">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CPI'!$A$401:$A$904</f>
              <numCache>
                <formatCode>[$-409]mmm\-yy;@</formatCode>
                <ptCount val="50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numCache>
            </numRef>
          </cat>
          <val>
            <numRef>
              <f>'Core CPI'!$D$401:$D$904</f>
              <numCache>
                <formatCode>0.00%</formatCode>
                <ptCount val="50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0.02248168030862802</v>
                </pt>
                <pt idx="205">
                  <v>0.02196651867541037</v>
                </pt>
                <pt idx="206">
                  <v>0.02001927510948995</v>
                </pt>
                <pt idx="207">
                  <v>0.01906704900811606</v>
                </pt>
                <pt idx="208">
                  <v>0.01760561955514552</v>
                </pt>
                <pt idx="209">
                  <v>0.01729821442999116</v>
                </pt>
                <pt idx="210">
                  <v>0.01701979994270238</v>
                </pt>
                <pt idx="211">
                  <v>0.01680198693357703</v>
                </pt>
                <pt idx="212">
                  <v>0.0168661238858391</v>
                </pt>
                <pt idx="213">
                  <v>0.0176325147907619</v>
                </pt>
                <pt idx="214">
                  <v>0.01708747359518362</v>
                </pt>
                <pt idx="215">
                  <v>0.01755761843790015</v>
                </pt>
                <pt idx="216">
                  <v>0.01814646533206641</v>
                </pt>
                <pt idx="217">
                  <v>0.01821022466849746</v>
                </pt>
                <pt idx="218">
                  <v>0.02105359677239314</v>
                </pt>
                <pt idx="219">
                  <v>0.02150828650120197</v>
                </pt>
                <pt idx="220">
                  <v>0.02254183102175842</v>
                </pt>
                <pt idx="221">
                  <v>0.02268268856573289</v>
                </pt>
                <pt idx="222">
                  <v>0.02334088483497129</v>
                </pt>
                <pt idx="223">
                  <v>0.02170651274559862</v>
                </pt>
                <pt idx="224">
                  <v>0.02171602006014885</v>
                </pt>
                <pt idx="225">
                  <v>0.02151182282525087</v>
                </pt>
                <pt idx="226">
                  <v>0.02234929692918855</v>
                </pt>
                <pt idx="227">
                  <v>0.0218829136322884</v>
                </pt>
                <pt idx="228">
                  <v>0.02122294682106757</v>
                </pt>
                <pt idx="229">
                  <v>0.0205501972818938</v>
                </pt>
                <pt idx="230">
                  <v>0.02038911903544076</v>
                </pt>
                <pt idx="231">
                  <v>0.0210164578268188</v>
                </pt>
                <pt idx="232">
                  <v>0.02032610428648659</v>
                </pt>
                <pt idx="233">
                  <v>0.02167869096895954</v>
                </pt>
                <pt idx="234">
                  <v>0.02204474082115294</v>
                </pt>
                <pt idx="235">
                  <v>0.02352371357718547</v>
                </pt>
                <pt idx="236">
                  <v>0.02347466870895131</v>
                </pt>
                <pt idx="237">
                  <v>0.02330987030337209</v>
                </pt>
                <pt idx="238">
                  <v>0.02317522117071102</v>
                </pt>
                <pt idx="239">
                  <v>0.02223393734631924</v>
                </pt>
                <pt idx="240">
                  <v>0.02260587745133804</v>
                </pt>
                <pt idx="241">
                  <v>0.02360368515123387</v>
                </pt>
                <pt idx="242">
                  <v>0.0209727595192451</v>
                </pt>
                <pt idx="243">
                  <v>0.01444762449914139</v>
                </pt>
                <pt idx="244">
                  <v>0.01239785962558687</v>
                </pt>
                <pt idx="245">
                  <v>0.01202886928628695</v>
                </pt>
                <pt idx="246">
                  <v>0.01557568584607913</v>
                </pt>
                <pt idx="247">
                  <v>0.01704706777562828</v>
                </pt>
                <pt idx="248">
                  <v>0.01720313072792056</v>
                </pt>
                <pt idx="249">
                  <v>0.0163153803777743</v>
                </pt>
                <pt idx="250">
                  <v>0.01654692250599975</v>
                </pt>
                <pt idx="251">
                  <v>0.01614524319501898</v>
                </pt>
                <pt idx="252">
                  <v>0.01396513784894067</v>
                </pt>
                <pt idx="253">
                  <v>0.01282618144756367</v>
                </pt>
                <pt idx="254">
                  <v>0.01646803088224273</v>
                </pt>
                <pt idx="255">
                  <v>0.02958214839224174</v>
                </pt>
                <pt idx="256">
                  <v>0.03795028554004155</v>
                </pt>
                <pt idx="257">
                  <v>0.04453173703066676</v>
                </pt>
                <pt idx="258">
                  <v>0.04232748896243116</v>
                </pt>
                <pt idx="259">
                  <v>0.03976862432720163</v>
                </pt>
                <pt idx="260">
                  <v>0.04035592873994547</v>
                </pt>
                <pt idx="261">
                  <v>0.04583255986634479</v>
                </pt>
                <pt idx="262">
                  <v>0.04959621079316136</v>
                </pt>
                <pt idx="263">
                  <v>0.05489738460398613</v>
                </pt>
                <pt idx="264">
                  <v>0.06075733728358488</v>
                </pt>
                <pt idx="265">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CPI'!$A$449:$A$668</f>
              <numCache>
                <formatCode>[$-409]mmm\-yy;@</formatCode>
                <ptCount val="22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CPI'!$C$449:$C$668</f>
              <numCache>
                <formatCode>0.00%</formatCode>
                <ptCount val="22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CPI'!$A$569:$A$904</f>
              <numCache>
                <formatCode>[$-409]mmm\-yy;@</formatCode>
                <ptCount val="33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numCache>
            </numRef>
          </cat>
          <val>
            <numRef>
              <f>'Core CPI'!$D$569:$D$904</f>
              <numCache>
                <formatCode>0.00%</formatCode>
                <ptCount val="33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0.02248168030862802</v>
                </pt>
                <pt idx="37">
                  <v>0.02196651867541037</v>
                </pt>
                <pt idx="38">
                  <v>0.02001927510948995</v>
                </pt>
                <pt idx="39">
                  <v>0.01906704900811606</v>
                </pt>
                <pt idx="40">
                  <v>0.01760561955514552</v>
                </pt>
                <pt idx="41">
                  <v>0.01729821442999116</v>
                </pt>
                <pt idx="42">
                  <v>0.01701979994270238</v>
                </pt>
                <pt idx="43">
                  <v>0.01680198693357703</v>
                </pt>
                <pt idx="44">
                  <v>0.0168661238858391</v>
                </pt>
                <pt idx="45">
                  <v>0.0176325147907619</v>
                </pt>
                <pt idx="46">
                  <v>0.01708747359518362</v>
                </pt>
                <pt idx="47">
                  <v>0.01755761843790015</v>
                </pt>
                <pt idx="48">
                  <v>0.01814646533206641</v>
                </pt>
                <pt idx="49">
                  <v>0.01821022466849746</v>
                </pt>
                <pt idx="50">
                  <v>0.02105359677239314</v>
                </pt>
                <pt idx="51">
                  <v>0.02150828650120197</v>
                </pt>
                <pt idx="52">
                  <v>0.02254183102175842</v>
                </pt>
                <pt idx="53">
                  <v>0.02268268856573289</v>
                </pt>
                <pt idx="54">
                  <v>0.02334088483497129</v>
                </pt>
                <pt idx="55">
                  <v>0.02170651274559862</v>
                </pt>
                <pt idx="56">
                  <v>0.02171602006014885</v>
                </pt>
                <pt idx="57">
                  <v>0.02151182282525087</v>
                </pt>
                <pt idx="58">
                  <v>0.02234929692918855</v>
                </pt>
                <pt idx="59">
                  <v>0.0218829136322884</v>
                </pt>
                <pt idx="60">
                  <v>0.02122294682106757</v>
                </pt>
                <pt idx="61">
                  <v>0.0205501972818938</v>
                </pt>
                <pt idx="62">
                  <v>0.02038911903544076</v>
                </pt>
                <pt idx="63">
                  <v>0.0210164578268188</v>
                </pt>
                <pt idx="64">
                  <v>0.02032610428648659</v>
                </pt>
                <pt idx="65">
                  <v>0.02167869096895954</v>
                </pt>
                <pt idx="66">
                  <v>0.02204474082115294</v>
                </pt>
                <pt idx="67">
                  <v>0.02352371357718547</v>
                </pt>
                <pt idx="68">
                  <v>0.02347466870895131</v>
                </pt>
                <pt idx="69">
                  <v>0.02330987030337209</v>
                </pt>
                <pt idx="70">
                  <v>0.02317522117071102</v>
                </pt>
                <pt idx="71">
                  <v>0.02223393734631924</v>
                </pt>
                <pt idx="72">
                  <v>0.02260587745133804</v>
                </pt>
                <pt idx="73">
                  <v>0.02360368515123387</v>
                </pt>
                <pt idx="74">
                  <v>0.0209727595192451</v>
                </pt>
                <pt idx="75">
                  <v>0.01444762449914139</v>
                </pt>
                <pt idx="76">
                  <v>0.01239785962558687</v>
                </pt>
                <pt idx="77">
                  <v>0.01202886928628695</v>
                </pt>
                <pt idx="78">
                  <v>0.01557568584607913</v>
                </pt>
                <pt idx="79">
                  <v>0.01704706777562828</v>
                </pt>
                <pt idx="80">
                  <v>0.01720313072792056</v>
                </pt>
                <pt idx="81">
                  <v>0.0163153803777743</v>
                </pt>
                <pt idx="82">
                  <v>0.01654692250599975</v>
                </pt>
                <pt idx="83">
                  <v>0.01614524319501898</v>
                </pt>
                <pt idx="84">
                  <v>0.01396513784894067</v>
                </pt>
                <pt idx="85">
                  <v>0.01282618144756367</v>
                </pt>
                <pt idx="86">
                  <v>0.01646803088224273</v>
                </pt>
                <pt idx="87">
                  <v>0.02958214839224174</v>
                </pt>
                <pt idx="88">
                  <v>0.03795028554004155</v>
                </pt>
                <pt idx="89">
                  <v>0.04453173703066676</v>
                </pt>
                <pt idx="90">
                  <v>0.04232748896243116</v>
                </pt>
                <pt idx="91">
                  <v>0.03976862432720163</v>
                </pt>
                <pt idx="92">
                  <v>0.04035592873994547</v>
                </pt>
                <pt idx="93">
                  <v>0.04583255986634479</v>
                </pt>
                <pt idx="94">
                  <v>0.04959621079316136</v>
                </pt>
                <pt idx="95">
                  <v>0.05489738460398613</v>
                </pt>
                <pt idx="96">
                  <v>0.06075733728358488</v>
                </pt>
                <pt idx="97">
                  <v>0.06503538673838974</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0.00216869398207427</v>
                </pt>
                <pt idx="157">
                  <v>0.0017607461411312</v>
                </pt>
                <pt idx="158">
                  <v>-0.0002670354678898971</v>
                </pt>
                <pt idx="159">
                  <v>0.001658454129391303</v>
                </pt>
                <pt idx="160">
                  <v>0.0009392960056038957</v>
                </pt>
                <pt idx="161">
                  <v>0.001328095177503512</v>
                </pt>
                <pt idx="162">
                  <v>0.0008934882575787434</v>
                </pt>
                <pt idx="163">
                  <v>0.002182132697473135</v>
                </pt>
                <pt idx="164">
                  <v>0.00174982284033452</v>
                </pt>
                <pt idx="165">
                  <v>0.001960172147376528</v>
                </pt>
                <pt idx="166">
                  <v>0.0008243437789654414</v>
                </pt>
                <pt idx="167">
                  <v>0.00222271265527458</v>
                </pt>
                <pt idx="168">
                  <v>0.002748635512842743</v>
                </pt>
                <pt idx="169">
                  <v>0.001823479355468687</v>
                </pt>
                <pt idx="170">
                  <v>0.002524738523204148</v>
                </pt>
                <pt idx="171">
                  <v>0.002104506924569581</v>
                </pt>
                <pt idx="172">
                  <v>0.001952029175238359</v>
                </pt>
                <pt idx="173">
                  <v>0.00146603047943478</v>
                </pt>
                <pt idx="174">
                  <v>0.001537661046696805</v>
                </pt>
                <pt idx="175">
                  <v>0.0005815531345713072</v>
                </pt>
                <pt idx="176">
                  <v>0.00175914445133295</v>
                </pt>
                <pt idx="177">
                  <v>0.001759923259609893</v>
                </pt>
                <pt idx="178">
                  <v>0.001644857503600711</v>
                </pt>
                <pt idx="179">
                  <v>0.001765510860975541</v>
                </pt>
                <pt idx="180">
                  <v>0.002101026270524419</v>
                </pt>
                <pt idx="181">
                  <v>0.001163509574954198</v>
                </pt>
                <pt idx="182">
                  <v>0.002366505319842663</v>
                </pt>
                <pt idx="183">
                  <v>0.002720604272611484</v>
                </pt>
                <pt idx="184">
                  <v>0.00127456592253388</v>
                </pt>
                <pt idx="185">
                  <v>0.002793615464357598</v>
                </pt>
                <pt idx="186">
                  <v>0.001896494715278628</v>
                </pt>
                <pt idx="187">
                  <v>0.002029467103666033</v>
                </pt>
                <pt idx="188">
                  <v>0.001711142490469459</v>
                </pt>
                <pt idx="189">
                  <v>0.00159862133082392</v>
                </pt>
                <pt idx="190">
                  <v>0.001513059096088725</v>
                </pt>
                <pt idx="191">
                  <v>0.0008439231879198029</v>
                </pt>
                <pt idx="192">
                  <v>0.002465641010197487</v>
                </pt>
                <pt idx="193">
                  <v>0.002140394884080694</v>
                </pt>
                <pt idx="194">
                  <v>-0.000209835279305682</v>
                </pt>
                <pt idx="195">
                  <v>-0.003687879469305076</v>
                </pt>
                <pt idx="196">
                  <v>-0.0007485818324079969</v>
                </pt>
                <pt idx="197">
                  <v>0.002428125599972827</v>
                </pt>
                <pt idx="198">
                  <v>0.005407800752585596</v>
                </pt>
                <pt idx="199">
                  <v>0.003481223059741136</v>
                </pt>
                <pt idx="200">
                  <v>0.001864852189060935</v>
                </pt>
                <pt idx="201">
                  <v>0.0007244896063608331</v>
                </pt>
                <pt idx="202">
                  <v>0.001741228884351194</v>
                </pt>
                <pt idx="203">
                  <v>0.0004484487749194122</v>
                </pt>
                <pt idx="204">
                  <v>0.0003148847892123418</v>
                </pt>
                <pt idx="205">
                  <v>0.001014720859179709</v>
                </pt>
                <pt idx="206">
                  <v>0.003385140159601111</v>
                </pt>
                <pt idx="207">
                  <v>0.00916619348558699</v>
                </pt>
                <pt idx="208">
                  <v>0.007373036170990241</v>
                </pt>
                <pt idx="209">
                  <v>0.008784337620322099</v>
                </pt>
                <pt idx="210">
                  <v>0.003286114906162318</v>
                </pt>
                <pt idx="211">
                  <v>0.001017724168082338</v>
                </pt>
                <pt idx="212">
                  <v>0.002430746980360615</v>
                </pt>
                <pt idx="213">
                  <v>0.005992493312905993</v>
                </pt>
                <pt idx="214">
                  <v>0.005346207777915933</v>
                </pt>
                <pt idx="215">
                  <v>0.005501393003555752</v>
                </pt>
                <pt idx="216">
                  <v>0.005871631800926287</v>
                </pt>
                <pt idx="217">
                  <v>0.00505182749073949</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213774</colOff>
      <row>864</row>
      <rowOff>95395</rowOff>
    </from>
    <to>
      <col>14</col>
      <colOff>605978</colOff>
      <row>883</row>
      <rowOff>189926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14</col>
      <colOff>617185</colOff>
      <row>864</row>
      <rowOff>95394</rowOff>
    </from>
    <to>
      <col>23</col>
      <colOff>404275</colOff>
      <row>883</row>
      <rowOff>189925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10</col>
      <colOff>224980</colOff>
      <row>883</row>
      <rowOff>178719</rowOff>
    </from>
    <to>
      <col>18</col>
      <colOff>617186</colOff>
      <row>903</row>
      <rowOff>72982</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299446</colOff>
      <row>630</row>
      <rowOff>16809</rowOff>
    </from>
    <to>
      <col>11</col>
      <colOff>523563</colOff>
      <row>649</row>
      <rowOff>106456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534770</colOff>
      <row>630</row>
      <rowOff>16808</rowOff>
    </from>
    <to>
      <col>20</col>
      <colOff>321858</colOff>
      <row>649</row>
      <rowOff>106455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142564</colOff>
      <row>649</row>
      <rowOff>95249</rowOff>
    </from>
    <to>
      <col>15</col>
      <colOff>534770</colOff>
      <row>668</row>
      <rowOff>184896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295768</colOff>
      <row>624</row>
      <rowOff>156204</rowOff>
    </from>
    <to>
      <col>13</col>
      <colOff>82856</colOff>
      <row>644</row>
      <rowOff>55351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94063</colOff>
      <row>624</row>
      <rowOff>156203</rowOff>
    </from>
    <to>
      <col>21</col>
      <colOff>585424</colOff>
      <row>644</row>
      <rowOff>55350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306974</colOff>
      <row>644</row>
      <rowOff>44144</rowOff>
    </from>
    <to>
      <col>17</col>
      <colOff>94063</colOff>
      <row>663</row>
      <rowOff>133791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317160</colOff>
      <row>632</row>
      <rowOff>90324</rowOff>
    </from>
    <to>
      <col>15</col>
      <colOff>104248</colOff>
      <row>651</row>
      <rowOff>179971</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16</col>
      <colOff>59424</colOff>
      <row>631</row>
      <rowOff>135151</rowOff>
    </from>
    <to>
      <col>24</col>
      <colOff>283542</colOff>
      <row>650</row>
      <rowOff>191181</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15</col>
      <colOff>696462</colOff>
      <row>652</row>
      <rowOff>34298</rowOff>
    </from>
    <to>
      <col>24</col>
      <colOff>216307</colOff>
      <row>671</row>
      <rowOff>90328</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122997</colOff>
      <row>8</row>
      <rowOff>95251</rowOff>
    </from>
    <to>
      <col>6</col>
      <colOff>228600</colOff>
      <row>25</row>
      <rowOff>66675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238125</colOff>
      <row>8</row>
      <rowOff>104776</rowOff>
    </from>
    <to>
      <col>12</col>
      <colOff>9525</colOff>
      <row>25</row>
      <rowOff>76200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06" headerRowCount="1" totalsRowShown="0" headerRowDxfId="37" dataDxfId="35" headerRowBorderDxfId="36">
  <autoFilter ref="A4:F90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66" headerRowCount="1" totalsRowShown="0" headerRowDxfId="28" dataDxfId="26" headerRowBorderDxfId="27" tableBorderDxfId="25">
  <autoFilter ref="A4:D66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66" headerRowCount="1" totalsRowShown="0" headerRowDxfId="20" dataDxfId="18" headerRowBorderDxfId="19" tableBorderDxfId="17">
  <autoFilter ref="A4:D66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66" headerRowCount="1" totalsRowShown="0" headerRowDxfId="12" dataDxfId="10" headerRowBorderDxfId="11">
  <autoFilter ref="A4:F66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zoomScale="130" zoomScaleNormal="130" workbookViewId="0">
      <selection activeCell="N27" sqref="N27"/>
    </sheetView>
  </sheetViews>
  <sheetFormatPr baseColWidth="10" defaultColWidth="9.1640625" defaultRowHeight="15"/>
  <cols>
    <col width="9.1640625" customWidth="1" style="77" min="1" max="1"/>
    <col width="12.83203125" customWidth="1" style="77" min="2" max="10"/>
    <col width="5.6640625" customWidth="1" style="77" min="11" max="13"/>
    <col width="19" customWidth="1" style="77" min="14" max="14"/>
    <col width="9.1640625" customWidth="1" style="77" min="15" max="15"/>
    <col width="12.33203125" customWidth="1" style="77" min="16" max="19"/>
    <col width="9.1640625" customWidth="1" style="77" min="20" max="27"/>
    <col width="9.1640625" customWidth="1" style="77" min="28" max="16384"/>
  </cols>
  <sheetData>
    <row r="1">
      <c r="B1" s="82" t="n"/>
    </row>
    <row r="2" ht="16" customHeight="1" s="60" thickBot="1">
      <c r="B2" s="83" t="n"/>
      <c r="C2" s="83" t="n"/>
      <c r="D2" s="83" t="n"/>
      <c r="E2" s="83" t="n"/>
      <c r="F2" s="83" t="n"/>
      <c r="G2" s="83" t="n"/>
      <c r="H2" s="83" t="n"/>
      <c r="I2" s="83" t="n"/>
      <c r="J2" s="83" t="n"/>
    </row>
    <row r="3" ht="16" customHeight="1" s="60" thickBot="1">
      <c r="B3" s="84" t="inlineStr">
        <is>
          <t>Consumer Price Index</t>
        </is>
      </c>
      <c r="C3" s="85" t="n"/>
      <c r="D3" s="85" t="n"/>
      <c r="E3" s="85" t="n"/>
      <c r="F3" s="85" t="n"/>
      <c r="G3" s="85" t="n"/>
      <c r="H3" s="85" t="n"/>
      <c r="I3" s="85" t="n"/>
      <c r="J3" s="86" t="n"/>
    </row>
    <row r="5">
      <c r="B5" s="79" t="inlineStr">
        <is>
          <t>Definition</t>
        </is>
      </c>
      <c r="C5" s="80" t="n"/>
      <c r="D5" s="80" t="n"/>
      <c r="E5" s="80" t="n"/>
      <c r="F5" s="80" t="n"/>
      <c r="G5" s="80" t="n"/>
      <c r="H5" s="80" t="n"/>
      <c r="I5" s="80" t="n"/>
      <c r="J5" s="81" t="n"/>
    </row>
    <row r="7" ht="240.75" customHeight="1" s="60">
      <c r="B7" s="87"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s="60">
      <c r="B8" s="88" t="inlineStr">
        <is>
          <t>https://www.bls.gov/cpi/</t>
        </is>
      </c>
    </row>
    <row r="9">
      <c r="B9" s="40" t="n"/>
      <c r="C9" s="40" t="n"/>
      <c r="D9" s="40" t="n"/>
      <c r="E9" s="40" t="n"/>
    </row>
    <row r="10">
      <c r="B10" s="79" t="inlineStr">
        <is>
          <t>Process / TO DO LIST</t>
        </is>
      </c>
      <c r="C10" s="80" t="n"/>
      <c r="D10" s="80" t="n"/>
      <c r="E10" s="80" t="n"/>
      <c r="F10" s="80" t="n"/>
      <c r="G10" s="80" t="n"/>
      <c r="H10" s="80" t="n"/>
      <c r="I10" s="80" t="n"/>
      <c r="J10" s="81" t="n"/>
      <c r="N10" s="79" t="inlineStr">
        <is>
          <t>Summary</t>
        </is>
      </c>
      <c r="O10" s="80" t="n"/>
      <c r="P10" s="80" t="n"/>
      <c r="Q10" s="80" t="n"/>
      <c r="R10" s="80" t="n"/>
      <c r="S10" s="81" t="n"/>
    </row>
    <row r="12">
      <c r="B12" s="79" t="inlineStr">
        <is>
          <t>TO DO LIST</t>
        </is>
      </c>
      <c r="C12" s="80" t="n"/>
      <c r="D12" s="80" t="n"/>
      <c r="E12" s="80" t="n"/>
      <c r="F12" s="81" t="n"/>
      <c r="G12" s="79" t="inlineStr">
        <is>
          <t>Comments</t>
        </is>
      </c>
      <c r="H12" s="80" t="n"/>
      <c r="I12" s="80" t="n"/>
      <c r="J12" s="81" t="n"/>
      <c r="N12" s="13" t="inlineStr">
        <is>
          <t>* To modify</t>
        </is>
      </c>
    </row>
    <row r="13" ht="16" customHeight="1" s="60" thickBot="1"/>
    <row r="14">
      <c r="B14" s="77" t="inlineStr">
        <is>
          <t>Create data on Fred</t>
        </is>
      </c>
      <c r="G14" s="77" t="n"/>
      <c r="P14" s="43" t="n">
        <v>44531</v>
      </c>
      <c r="Q14" s="44" t="n"/>
    </row>
    <row r="15" ht="16" customHeight="1" s="60" thickBot="1">
      <c r="B15" s="77" t="inlineStr">
        <is>
          <t>https://research.stlouisfed.org/useraccount/datalists</t>
        </is>
      </c>
      <c r="G15" s="77" t="n"/>
      <c r="P15" s="45" t="inlineStr">
        <is>
          <t>mom</t>
        </is>
      </c>
      <c r="Q15" s="45" t="inlineStr">
        <is>
          <t>yoy</t>
        </is>
      </c>
    </row>
    <row r="16" ht="44.25" customHeight="1" s="60">
      <c r="B16" s="3" t="inlineStr">
        <is>
          <t>CPIAUCSL</t>
        </is>
      </c>
      <c r="G16" s="78" t="inlineStr">
        <is>
          <t>Consumer Price Index for All Urban Consumers: All Items (CPIAUCSL), Index 1982-84=100, Monthly, Seasonally Adjusted</t>
        </is>
      </c>
      <c r="N16" s="91" t="inlineStr">
        <is>
          <t>CPI</t>
        </is>
      </c>
      <c r="O16" s="92"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s="60">
      <c r="B17" s="3" t="inlineStr">
        <is>
          <t>CPIENGSL</t>
        </is>
      </c>
      <c r="G17" s="78" t="inlineStr">
        <is>
          <t>Consumer Price Index for All Urban Consumers: Energy (CPIENGSL), Index 1982-84=100, Monthly, Seasonally Adjusted</t>
        </is>
      </c>
      <c r="N17" s="93" t="inlineStr">
        <is>
          <t>CPI Food</t>
        </is>
      </c>
      <c r="O17" s="81"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s="60">
      <c r="B18" s="3" t="inlineStr">
        <is>
          <t>CPIFABSL</t>
        </is>
      </c>
      <c r="G18" s="94" t="inlineStr">
        <is>
          <t>Consumer Price Index for All Urban Consumers: Food and Beverages (CPIFABSL), Index 1982-84=100, Monthly, Seasonally Adjusted</t>
        </is>
      </c>
      <c r="N18" s="93" t="inlineStr">
        <is>
          <t>CPI Energy</t>
        </is>
      </c>
      <c r="O18" s="81"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s="60" thickBot="1">
      <c r="B19" s="3" t="inlineStr">
        <is>
          <t>CPILFESL</t>
        </is>
      </c>
      <c r="G19" s="78" t="inlineStr">
        <is>
          <t>Consumer Price Index for All Urban Consumers: All Items Less Food &amp; Energy (CPILFESL), Index 1982-84=100, Monthly, Seasonally Adjusted</t>
        </is>
      </c>
      <c r="N19" s="89" t="inlineStr">
        <is>
          <t>Core CPI</t>
        </is>
      </c>
      <c r="O19" s="90"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s="60" thickBot="1">
      <c r="B21" s="41" t="n"/>
    </row>
    <row r="22" ht="30" customHeight="1" s="60" thickBot="1">
      <c r="B22" s="76" t="n"/>
      <c r="N22" s="44">
        <f>DATE(YEAR($P$14),MONTH($P$14)-1,DAY($P$14))</f>
        <v/>
      </c>
    </row>
    <row r="23" ht="16" customHeight="1" s="60" thickBot="1">
      <c r="B23" s="42" t="n"/>
      <c r="N23" s="46">
        <f>DATE(YEAR($P$14)-1,MONTH($P$14),DAY($P$14))</f>
        <v/>
      </c>
      <c r="P23" s="47" t="n"/>
      <c r="Q23" s="47" t="n"/>
    </row>
  </sheetData>
  <mergeCells count="20">
    <mergeCell ref="N19:O19"/>
    <mergeCell ref="B10:J10"/>
    <mergeCell ref="N10:S10"/>
    <mergeCell ref="N16:O16"/>
    <mergeCell ref="N17:O17"/>
    <mergeCell ref="N18:O18"/>
    <mergeCell ref="G18:J18"/>
    <mergeCell ref="B1:J2"/>
    <mergeCell ref="B3:J3"/>
    <mergeCell ref="B5:J5"/>
    <mergeCell ref="B7:J7"/>
    <mergeCell ref="B8:J8"/>
    <mergeCell ref="B22:J22"/>
    <mergeCell ref="G19:J19"/>
    <mergeCell ref="B12:F12"/>
    <mergeCell ref="G12:J12"/>
    <mergeCell ref="G14:J14"/>
    <mergeCell ref="G15:J15"/>
    <mergeCell ref="G16:J16"/>
    <mergeCell ref="G17:J17"/>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07"/>
  <sheetViews>
    <sheetView zoomScale="130" zoomScaleNormal="130" workbookViewId="0">
      <pane ySplit="1" topLeftCell="A883" activePane="bottomLeft" state="frozen"/>
      <selection pane="bottomLeft" activeCell="M12" sqref="M12"/>
    </sheetView>
  </sheetViews>
  <sheetFormatPr baseColWidth="10" defaultColWidth="8.83203125" defaultRowHeight="15"/>
  <cols>
    <col width="12.6640625" customWidth="1" style="60" min="1" max="1"/>
    <col width="10.6640625" customWidth="1" style="60" min="2" max="5"/>
    <col width="12.6640625" customWidth="1" style="60" min="257" max="257"/>
    <col width="10.6640625" customWidth="1" style="60" min="258" max="261"/>
    <col width="12.6640625" customWidth="1" style="60" min="513" max="513"/>
    <col width="10.6640625" customWidth="1" style="60" min="514" max="517"/>
    <col width="12.6640625" customWidth="1" style="60" min="769" max="769"/>
    <col width="10.6640625" customWidth="1" style="60" min="770" max="773"/>
    <col width="12.6640625" customWidth="1" style="60" min="1025" max="1025"/>
    <col width="10.6640625" customWidth="1" style="60" min="1026" max="1029"/>
    <col width="12.6640625" customWidth="1" style="60" min="1281" max="1281"/>
    <col width="10.6640625" customWidth="1" style="60" min="1282" max="1285"/>
    <col width="12.6640625" customWidth="1" style="60" min="1537" max="1537"/>
    <col width="10.6640625" customWidth="1" style="60" min="1538" max="1541"/>
    <col width="12.6640625" customWidth="1" style="60" min="1793" max="1793"/>
    <col width="10.6640625" customWidth="1" style="60" min="1794" max="1797"/>
    <col width="12.6640625" customWidth="1" style="60" min="2049" max="2049"/>
    <col width="10.6640625" customWidth="1" style="60" min="2050" max="2053"/>
    <col width="12.6640625" customWidth="1" style="60" min="2305" max="2305"/>
    <col width="10.6640625" customWidth="1" style="60" min="2306" max="2309"/>
    <col width="12.6640625" customWidth="1" style="60" min="2561" max="2561"/>
    <col width="10.6640625" customWidth="1" style="60" min="2562" max="2565"/>
    <col width="12.6640625" customWidth="1" style="60" min="2817" max="2817"/>
    <col width="10.6640625" customWidth="1" style="60" min="2818" max="2821"/>
    <col width="12.6640625" customWidth="1" style="60" min="3073" max="3073"/>
    <col width="10.6640625" customWidth="1" style="60" min="3074" max="3077"/>
    <col width="12.6640625" customWidth="1" style="60" min="3329" max="3329"/>
    <col width="10.6640625" customWidth="1" style="60" min="3330" max="3333"/>
    <col width="12.6640625" customWidth="1" style="60" min="3585" max="3585"/>
    <col width="10.6640625" customWidth="1" style="60" min="3586" max="3589"/>
    <col width="12.6640625" customWidth="1" style="60" min="3841" max="3841"/>
    <col width="10.6640625" customWidth="1" style="60" min="3842" max="3845"/>
    <col width="12.6640625" customWidth="1" style="60" min="4097" max="4097"/>
    <col width="10.6640625" customWidth="1" style="60" min="4098" max="4101"/>
    <col width="12.6640625" customWidth="1" style="60" min="4353" max="4353"/>
    <col width="10.6640625" customWidth="1" style="60" min="4354" max="4357"/>
    <col width="12.6640625" customWidth="1" style="60" min="4609" max="4609"/>
    <col width="10.6640625" customWidth="1" style="60" min="4610" max="4613"/>
    <col width="12.6640625" customWidth="1" style="60" min="4865" max="4865"/>
    <col width="10.6640625" customWidth="1" style="60" min="4866" max="4869"/>
    <col width="12.6640625" customWidth="1" style="60" min="5121" max="5121"/>
    <col width="10.6640625" customWidth="1" style="60" min="5122" max="5125"/>
    <col width="12.6640625" customWidth="1" style="60" min="5377" max="5377"/>
    <col width="10.6640625" customWidth="1" style="60" min="5378" max="5381"/>
    <col width="12.6640625" customWidth="1" style="60" min="5633" max="5633"/>
    <col width="10.6640625" customWidth="1" style="60" min="5634" max="5637"/>
    <col width="12.6640625" customWidth="1" style="60" min="5889" max="5889"/>
    <col width="10.6640625" customWidth="1" style="60" min="5890" max="5893"/>
    <col width="12.6640625" customWidth="1" style="60" min="6145" max="6145"/>
    <col width="10.6640625" customWidth="1" style="60" min="6146" max="6149"/>
    <col width="12.6640625" customWidth="1" style="60" min="6401" max="6401"/>
    <col width="10.6640625" customWidth="1" style="60" min="6402" max="6405"/>
    <col width="12.6640625" customWidth="1" style="60" min="6657" max="6657"/>
    <col width="10.6640625" customWidth="1" style="60" min="6658" max="6661"/>
    <col width="12.6640625" customWidth="1" style="60" min="6913" max="6913"/>
    <col width="10.6640625" customWidth="1" style="60" min="6914" max="6917"/>
    <col width="12.6640625" customWidth="1" style="60" min="7169" max="7169"/>
    <col width="10.6640625" customWidth="1" style="60" min="7170" max="7173"/>
    <col width="12.6640625" customWidth="1" style="60" min="7425" max="7425"/>
    <col width="10.6640625" customWidth="1" style="60" min="7426" max="7429"/>
    <col width="12.6640625" customWidth="1" style="60" min="7681" max="7681"/>
    <col width="10.6640625" customWidth="1" style="60" min="7682" max="7685"/>
    <col width="12.6640625" customWidth="1" style="60" min="7937" max="7937"/>
    <col width="10.6640625" customWidth="1" style="60" min="7938" max="7941"/>
    <col width="12.6640625" customWidth="1" style="60" min="8193" max="8193"/>
    <col width="10.6640625" customWidth="1" style="60" min="8194" max="8197"/>
    <col width="12.6640625" customWidth="1" style="60" min="8449" max="8449"/>
    <col width="10.6640625" customWidth="1" style="60" min="8450" max="8453"/>
    <col width="12.6640625" customWidth="1" style="60" min="8705" max="8705"/>
    <col width="10.6640625" customWidth="1" style="60" min="8706" max="8709"/>
    <col width="12.6640625" customWidth="1" style="60" min="8961" max="8961"/>
    <col width="10.6640625" customWidth="1" style="60" min="8962" max="8965"/>
    <col width="12.6640625" customWidth="1" style="60" min="9217" max="9217"/>
    <col width="10.6640625" customWidth="1" style="60" min="9218" max="9221"/>
    <col width="12.6640625" customWidth="1" style="60" min="9473" max="9473"/>
    <col width="10.6640625" customWidth="1" style="60" min="9474" max="9477"/>
    <col width="12.6640625" customWidth="1" style="60" min="9729" max="9729"/>
    <col width="10.6640625" customWidth="1" style="60" min="9730" max="9733"/>
    <col width="12.6640625" customWidth="1" style="60" min="9985" max="9985"/>
    <col width="10.6640625" customWidth="1" style="60" min="9986" max="9989"/>
    <col width="12.6640625" customWidth="1" style="60" min="10241" max="10241"/>
    <col width="10.6640625" customWidth="1" style="60" min="10242" max="10245"/>
    <col width="12.6640625" customWidth="1" style="60" min="10497" max="10497"/>
    <col width="10.6640625" customWidth="1" style="60" min="10498" max="10501"/>
    <col width="12.6640625" customWidth="1" style="60" min="10753" max="10753"/>
    <col width="10.6640625" customWidth="1" style="60" min="10754" max="10757"/>
    <col width="12.6640625" customWidth="1" style="60" min="11009" max="11009"/>
    <col width="10.6640625" customWidth="1" style="60" min="11010" max="11013"/>
    <col width="12.6640625" customWidth="1" style="60" min="11265" max="11265"/>
    <col width="10.6640625" customWidth="1" style="60" min="11266" max="11269"/>
    <col width="12.6640625" customWidth="1" style="60" min="11521" max="11521"/>
    <col width="10.6640625" customWidth="1" style="60" min="11522" max="11525"/>
    <col width="12.6640625" customWidth="1" style="60" min="11777" max="11777"/>
    <col width="10.6640625" customWidth="1" style="60" min="11778" max="11781"/>
    <col width="12.6640625" customWidth="1" style="60" min="12033" max="12033"/>
    <col width="10.6640625" customWidth="1" style="60" min="12034" max="12037"/>
    <col width="12.6640625" customWidth="1" style="60" min="12289" max="12289"/>
    <col width="10.6640625" customWidth="1" style="60" min="12290" max="12293"/>
    <col width="12.6640625" customWidth="1" style="60" min="12545" max="12545"/>
    <col width="10.6640625" customWidth="1" style="60" min="12546" max="12549"/>
    <col width="12.6640625" customWidth="1" style="60" min="12801" max="12801"/>
    <col width="10.6640625" customWidth="1" style="60" min="12802" max="12805"/>
    <col width="12.6640625" customWidth="1" style="60" min="13057" max="13057"/>
    <col width="10.6640625" customWidth="1" style="60" min="13058" max="13061"/>
    <col width="12.6640625" customWidth="1" style="60" min="13313" max="13313"/>
    <col width="10.6640625" customWidth="1" style="60" min="13314" max="13317"/>
    <col width="12.6640625" customWidth="1" style="60" min="13569" max="13569"/>
    <col width="10.6640625" customWidth="1" style="60" min="13570" max="13573"/>
    <col width="12.6640625" customWidth="1" style="60" min="13825" max="13825"/>
    <col width="10.6640625" customWidth="1" style="60" min="13826" max="13829"/>
    <col width="12.6640625" customWidth="1" style="60" min="14081" max="14081"/>
    <col width="10.6640625" customWidth="1" style="60" min="14082" max="14085"/>
    <col width="12.6640625" customWidth="1" style="60" min="14337" max="14337"/>
    <col width="10.6640625" customWidth="1" style="60" min="14338" max="14341"/>
    <col width="12.6640625" customWidth="1" style="60" min="14593" max="14593"/>
    <col width="10.6640625" customWidth="1" style="60" min="14594" max="14597"/>
    <col width="12.6640625" customWidth="1" style="60" min="14849" max="14849"/>
    <col width="10.6640625" customWidth="1" style="60" min="14850" max="14853"/>
    <col width="12.6640625" customWidth="1" style="60" min="15105" max="15105"/>
    <col width="10.6640625" customWidth="1" style="60" min="15106" max="15109"/>
    <col width="12.6640625" customWidth="1" style="60" min="15361" max="15361"/>
    <col width="10.6640625" customWidth="1" style="60" min="15362" max="15365"/>
    <col width="12.6640625" customWidth="1" style="60" min="15617" max="15617"/>
    <col width="10.6640625" customWidth="1" style="60" min="15618" max="15621"/>
    <col width="12.6640625" customWidth="1" style="60" min="15873" max="15873"/>
    <col width="10.6640625" customWidth="1" style="60" min="15874" max="15877"/>
    <col width="12.6640625" customWidth="1" style="60" min="16129" max="16129"/>
    <col width="10.6640625" customWidth="1" style="60" min="16130" max="16133"/>
  </cols>
  <sheetData>
    <row r="1">
      <c r="A1" t="inlineStr">
        <is>
          <t>DATE</t>
        </is>
      </c>
      <c r="B1" t="inlineStr">
        <is>
          <t>CPIAUCSL</t>
        </is>
      </c>
      <c r="C1" t="inlineStr">
        <is>
          <t>CPIENGSL</t>
        </is>
      </c>
      <c r="D1" t="inlineStr">
        <is>
          <t>CPIFABSL</t>
        </is>
      </c>
      <c r="E1" t="inlineStr">
        <is>
          <t>CPILFESL</t>
        </is>
      </c>
    </row>
    <row r="2">
      <c r="A2" s="96" t="n">
        <v>17168</v>
      </c>
      <c r="B2" t="n">
        <v>21.48</v>
      </c>
    </row>
    <row r="3">
      <c r="A3" s="96" t="n">
        <v>17199</v>
      </c>
      <c r="B3" t="n">
        <v>21.62</v>
      </c>
    </row>
    <row r="4">
      <c r="A4" s="96" t="n">
        <v>17227</v>
      </c>
      <c r="B4" t="n">
        <v>22</v>
      </c>
    </row>
    <row r="5">
      <c r="A5" s="96" t="n">
        <v>17258</v>
      </c>
      <c r="B5" t="n">
        <v>22</v>
      </c>
    </row>
    <row r="6">
      <c r="A6" s="96" t="n">
        <v>17288</v>
      </c>
      <c r="B6" t="n">
        <v>21.95</v>
      </c>
    </row>
    <row r="7">
      <c r="A7" s="96" t="n">
        <v>17319</v>
      </c>
      <c r="B7" t="n">
        <v>22.08</v>
      </c>
    </row>
    <row r="8">
      <c r="A8" s="96" t="n">
        <v>17349</v>
      </c>
      <c r="B8" t="n">
        <v>22.23</v>
      </c>
    </row>
    <row r="9">
      <c r="A9" s="96" t="n">
        <v>17380</v>
      </c>
      <c r="B9" t="n">
        <v>22.4</v>
      </c>
    </row>
    <row r="10">
      <c r="A10" s="96" t="n">
        <v>17411</v>
      </c>
      <c r="B10" t="n">
        <v>22.84</v>
      </c>
    </row>
    <row r="11">
      <c r="A11" s="96" t="n">
        <v>17441</v>
      </c>
      <c r="B11" t="n">
        <v>22.91</v>
      </c>
    </row>
    <row r="12">
      <c r="A12" s="96" t="n">
        <v>17472</v>
      </c>
      <c r="B12" t="n">
        <v>23.06</v>
      </c>
    </row>
    <row r="13">
      <c r="A13" s="96" t="n">
        <v>17502</v>
      </c>
      <c r="B13" t="n">
        <v>23.41</v>
      </c>
    </row>
    <row r="14">
      <c r="A14" s="96" t="n">
        <v>17533</v>
      </c>
      <c r="B14" t="n">
        <v>23.68</v>
      </c>
    </row>
    <row r="15">
      <c r="A15" s="96" t="n">
        <v>17564</v>
      </c>
      <c r="B15" t="n">
        <v>23.67</v>
      </c>
    </row>
    <row r="16">
      <c r="A16" s="96" t="n">
        <v>17593</v>
      </c>
      <c r="B16" t="n">
        <v>23.5</v>
      </c>
    </row>
    <row r="17">
      <c r="A17" s="96" t="n">
        <v>17624</v>
      </c>
      <c r="B17" t="n">
        <v>23.82</v>
      </c>
    </row>
    <row r="18">
      <c r="A18" s="96" t="n">
        <v>17654</v>
      </c>
      <c r="B18" t="n">
        <v>24.01</v>
      </c>
    </row>
    <row r="19">
      <c r="A19" s="96" t="n">
        <v>17685</v>
      </c>
      <c r="B19" t="n">
        <v>24.15</v>
      </c>
    </row>
    <row r="20">
      <c r="A20" s="96" t="n">
        <v>17715</v>
      </c>
      <c r="B20" t="n">
        <v>24.4</v>
      </c>
    </row>
    <row r="21">
      <c r="A21" s="96" t="n">
        <v>17746</v>
      </c>
      <c r="B21" t="n">
        <v>24.43</v>
      </c>
    </row>
    <row r="22">
      <c r="A22" s="96" t="n">
        <v>17777</v>
      </c>
      <c r="B22" t="n">
        <v>24.36</v>
      </c>
    </row>
    <row r="23">
      <c r="A23" s="96" t="n">
        <v>17807</v>
      </c>
      <c r="B23" t="n">
        <v>24.31</v>
      </c>
    </row>
    <row r="24">
      <c r="A24" s="96" t="n">
        <v>17838</v>
      </c>
      <c r="B24" t="n">
        <v>24.16</v>
      </c>
    </row>
    <row r="25">
      <c r="A25" s="96" t="n">
        <v>17868</v>
      </c>
      <c r="B25" t="n">
        <v>24.05</v>
      </c>
    </row>
    <row r="26">
      <c r="A26" s="96" t="n">
        <v>17899</v>
      </c>
      <c r="B26" t="n">
        <v>24.01</v>
      </c>
    </row>
    <row r="27">
      <c r="A27" s="96" t="n">
        <v>17930</v>
      </c>
      <c r="B27" t="n">
        <v>23.91</v>
      </c>
    </row>
    <row r="28">
      <c r="A28" s="96" t="n">
        <v>17958</v>
      </c>
      <c r="B28" t="n">
        <v>23.91</v>
      </c>
    </row>
    <row r="29">
      <c r="A29" s="96" t="n">
        <v>17989</v>
      </c>
      <c r="B29" t="n">
        <v>23.92</v>
      </c>
    </row>
    <row r="30">
      <c r="A30" s="96" t="n">
        <v>18019</v>
      </c>
      <c r="B30" t="n">
        <v>23.91</v>
      </c>
    </row>
    <row r="31">
      <c r="A31" s="96" t="n">
        <v>18050</v>
      </c>
      <c r="B31" t="n">
        <v>23.92</v>
      </c>
    </row>
    <row r="32">
      <c r="A32" s="96" t="n">
        <v>18080</v>
      </c>
      <c r="B32" t="n">
        <v>23.7</v>
      </c>
    </row>
    <row r="33">
      <c r="A33" s="96" t="n">
        <v>18111</v>
      </c>
      <c r="B33" t="n">
        <v>23.7</v>
      </c>
    </row>
    <row r="34">
      <c r="A34" s="96" t="n">
        <v>18142</v>
      </c>
      <c r="B34" t="n">
        <v>23.75</v>
      </c>
    </row>
    <row r="35">
      <c r="A35" s="96" t="n">
        <v>18172</v>
      </c>
      <c r="B35" t="n">
        <v>23.67</v>
      </c>
    </row>
    <row r="36">
      <c r="A36" s="96" t="n">
        <v>18203</v>
      </c>
      <c r="B36" t="n">
        <v>23.7</v>
      </c>
    </row>
    <row r="37">
      <c r="A37" s="96" t="n">
        <v>18233</v>
      </c>
      <c r="B37" t="n">
        <v>23.61</v>
      </c>
    </row>
    <row r="38">
      <c r="A38" s="96" t="n">
        <v>18264</v>
      </c>
      <c r="B38" t="n">
        <v>23.51</v>
      </c>
    </row>
    <row r="39">
      <c r="A39" s="96" t="n">
        <v>18295</v>
      </c>
      <c r="B39" t="n">
        <v>23.61</v>
      </c>
    </row>
    <row r="40">
      <c r="A40" s="96" t="n">
        <v>18323</v>
      </c>
      <c r="B40" t="n">
        <v>23.64</v>
      </c>
    </row>
    <row r="41">
      <c r="A41" s="96" t="n">
        <v>18354</v>
      </c>
      <c r="B41" t="n">
        <v>23.65</v>
      </c>
    </row>
    <row r="42">
      <c r="A42" s="96" t="n">
        <v>18384</v>
      </c>
      <c r="B42" t="n">
        <v>23.77</v>
      </c>
    </row>
    <row r="43">
      <c r="A43" s="96" t="n">
        <v>18415</v>
      </c>
      <c r="B43" t="n">
        <v>23.88</v>
      </c>
    </row>
    <row r="44">
      <c r="A44" s="96" t="n">
        <v>18445</v>
      </c>
      <c r="B44" t="n">
        <v>24.07</v>
      </c>
    </row>
    <row r="45">
      <c r="A45" s="96" t="n">
        <v>18476</v>
      </c>
      <c r="B45" t="n">
        <v>24.2</v>
      </c>
    </row>
    <row r="46">
      <c r="A46" s="96" t="n">
        <v>18507</v>
      </c>
      <c r="B46" t="n">
        <v>24.34</v>
      </c>
    </row>
    <row r="47">
      <c r="A47" s="96" t="n">
        <v>18537</v>
      </c>
      <c r="B47" t="n">
        <v>24.5</v>
      </c>
    </row>
    <row r="48">
      <c r="A48" s="96" t="n">
        <v>18568</v>
      </c>
      <c r="B48" t="n">
        <v>24.6</v>
      </c>
    </row>
    <row r="49">
      <c r="A49" s="96" t="n">
        <v>18598</v>
      </c>
      <c r="B49" t="n">
        <v>24.98</v>
      </c>
    </row>
    <row r="50">
      <c r="A50" s="96" t="n">
        <v>18629</v>
      </c>
      <c r="B50" t="n">
        <v>25.38</v>
      </c>
    </row>
    <row r="51">
      <c r="A51" s="96" t="n">
        <v>18660</v>
      </c>
      <c r="B51" t="n">
        <v>25.83</v>
      </c>
    </row>
    <row r="52">
      <c r="A52" s="96" t="n">
        <v>18688</v>
      </c>
      <c r="B52" t="n">
        <v>25.88</v>
      </c>
    </row>
    <row r="53">
      <c r="A53" s="96" t="n">
        <v>18719</v>
      </c>
      <c r="B53" t="n">
        <v>25.92</v>
      </c>
    </row>
    <row r="54">
      <c r="A54" s="96" t="n">
        <v>18749</v>
      </c>
      <c r="B54" t="n">
        <v>25.99</v>
      </c>
    </row>
    <row r="55">
      <c r="A55" s="96" t="n">
        <v>18780</v>
      </c>
      <c r="B55" t="n">
        <v>25.93</v>
      </c>
    </row>
    <row r="56">
      <c r="A56" s="96" t="n">
        <v>18810</v>
      </c>
      <c r="B56" t="n">
        <v>25.91</v>
      </c>
    </row>
    <row r="57">
      <c r="A57" s="96" t="n">
        <v>18841</v>
      </c>
      <c r="B57" t="n">
        <v>25.86</v>
      </c>
    </row>
    <row r="58">
      <c r="A58" s="96" t="n">
        <v>18872</v>
      </c>
      <c r="B58" t="n">
        <v>26.03</v>
      </c>
    </row>
    <row r="59">
      <c r="A59" s="96" t="n">
        <v>18902</v>
      </c>
      <c r="B59" t="n">
        <v>26.16</v>
      </c>
    </row>
    <row r="60">
      <c r="A60" s="96" t="n">
        <v>18933</v>
      </c>
      <c r="B60" t="n">
        <v>26.32</v>
      </c>
    </row>
    <row r="61">
      <c r="A61" s="96" t="n">
        <v>18963</v>
      </c>
      <c r="B61" t="n">
        <v>26.47</v>
      </c>
    </row>
    <row r="62">
      <c r="A62" s="96" t="n">
        <v>18994</v>
      </c>
      <c r="B62" t="n">
        <v>26.45</v>
      </c>
    </row>
    <row r="63">
      <c r="A63" s="96" t="n">
        <v>19025</v>
      </c>
      <c r="B63" t="n">
        <v>26.41</v>
      </c>
    </row>
    <row r="64">
      <c r="A64" s="96" t="n">
        <v>19054</v>
      </c>
      <c r="B64" t="n">
        <v>26.39</v>
      </c>
    </row>
    <row r="65">
      <c r="A65" s="96" t="n">
        <v>19085</v>
      </c>
      <c r="B65" t="n">
        <v>26.46</v>
      </c>
    </row>
    <row r="66">
      <c r="A66" s="96" t="n">
        <v>19115</v>
      </c>
      <c r="B66" t="n">
        <v>26.47</v>
      </c>
    </row>
    <row r="67">
      <c r="A67" s="96" t="n">
        <v>19146</v>
      </c>
      <c r="B67" t="n">
        <v>26.53</v>
      </c>
    </row>
    <row r="68">
      <c r="A68" s="96" t="n">
        <v>19176</v>
      </c>
      <c r="B68" t="n">
        <v>26.68</v>
      </c>
    </row>
    <row r="69">
      <c r="A69" s="96" t="n">
        <v>19207</v>
      </c>
      <c r="B69" t="n">
        <v>26.69</v>
      </c>
    </row>
    <row r="70">
      <c r="A70" s="96" t="n">
        <v>19238</v>
      </c>
      <c r="B70" t="n">
        <v>26.63</v>
      </c>
    </row>
    <row r="71">
      <c r="A71" s="96" t="n">
        <v>19268</v>
      </c>
      <c r="B71" t="n">
        <v>26.69</v>
      </c>
    </row>
    <row r="72">
      <c r="A72" s="96" t="n">
        <v>19299</v>
      </c>
      <c r="B72" t="n">
        <v>26.69</v>
      </c>
    </row>
    <row r="73">
      <c r="A73" s="96" t="n">
        <v>19329</v>
      </c>
      <c r="B73" t="n">
        <v>26.71</v>
      </c>
    </row>
    <row r="74">
      <c r="A74" s="96" t="n">
        <v>19360</v>
      </c>
      <c r="B74" t="n">
        <v>26.64</v>
      </c>
    </row>
    <row r="75">
      <c r="A75" s="96" t="n">
        <v>19391</v>
      </c>
      <c r="B75" t="n">
        <v>26.59</v>
      </c>
    </row>
    <row r="76">
      <c r="A76" s="96" t="n">
        <v>19419</v>
      </c>
      <c r="B76" t="n">
        <v>26.63</v>
      </c>
    </row>
    <row r="77">
      <c r="A77" s="96" t="n">
        <v>19450</v>
      </c>
      <c r="B77" t="n">
        <v>26.69</v>
      </c>
    </row>
    <row r="78">
      <c r="A78" s="96" t="n">
        <v>19480</v>
      </c>
      <c r="B78" t="n">
        <v>26.7</v>
      </c>
    </row>
    <row r="79">
      <c r="A79" s="96" t="n">
        <v>19511</v>
      </c>
      <c r="B79" t="n">
        <v>26.77</v>
      </c>
    </row>
    <row r="80">
      <c r="A80" s="96" t="n">
        <v>19541</v>
      </c>
      <c r="B80" t="n">
        <v>26.79</v>
      </c>
    </row>
    <row r="81">
      <c r="A81" s="96" t="n">
        <v>19572</v>
      </c>
      <c r="B81" t="n">
        <v>26.85</v>
      </c>
    </row>
    <row r="82">
      <c r="A82" s="96" t="n">
        <v>19603</v>
      </c>
      <c r="B82" t="n">
        <v>26.89</v>
      </c>
    </row>
    <row r="83">
      <c r="A83" s="96" t="n">
        <v>19633</v>
      </c>
      <c r="B83" t="n">
        <v>26.95</v>
      </c>
    </row>
    <row r="84">
      <c r="A84" s="96" t="n">
        <v>19664</v>
      </c>
      <c r="B84" t="n">
        <v>26.85</v>
      </c>
    </row>
    <row r="85">
      <c r="A85" s="96" t="n">
        <v>19694</v>
      </c>
      <c r="B85" t="n">
        <v>26.87</v>
      </c>
    </row>
    <row r="86">
      <c r="A86" s="96" t="n">
        <v>19725</v>
      </c>
      <c r="B86" t="n">
        <v>26.94</v>
      </c>
    </row>
    <row r="87">
      <c r="A87" s="96" t="n">
        <v>19756</v>
      </c>
      <c r="B87" t="n">
        <v>26.99</v>
      </c>
    </row>
    <row r="88">
      <c r="A88" s="96" t="n">
        <v>19784</v>
      </c>
      <c r="B88" t="n">
        <v>26.93</v>
      </c>
    </row>
    <row r="89">
      <c r="A89" s="96" t="n">
        <v>19815</v>
      </c>
      <c r="B89" t="n">
        <v>26.86</v>
      </c>
    </row>
    <row r="90">
      <c r="A90" s="96" t="n">
        <v>19845</v>
      </c>
      <c r="B90" t="n">
        <v>26.93</v>
      </c>
    </row>
    <row r="91">
      <c r="A91" s="96" t="n">
        <v>19876</v>
      </c>
      <c r="B91" t="n">
        <v>26.94</v>
      </c>
    </row>
    <row r="92">
      <c r="A92" s="96" t="n">
        <v>19906</v>
      </c>
      <c r="B92" t="n">
        <v>26.86</v>
      </c>
    </row>
    <row r="93">
      <c r="A93" s="96" t="n">
        <v>19937</v>
      </c>
      <c r="B93" t="n">
        <v>26.85</v>
      </c>
    </row>
    <row r="94">
      <c r="A94" s="96" t="n">
        <v>19968</v>
      </c>
      <c r="B94" t="n">
        <v>26.81</v>
      </c>
    </row>
    <row r="95">
      <c r="A95" s="96" t="n">
        <v>19998</v>
      </c>
      <c r="B95" t="n">
        <v>26.72</v>
      </c>
    </row>
    <row r="96">
      <c r="A96" s="96" t="n">
        <v>20029</v>
      </c>
      <c r="B96" t="n">
        <v>26.78</v>
      </c>
    </row>
    <row r="97">
      <c r="A97" s="96" t="n">
        <v>20059</v>
      </c>
      <c r="B97" t="n">
        <v>26.77</v>
      </c>
    </row>
    <row r="98">
      <c r="A98" s="96" t="n">
        <v>20090</v>
      </c>
      <c r="B98" t="n">
        <v>26.77</v>
      </c>
    </row>
    <row r="99">
      <c r="A99" s="96" t="n">
        <v>20121</v>
      </c>
      <c r="B99" t="n">
        <v>26.82</v>
      </c>
    </row>
    <row r="100">
      <c r="A100" s="96" t="n">
        <v>20149</v>
      </c>
      <c r="B100" t="n">
        <v>26.79</v>
      </c>
    </row>
    <row r="101">
      <c r="A101" s="96" t="n">
        <v>20180</v>
      </c>
      <c r="B101" t="n">
        <v>26.79</v>
      </c>
    </row>
    <row r="102">
      <c r="A102" s="96" t="n">
        <v>20210</v>
      </c>
      <c r="B102" t="n">
        <v>26.77</v>
      </c>
    </row>
    <row r="103">
      <c r="A103" s="96" t="n">
        <v>20241</v>
      </c>
      <c r="B103" t="n">
        <v>26.71</v>
      </c>
    </row>
    <row r="104">
      <c r="A104" s="96" t="n">
        <v>20271</v>
      </c>
      <c r="B104" t="n">
        <v>26.76</v>
      </c>
    </row>
    <row r="105">
      <c r="A105" s="96" t="n">
        <v>20302</v>
      </c>
      <c r="B105" t="n">
        <v>26.72</v>
      </c>
    </row>
    <row r="106">
      <c r="A106" s="96" t="n">
        <v>20333</v>
      </c>
      <c r="B106" t="n">
        <v>26.85</v>
      </c>
    </row>
    <row r="107">
      <c r="A107" s="96" t="n">
        <v>20363</v>
      </c>
      <c r="B107" t="n">
        <v>26.82</v>
      </c>
    </row>
    <row r="108">
      <c r="A108" s="96" t="n">
        <v>20394</v>
      </c>
      <c r="B108" t="n">
        <v>26.88</v>
      </c>
    </row>
    <row r="109">
      <c r="A109" s="96" t="n">
        <v>20424</v>
      </c>
      <c r="B109" t="n">
        <v>26.87</v>
      </c>
    </row>
    <row r="110">
      <c r="A110" s="96" t="n">
        <v>20455</v>
      </c>
      <c r="B110" t="n">
        <v>26.83</v>
      </c>
    </row>
    <row r="111">
      <c r="A111" s="96" t="n">
        <v>20486</v>
      </c>
      <c r="B111" t="n">
        <v>26.86</v>
      </c>
    </row>
    <row r="112">
      <c r="A112" s="96" t="n">
        <v>20515</v>
      </c>
      <c r="B112" t="n">
        <v>26.89</v>
      </c>
    </row>
    <row r="113">
      <c r="A113" s="96" t="n">
        <v>20546</v>
      </c>
      <c r="B113" t="n">
        <v>26.93</v>
      </c>
    </row>
    <row r="114">
      <c r="A114" s="96" t="n">
        <v>20576</v>
      </c>
      <c r="B114" t="n">
        <v>27.03</v>
      </c>
    </row>
    <row r="115">
      <c r="A115" s="96" t="n">
        <v>20607</v>
      </c>
      <c r="B115" t="n">
        <v>27.15</v>
      </c>
    </row>
    <row r="116">
      <c r="A116" s="96" t="n">
        <v>20637</v>
      </c>
      <c r="B116" t="n">
        <v>27.29</v>
      </c>
    </row>
    <row r="117">
      <c r="A117" s="96" t="n">
        <v>20668</v>
      </c>
      <c r="B117" t="n">
        <v>27.31</v>
      </c>
    </row>
    <row r="118">
      <c r="A118" s="96" t="n">
        <v>20699</v>
      </c>
      <c r="B118" t="n">
        <v>27.35</v>
      </c>
    </row>
    <row r="119">
      <c r="A119" s="96" t="n">
        <v>20729</v>
      </c>
      <c r="B119" t="n">
        <v>27.51</v>
      </c>
    </row>
    <row r="120">
      <c r="A120" s="96" t="n">
        <v>20760</v>
      </c>
      <c r="B120" t="n">
        <v>27.51</v>
      </c>
    </row>
    <row r="121">
      <c r="A121" s="96" t="n">
        <v>20790</v>
      </c>
      <c r="B121" t="n">
        <v>27.63</v>
      </c>
    </row>
    <row r="122">
      <c r="A122" s="96" t="n">
        <v>20821</v>
      </c>
      <c r="B122" t="n">
        <v>27.67</v>
      </c>
      <c r="C122" t="n">
        <v>21.3</v>
      </c>
      <c r="E122" t="n">
        <v>28.5</v>
      </c>
    </row>
    <row r="123">
      <c r="A123" s="96" t="n">
        <v>20852</v>
      </c>
      <c r="B123" t="n">
        <v>27.8</v>
      </c>
      <c r="C123" t="n">
        <v>21.4</v>
      </c>
      <c r="E123" t="n">
        <v>28.6</v>
      </c>
    </row>
    <row r="124">
      <c r="A124" s="96" t="n">
        <v>20880</v>
      </c>
      <c r="B124" t="n">
        <v>27.86</v>
      </c>
      <c r="C124" t="n">
        <v>21.5</v>
      </c>
      <c r="E124" t="n">
        <v>28.7</v>
      </c>
    </row>
    <row r="125">
      <c r="A125" s="96" t="n">
        <v>20911</v>
      </c>
      <c r="B125" t="n">
        <v>27.93</v>
      </c>
      <c r="C125" t="n">
        <v>21.6</v>
      </c>
      <c r="E125" t="n">
        <v>28.8</v>
      </c>
    </row>
    <row r="126">
      <c r="A126" s="96" t="n">
        <v>20941</v>
      </c>
      <c r="B126" t="n">
        <v>28</v>
      </c>
      <c r="C126" t="n">
        <v>21.6</v>
      </c>
      <c r="E126" t="n">
        <v>28.8</v>
      </c>
    </row>
    <row r="127">
      <c r="A127" s="96" t="n">
        <v>20972</v>
      </c>
      <c r="B127" t="n">
        <v>28.11</v>
      </c>
      <c r="C127" t="n">
        <v>21.6</v>
      </c>
      <c r="E127" t="n">
        <v>28.9</v>
      </c>
    </row>
    <row r="128">
      <c r="A128" s="96" t="n">
        <v>21002</v>
      </c>
      <c r="B128" t="n">
        <v>28.19</v>
      </c>
      <c r="C128" t="n">
        <v>21.5</v>
      </c>
      <c r="E128" t="n">
        <v>29</v>
      </c>
    </row>
    <row r="129">
      <c r="A129" s="96" t="n">
        <v>21033</v>
      </c>
      <c r="B129" t="n">
        <v>28.28</v>
      </c>
      <c r="C129" t="n">
        <v>21.4</v>
      </c>
      <c r="E129" t="n">
        <v>29</v>
      </c>
    </row>
    <row r="130">
      <c r="A130" s="96" t="n">
        <v>21064</v>
      </c>
      <c r="B130" t="n">
        <v>28.32</v>
      </c>
      <c r="C130" t="n">
        <v>21.4</v>
      </c>
      <c r="E130" t="n">
        <v>29.1</v>
      </c>
    </row>
    <row r="131">
      <c r="A131" s="96" t="n">
        <v>21094</v>
      </c>
      <c r="B131" t="n">
        <v>28.32</v>
      </c>
      <c r="C131" t="n">
        <v>21.4</v>
      </c>
      <c r="E131" t="n">
        <v>29.2</v>
      </c>
    </row>
    <row r="132">
      <c r="A132" s="96" t="n">
        <v>21125</v>
      </c>
      <c r="B132" t="n">
        <v>28.41</v>
      </c>
      <c r="C132" t="n">
        <v>21.5</v>
      </c>
      <c r="E132" t="n">
        <v>29.3</v>
      </c>
    </row>
    <row r="133">
      <c r="A133" s="96" t="n">
        <v>21155</v>
      </c>
      <c r="B133" t="n">
        <v>28.47</v>
      </c>
      <c r="C133" t="n">
        <v>21.5</v>
      </c>
      <c r="E133" t="n">
        <v>29.3</v>
      </c>
    </row>
    <row r="134">
      <c r="A134" s="96" t="n">
        <v>21186</v>
      </c>
      <c r="B134" t="n">
        <v>28.64</v>
      </c>
      <c r="C134" t="n">
        <v>21.6</v>
      </c>
      <c r="E134" t="n">
        <v>29.3</v>
      </c>
    </row>
    <row r="135">
      <c r="A135" s="96" t="n">
        <v>21217</v>
      </c>
      <c r="B135" t="n">
        <v>28.7</v>
      </c>
      <c r="C135" t="n">
        <v>21.3</v>
      </c>
      <c r="E135" t="n">
        <v>29.4</v>
      </c>
    </row>
    <row r="136">
      <c r="A136" s="96" t="n">
        <v>21245</v>
      </c>
      <c r="B136" t="n">
        <v>28.87</v>
      </c>
      <c r="C136" t="n">
        <v>21.4</v>
      </c>
      <c r="E136" t="n">
        <v>29.5</v>
      </c>
    </row>
    <row r="137">
      <c r="A137" s="96" t="n">
        <v>21276</v>
      </c>
      <c r="B137" t="n">
        <v>28.94</v>
      </c>
      <c r="C137" t="n">
        <v>21.4</v>
      </c>
      <c r="E137" t="n">
        <v>29.5</v>
      </c>
    </row>
    <row r="138">
      <c r="A138" s="96" t="n">
        <v>21306</v>
      </c>
      <c r="B138" t="n">
        <v>28.94</v>
      </c>
      <c r="C138" t="n">
        <v>21.5</v>
      </c>
      <c r="E138" t="n">
        <v>29.5</v>
      </c>
    </row>
    <row r="139">
      <c r="A139" s="96" t="n">
        <v>21337</v>
      </c>
      <c r="B139" t="n">
        <v>28.91</v>
      </c>
      <c r="C139" t="n">
        <v>21.5</v>
      </c>
      <c r="E139" t="n">
        <v>29.6</v>
      </c>
    </row>
    <row r="140">
      <c r="A140" s="96" t="n">
        <v>21367</v>
      </c>
      <c r="B140" t="n">
        <v>28.89</v>
      </c>
      <c r="C140" t="n">
        <v>21.6</v>
      </c>
      <c r="E140" t="n">
        <v>29.6</v>
      </c>
    </row>
    <row r="141">
      <c r="A141" s="96" t="n">
        <v>21398</v>
      </c>
      <c r="B141" t="n">
        <v>28.94</v>
      </c>
      <c r="C141" t="n">
        <v>21.7</v>
      </c>
      <c r="E141" t="n">
        <v>29.6</v>
      </c>
    </row>
    <row r="142">
      <c r="A142" s="96" t="n">
        <v>21429</v>
      </c>
      <c r="B142" t="n">
        <v>28.91</v>
      </c>
      <c r="C142" t="n">
        <v>21.7</v>
      </c>
      <c r="E142" t="n">
        <v>29.7</v>
      </c>
    </row>
    <row r="143">
      <c r="A143" s="96" t="n">
        <v>21459</v>
      </c>
      <c r="B143" t="n">
        <v>28.91</v>
      </c>
      <c r="C143" t="n">
        <v>21.7</v>
      </c>
      <c r="E143" t="n">
        <v>29.7</v>
      </c>
    </row>
    <row r="144">
      <c r="A144" s="96" t="n">
        <v>21490</v>
      </c>
      <c r="B144" t="n">
        <v>28.95</v>
      </c>
      <c r="C144" t="n">
        <v>21.4</v>
      </c>
      <c r="E144" t="n">
        <v>29.8</v>
      </c>
    </row>
    <row r="145">
      <c r="A145" s="96" t="n">
        <v>21520</v>
      </c>
      <c r="B145" t="n">
        <v>28.97</v>
      </c>
      <c r="C145" t="n">
        <v>21.4</v>
      </c>
      <c r="E145" t="n">
        <v>29.9</v>
      </c>
    </row>
    <row r="146">
      <c r="A146" s="96" t="n">
        <v>21551</v>
      </c>
      <c r="B146" t="n">
        <v>29.01</v>
      </c>
      <c r="C146" t="n">
        <v>21.4</v>
      </c>
      <c r="E146" t="n">
        <v>29.9</v>
      </c>
    </row>
    <row r="147">
      <c r="A147" s="96" t="n">
        <v>21582</v>
      </c>
      <c r="B147" t="n">
        <v>29</v>
      </c>
      <c r="C147" t="n">
        <v>21.6</v>
      </c>
      <c r="E147" t="n">
        <v>29.9</v>
      </c>
    </row>
    <row r="148">
      <c r="A148" s="96" t="n">
        <v>21610</v>
      </c>
      <c r="B148" t="n">
        <v>28.97</v>
      </c>
      <c r="C148" t="n">
        <v>21.7</v>
      </c>
      <c r="E148" t="n">
        <v>30</v>
      </c>
    </row>
    <row r="149">
      <c r="A149" s="96" t="n">
        <v>21641</v>
      </c>
      <c r="B149" t="n">
        <v>28.98</v>
      </c>
      <c r="C149" t="n">
        <v>21.8</v>
      </c>
      <c r="E149" t="n">
        <v>30</v>
      </c>
    </row>
    <row r="150">
      <c r="A150" s="96" t="n">
        <v>21671</v>
      </c>
      <c r="B150" t="n">
        <v>29.04</v>
      </c>
      <c r="C150" t="n">
        <v>21.8</v>
      </c>
      <c r="E150" t="n">
        <v>30.1</v>
      </c>
    </row>
    <row r="151">
      <c r="A151" s="96" t="n">
        <v>21702</v>
      </c>
      <c r="B151" t="n">
        <v>29.11</v>
      </c>
      <c r="C151" t="n">
        <v>21.9</v>
      </c>
      <c r="E151" t="n">
        <v>30.2</v>
      </c>
    </row>
    <row r="152">
      <c r="A152" s="96" t="n">
        <v>21732</v>
      </c>
      <c r="B152" t="n">
        <v>29.15</v>
      </c>
      <c r="C152" t="n">
        <v>21.8</v>
      </c>
      <c r="E152" t="n">
        <v>30.2</v>
      </c>
    </row>
    <row r="153">
      <c r="A153" s="96" t="n">
        <v>21763</v>
      </c>
      <c r="B153" t="n">
        <v>29.18</v>
      </c>
      <c r="C153" t="n">
        <v>21.9</v>
      </c>
      <c r="E153" t="n">
        <v>30.2</v>
      </c>
    </row>
    <row r="154">
      <c r="A154" s="96" t="n">
        <v>21794</v>
      </c>
      <c r="B154" t="n">
        <v>29.25</v>
      </c>
      <c r="C154" t="n">
        <v>21.9</v>
      </c>
      <c r="E154" t="n">
        <v>30.3</v>
      </c>
    </row>
    <row r="155">
      <c r="A155" s="96" t="n">
        <v>21824</v>
      </c>
      <c r="B155" t="n">
        <v>29.35</v>
      </c>
      <c r="C155" t="n">
        <v>22.2</v>
      </c>
      <c r="E155" t="n">
        <v>30.4</v>
      </c>
    </row>
    <row r="156">
      <c r="A156" s="96" t="n">
        <v>21855</v>
      </c>
      <c r="B156" t="n">
        <v>29.35</v>
      </c>
      <c r="C156" t="n">
        <v>22.2</v>
      </c>
      <c r="E156" t="n">
        <v>30.4</v>
      </c>
    </row>
    <row r="157">
      <c r="A157" s="96" t="n">
        <v>21885</v>
      </c>
      <c r="B157" t="n">
        <v>29.41</v>
      </c>
      <c r="C157" t="n">
        <v>22.3</v>
      </c>
      <c r="E157" t="n">
        <v>30.5</v>
      </c>
    </row>
    <row r="158">
      <c r="A158" s="96" t="n">
        <v>21916</v>
      </c>
      <c r="B158" t="n">
        <v>29.37</v>
      </c>
      <c r="C158" t="n">
        <v>22.3</v>
      </c>
      <c r="E158" t="n">
        <v>30.5</v>
      </c>
    </row>
    <row r="159">
      <c r="A159" s="96" t="n">
        <v>21947</v>
      </c>
      <c r="B159" t="n">
        <v>29.41</v>
      </c>
      <c r="C159" t="n">
        <v>22.2</v>
      </c>
      <c r="E159" t="n">
        <v>30.6</v>
      </c>
    </row>
    <row r="160">
      <c r="A160" s="96" t="n">
        <v>21976</v>
      </c>
      <c r="B160" t="n">
        <v>29.41</v>
      </c>
      <c r="C160" t="n">
        <v>22.3</v>
      </c>
      <c r="E160" t="n">
        <v>30.6</v>
      </c>
    </row>
    <row r="161">
      <c r="A161" s="96" t="n">
        <v>22007</v>
      </c>
      <c r="B161" t="n">
        <v>29.54</v>
      </c>
      <c r="C161" t="n">
        <v>22.4</v>
      </c>
      <c r="E161" t="n">
        <v>30.6</v>
      </c>
    </row>
    <row r="162">
      <c r="A162" s="96" t="n">
        <v>22037</v>
      </c>
      <c r="B162" t="n">
        <v>29.57</v>
      </c>
      <c r="C162" t="n">
        <v>22.3</v>
      </c>
      <c r="E162" t="n">
        <v>30.6</v>
      </c>
    </row>
    <row r="163">
      <c r="A163" s="96" t="n">
        <v>22068</v>
      </c>
      <c r="B163" t="n">
        <v>29.61</v>
      </c>
      <c r="C163" t="n">
        <v>22.4</v>
      </c>
      <c r="E163" t="n">
        <v>30.7</v>
      </c>
    </row>
    <row r="164">
      <c r="A164" s="96" t="n">
        <v>22098</v>
      </c>
      <c r="B164" t="n">
        <v>29.55</v>
      </c>
      <c r="C164" t="n">
        <v>22.5</v>
      </c>
      <c r="E164" t="n">
        <v>30.6</v>
      </c>
    </row>
    <row r="165">
      <c r="A165" s="96" t="n">
        <v>22129</v>
      </c>
      <c r="B165" t="n">
        <v>29.61</v>
      </c>
      <c r="C165" t="n">
        <v>22.5</v>
      </c>
      <c r="E165" t="n">
        <v>30.6</v>
      </c>
    </row>
    <row r="166">
      <c r="A166" s="96" t="n">
        <v>22160</v>
      </c>
      <c r="B166" t="n">
        <v>29.61</v>
      </c>
      <c r="C166" t="n">
        <v>22.6</v>
      </c>
      <c r="E166" t="n">
        <v>30.6</v>
      </c>
    </row>
    <row r="167">
      <c r="A167" s="96" t="n">
        <v>22190</v>
      </c>
      <c r="B167" t="n">
        <v>29.75</v>
      </c>
      <c r="C167" t="n">
        <v>22.5</v>
      </c>
      <c r="E167" t="n">
        <v>30.8</v>
      </c>
    </row>
    <row r="168">
      <c r="A168" s="96" t="n">
        <v>22221</v>
      </c>
      <c r="B168" t="n">
        <v>29.78</v>
      </c>
      <c r="C168" t="n">
        <v>22.7</v>
      </c>
      <c r="E168" t="n">
        <v>30.8</v>
      </c>
    </row>
    <row r="169">
      <c r="A169" s="96" t="n">
        <v>22251</v>
      </c>
      <c r="B169" t="n">
        <v>29.81</v>
      </c>
      <c r="C169" t="n">
        <v>22.6</v>
      </c>
      <c r="E169" t="n">
        <v>30.7</v>
      </c>
    </row>
    <row r="170">
      <c r="A170" s="96" t="n">
        <v>22282</v>
      </c>
      <c r="B170" t="n">
        <v>29.84</v>
      </c>
      <c r="C170" t="n">
        <v>22.7</v>
      </c>
      <c r="E170" t="n">
        <v>30.8</v>
      </c>
    </row>
    <row r="171">
      <c r="A171" s="96" t="n">
        <v>22313</v>
      </c>
      <c r="B171" t="n">
        <v>29.84</v>
      </c>
      <c r="C171" t="n">
        <v>22.6</v>
      </c>
      <c r="E171" t="n">
        <v>30.8</v>
      </c>
    </row>
    <row r="172">
      <c r="A172" s="96" t="n">
        <v>22341</v>
      </c>
      <c r="B172" t="n">
        <v>29.84</v>
      </c>
      <c r="C172" t="n">
        <v>22.6</v>
      </c>
      <c r="E172" t="n">
        <v>30.9</v>
      </c>
    </row>
    <row r="173">
      <c r="A173" s="96" t="n">
        <v>22372</v>
      </c>
      <c r="B173" t="n">
        <v>29.81</v>
      </c>
      <c r="C173" t="n">
        <v>22.2</v>
      </c>
      <c r="E173" t="n">
        <v>30.9</v>
      </c>
    </row>
    <row r="174">
      <c r="A174" s="96" t="n">
        <v>22402</v>
      </c>
      <c r="B174" t="n">
        <v>29.84</v>
      </c>
      <c r="C174" t="n">
        <v>22.4</v>
      </c>
      <c r="E174" t="n">
        <v>30.9</v>
      </c>
    </row>
    <row r="175">
      <c r="A175" s="96" t="n">
        <v>22433</v>
      </c>
      <c r="B175" t="n">
        <v>29.84</v>
      </c>
      <c r="C175" t="n">
        <v>22.5</v>
      </c>
      <c r="E175" t="n">
        <v>31</v>
      </c>
    </row>
    <row r="176">
      <c r="A176" s="96" t="n">
        <v>22463</v>
      </c>
      <c r="B176" t="n">
        <v>29.92</v>
      </c>
      <c r="C176" t="n">
        <v>22.5</v>
      </c>
      <c r="E176" t="n">
        <v>31</v>
      </c>
    </row>
    <row r="177">
      <c r="A177" s="96" t="n">
        <v>22494</v>
      </c>
      <c r="B177" t="n">
        <v>29.94</v>
      </c>
      <c r="C177" t="n">
        <v>22.5</v>
      </c>
      <c r="E177" t="n">
        <v>31.1</v>
      </c>
    </row>
    <row r="178">
      <c r="A178" s="96" t="n">
        <v>22525</v>
      </c>
      <c r="B178" t="n">
        <v>29.98</v>
      </c>
      <c r="C178" t="n">
        <v>22.6</v>
      </c>
      <c r="E178" t="n">
        <v>31.1</v>
      </c>
    </row>
    <row r="179">
      <c r="A179" s="96" t="n">
        <v>22555</v>
      </c>
      <c r="B179" t="n">
        <v>29.98</v>
      </c>
      <c r="C179" t="n">
        <v>22.4</v>
      </c>
      <c r="E179" t="n">
        <v>31.1</v>
      </c>
    </row>
    <row r="180">
      <c r="A180" s="96" t="n">
        <v>22586</v>
      </c>
      <c r="B180" t="n">
        <v>29.98</v>
      </c>
      <c r="C180" t="n">
        <v>22.5</v>
      </c>
      <c r="E180" t="n">
        <v>31.2</v>
      </c>
    </row>
    <row r="181">
      <c r="A181" s="96" t="n">
        <v>22616</v>
      </c>
      <c r="B181" t="n">
        <v>30.01</v>
      </c>
      <c r="C181" t="n">
        <v>22.4</v>
      </c>
      <c r="E181" t="n">
        <v>31.2</v>
      </c>
    </row>
    <row r="182">
      <c r="A182" s="96" t="n">
        <v>22647</v>
      </c>
      <c r="B182" t="n">
        <v>30.04</v>
      </c>
      <c r="C182" t="n">
        <v>22.4</v>
      </c>
      <c r="E182" t="n">
        <v>31.2</v>
      </c>
    </row>
    <row r="183">
      <c r="A183" s="96" t="n">
        <v>22678</v>
      </c>
      <c r="B183" t="n">
        <v>30.11</v>
      </c>
      <c r="C183" t="n">
        <v>22.6</v>
      </c>
      <c r="E183" t="n">
        <v>31.2</v>
      </c>
    </row>
    <row r="184">
      <c r="A184" s="96" t="n">
        <v>22706</v>
      </c>
      <c r="B184" t="n">
        <v>30.17</v>
      </c>
      <c r="C184" t="n">
        <v>22.4</v>
      </c>
      <c r="E184" t="n">
        <v>31.3</v>
      </c>
    </row>
    <row r="185">
      <c r="A185" s="96" t="n">
        <v>22737</v>
      </c>
      <c r="B185" t="n">
        <v>30.21</v>
      </c>
      <c r="C185" t="n">
        <v>22.7</v>
      </c>
      <c r="E185" t="n">
        <v>31.3</v>
      </c>
    </row>
    <row r="186">
      <c r="A186" s="96" t="n">
        <v>22767</v>
      </c>
      <c r="B186" t="n">
        <v>30.24</v>
      </c>
      <c r="C186" t="n">
        <v>22.7</v>
      </c>
      <c r="E186" t="n">
        <v>31.4</v>
      </c>
    </row>
    <row r="187">
      <c r="A187" s="96" t="n">
        <v>22798</v>
      </c>
      <c r="B187" t="n">
        <v>30.21</v>
      </c>
      <c r="C187" t="n">
        <v>22.5</v>
      </c>
      <c r="E187" t="n">
        <v>31.4</v>
      </c>
    </row>
    <row r="188">
      <c r="A188" s="96" t="n">
        <v>22828</v>
      </c>
      <c r="B188" t="n">
        <v>30.22</v>
      </c>
      <c r="C188" t="n">
        <v>22.3</v>
      </c>
      <c r="E188" t="n">
        <v>31.4</v>
      </c>
    </row>
    <row r="189">
      <c r="A189" s="96" t="n">
        <v>22859</v>
      </c>
      <c r="B189" t="n">
        <v>30.28</v>
      </c>
      <c r="C189" t="n">
        <v>22.4</v>
      </c>
      <c r="E189" t="n">
        <v>31.5</v>
      </c>
    </row>
    <row r="190">
      <c r="A190" s="96" t="n">
        <v>22890</v>
      </c>
      <c r="B190" t="n">
        <v>30.42</v>
      </c>
      <c r="C190" t="n">
        <v>22.8</v>
      </c>
      <c r="E190" t="n">
        <v>31.5</v>
      </c>
    </row>
    <row r="191">
      <c r="A191" s="96" t="n">
        <v>22920</v>
      </c>
      <c r="B191" t="n">
        <v>30.38</v>
      </c>
      <c r="C191" t="n">
        <v>22.7</v>
      </c>
      <c r="E191" t="n">
        <v>31.5</v>
      </c>
    </row>
    <row r="192">
      <c r="A192" s="96" t="n">
        <v>22951</v>
      </c>
      <c r="B192" t="n">
        <v>30.38</v>
      </c>
      <c r="C192" t="n">
        <v>22.7</v>
      </c>
      <c r="E192" t="n">
        <v>31.5</v>
      </c>
    </row>
    <row r="193">
      <c r="A193" s="96" t="n">
        <v>22981</v>
      </c>
      <c r="B193" t="n">
        <v>30.38</v>
      </c>
      <c r="C193" t="n">
        <v>22.8</v>
      </c>
      <c r="E193" t="n">
        <v>31.6</v>
      </c>
    </row>
    <row r="194">
      <c r="A194" s="96" t="n">
        <v>23012</v>
      </c>
      <c r="B194" t="n">
        <v>30.44</v>
      </c>
      <c r="C194" t="n">
        <v>22.8</v>
      </c>
      <c r="E194" t="n">
        <v>31.5</v>
      </c>
    </row>
    <row r="195">
      <c r="A195" s="96" t="n">
        <v>23043</v>
      </c>
      <c r="B195" t="n">
        <v>30.48</v>
      </c>
      <c r="C195" t="n">
        <v>22.7</v>
      </c>
      <c r="E195" t="n">
        <v>31.6</v>
      </c>
    </row>
    <row r="196">
      <c r="A196" s="96" t="n">
        <v>23071</v>
      </c>
      <c r="B196" t="n">
        <v>30.51</v>
      </c>
      <c r="C196" t="n">
        <v>22.7</v>
      </c>
      <c r="E196" t="n">
        <v>31.7</v>
      </c>
    </row>
    <row r="197">
      <c r="A197" s="96" t="n">
        <v>23102</v>
      </c>
      <c r="B197" t="n">
        <v>30.48</v>
      </c>
      <c r="C197" t="n">
        <v>22.6</v>
      </c>
      <c r="E197" t="n">
        <v>31.7</v>
      </c>
    </row>
    <row r="198">
      <c r="A198" s="96" t="n">
        <v>23132</v>
      </c>
      <c r="B198" t="n">
        <v>30.51</v>
      </c>
      <c r="C198" t="n">
        <v>22.6</v>
      </c>
      <c r="E198" t="n">
        <v>31.7</v>
      </c>
    </row>
    <row r="199">
      <c r="A199" s="96" t="n">
        <v>23163</v>
      </c>
      <c r="B199" t="n">
        <v>30.61</v>
      </c>
      <c r="C199" t="n">
        <v>22.5</v>
      </c>
      <c r="E199" t="n">
        <v>31.8</v>
      </c>
    </row>
    <row r="200">
      <c r="A200" s="96" t="n">
        <v>23193</v>
      </c>
      <c r="B200" t="n">
        <v>30.69</v>
      </c>
      <c r="C200" t="n">
        <v>22.7</v>
      </c>
      <c r="E200" t="n">
        <v>31.8</v>
      </c>
    </row>
    <row r="201">
      <c r="A201" s="96" t="n">
        <v>23224</v>
      </c>
      <c r="B201" t="n">
        <v>30.75</v>
      </c>
      <c r="C201" t="n">
        <v>22.6</v>
      </c>
      <c r="E201" t="n">
        <v>31.9</v>
      </c>
    </row>
    <row r="202">
      <c r="A202" s="96" t="n">
        <v>23255</v>
      </c>
      <c r="B202" t="n">
        <v>30.72</v>
      </c>
      <c r="C202" t="n">
        <v>22.5</v>
      </c>
      <c r="E202" t="n">
        <v>31.9</v>
      </c>
    </row>
    <row r="203">
      <c r="A203" s="96" t="n">
        <v>23285</v>
      </c>
      <c r="B203" t="n">
        <v>30.75</v>
      </c>
      <c r="C203" t="n">
        <v>22.7</v>
      </c>
      <c r="E203" t="n">
        <v>32</v>
      </c>
    </row>
    <row r="204">
      <c r="A204" s="96" t="n">
        <v>23316</v>
      </c>
      <c r="B204" t="n">
        <v>30.78</v>
      </c>
      <c r="C204" t="n">
        <v>22.6</v>
      </c>
      <c r="E204" t="n">
        <v>32</v>
      </c>
    </row>
    <row r="205">
      <c r="A205" s="96" t="n">
        <v>23346</v>
      </c>
      <c r="B205" t="n">
        <v>30.88</v>
      </c>
      <c r="C205" t="n">
        <v>22.6</v>
      </c>
      <c r="E205" t="n">
        <v>32.1</v>
      </c>
    </row>
    <row r="206">
      <c r="A206" s="96" t="n">
        <v>23377</v>
      </c>
      <c r="B206" t="n">
        <v>30.94</v>
      </c>
      <c r="C206" t="n">
        <v>22.8</v>
      </c>
      <c r="E206" t="n">
        <v>32.2</v>
      </c>
    </row>
    <row r="207">
      <c r="A207" s="96" t="n">
        <v>23408</v>
      </c>
      <c r="B207" t="n">
        <v>30.91</v>
      </c>
      <c r="C207" t="n">
        <v>22.2</v>
      </c>
      <c r="E207" t="n">
        <v>32.2</v>
      </c>
    </row>
    <row r="208">
      <c r="A208" s="96" t="n">
        <v>23437</v>
      </c>
      <c r="B208" t="n">
        <v>30.94</v>
      </c>
      <c r="C208" t="n">
        <v>22.6</v>
      </c>
      <c r="E208" t="n">
        <v>32.2</v>
      </c>
    </row>
    <row r="209">
      <c r="A209" s="96" t="n">
        <v>23468</v>
      </c>
      <c r="B209" t="n">
        <v>30.95</v>
      </c>
      <c r="C209" t="n">
        <v>22.5</v>
      </c>
      <c r="E209" t="n">
        <v>32.2</v>
      </c>
    </row>
    <row r="210">
      <c r="A210" s="96" t="n">
        <v>23498</v>
      </c>
      <c r="B210" t="n">
        <v>30.98</v>
      </c>
      <c r="C210" t="n">
        <v>22.5</v>
      </c>
      <c r="E210" t="n">
        <v>32.2</v>
      </c>
    </row>
    <row r="211">
      <c r="A211" s="96" t="n">
        <v>23529</v>
      </c>
      <c r="B211" t="n">
        <v>31.01</v>
      </c>
      <c r="C211" t="n">
        <v>22.6</v>
      </c>
      <c r="E211" t="n">
        <v>32.3</v>
      </c>
    </row>
    <row r="212">
      <c r="A212" s="96" t="n">
        <v>23559</v>
      </c>
      <c r="B212" t="n">
        <v>31.02</v>
      </c>
      <c r="C212" t="n">
        <v>22.5</v>
      </c>
      <c r="E212" t="n">
        <v>32.3</v>
      </c>
    </row>
    <row r="213">
      <c r="A213" s="96" t="n">
        <v>23590</v>
      </c>
      <c r="B213" t="n">
        <v>31.05</v>
      </c>
      <c r="C213" t="n">
        <v>22.6</v>
      </c>
      <c r="E213" t="n">
        <v>32.3</v>
      </c>
    </row>
    <row r="214">
      <c r="A214" s="96" t="n">
        <v>23621</v>
      </c>
      <c r="B214" t="n">
        <v>31.08</v>
      </c>
      <c r="C214" t="n">
        <v>22.5</v>
      </c>
      <c r="E214" t="n">
        <v>32.3</v>
      </c>
    </row>
    <row r="215">
      <c r="A215" s="96" t="n">
        <v>23651</v>
      </c>
      <c r="B215" t="n">
        <v>31.12</v>
      </c>
      <c r="C215" t="n">
        <v>22.5</v>
      </c>
      <c r="E215" t="n">
        <v>32.4</v>
      </c>
    </row>
    <row r="216">
      <c r="A216" s="96" t="n">
        <v>23682</v>
      </c>
      <c r="B216" t="n">
        <v>31.21</v>
      </c>
      <c r="C216" t="n">
        <v>22.5</v>
      </c>
      <c r="E216" t="n">
        <v>32.5</v>
      </c>
    </row>
    <row r="217">
      <c r="A217" s="96" t="n">
        <v>23712</v>
      </c>
      <c r="B217" t="n">
        <v>31.25</v>
      </c>
      <c r="C217" t="n">
        <v>22.6</v>
      </c>
      <c r="E217" t="n">
        <v>32.5</v>
      </c>
    </row>
    <row r="218">
      <c r="A218" s="96" t="n">
        <v>23743</v>
      </c>
      <c r="B218" t="n">
        <v>31.28</v>
      </c>
      <c r="C218" t="n">
        <v>22.8</v>
      </c>
      <c r="E218" t="n">
        <v>32.6</v>
      </c>
    </row>
    <row r="219">
      <c r="A219" s="96" t="n">
        <v>23774</v>
      </c>
      <c r="B219" t="n">
        <v>31.28</v>
      </c>
      <c r="C219" t="n">
        <v>22.7</v>
      </c>
      <c r="E219" t="n">
        <v>32.6</v>
      </c>
    </row>
    <row r="220">
      <c r="A220" s="96" t="n">
        <v>23802</v>
      </c>
      <c r="B220" t="n">
        <v>31.31</v>
      </c>
      <c r="C220" t="n">
        <v>22.6</v>
      </c>
      <c r="E220" t="n">
        <v>32.6</v>
      </c>
    </row>
    <row r="221">
      <c r="A221" s="96" t="n">
        <v>23833</v>
      </c>
      <c r="B221" t="n">
        <v>31.38</v>
      </c>
      <c r="C221" t="n">
        <v>22.9</v>
      </c>
      <c r="E221" t="n">
        <v>32.7</v>
      </c>
    </row>
    <row r="222">
      <c r="A222" s="96" t="n">
        <v>23863</v>
      </c>
      <c r="B222" t="n">
        <v>31.48</v>
      </c>
      <c r="C222" t="n">
        <v>23</v>
      </c>
      <c r="E222" t="n">
        <v>32.7</v>
      </c>
    </row>
    <row r="223">
      <c r="A223" s="96" t="n">
        <v>23894</v>
      </c>
      <c r="B223" t="n">
        <v>31.61</v>
      </c>
      <c r="C223" t="n">
        <v>23.1</v>
      </c>
      <c r="E223" t="n">
        <v>32.7</v>
      </c>
    </row>
    <row r="224">
      <c r="A224" s="96" t="n">
        <v>23924</v>
      </c>
      <c r="B224" t="n">
        <v>31.58</v>
      </c>
      <c r="C224" t="n">
        <v>23</v>
      </c>
      <c r="E224" t="n">
        <v>32.7</v>
      </c>
    </row>
    <row r="225">
      <c r="A225" s="96" t="n">
        <v>23955</v>
      </c>
      <c r="B225" t="n">
        <v>31.55</v>
      </c>
      <c r="C225" t="n">
        <v>23</v>
      </c>
      <c r="E225" t="n">
        <v>32.7</v>
      </c>
    </row>
    <row r="226">
      <c r="A226" s="96" t="n">
        <v>23986</v>
      </c>
      <c r="B226" t="n">
        <v>31.62</v>
      </c>
      <c r="C226" t="n">
        <v>23.1</v>
      </c>
      <c r="E226" t="n">
        <v>32.8</v>
      </c>
    </row>
    <row r="227">
      <c r="A227" s="96" t="n">
        <v>24016</v>
      </c>
      <c r="B227" t="n">
        <v>31.65</v>
      </c>
      <c r="C227" t="n">
        <v>23</v>
      </c>
      <c r="E227" t="n">
        <v>32.8</v>
      </c>
    </row>
    <row r="228">
      <c r="A228" s="96" t="n">
        <v>24047</v>
      </c>
      <c r="B228" t="n">
        <v>31.75</v>
      </c>
      <c r="C228" t="n">
        <v>23.1</v>
      </c>
      <c r="E228" t="n">
        <v>32.9</v>
      </c>
    </row>
    <row r="229">
      <c r="A229" s="96" t="n">
        <v>24077</v>
      </c>
      <c r="B229" t="n">
        <v>31.85</v>
      </c>
      <c r="C229" t="n">
        <v>23.1</v>
      </c>
      <c r="E229" t="n">
        <v>33</v>
      </c>
    </row>
    <row r="230">
      <c r="A230" s="96" t="n">
        <v>24108</v>
      </c>
      <c r="B230" t="n">
        <v>31.88</v>
      </c>
      <c r="C230" t="n">
        <v>23.1</v>
      </c>
      <c r="E230" t="n">
        <v>33</v>
      </c>
    </row>
    <row r="231">
      <c r="A231" s="96" t="n">
        <v>24139</v>
      </c>
      <c r="B231" t="n">
        <v>32.08</v>
      </c>
      <c r="C231" t="n">
        <v>23.2</v>
      </c>
      <c r="E231" t="n">
        <v>33.1</v>
      </c>
    </row>
    <row r="232">
      <c r="A232" s="96" t="n">
        <v>24167</v>
      </c>
      <c r="B232" t="n">
        <v>32.18</v>
      </c>
      <c r="C232" t="n">
        <v>23.2</v>
      </c>
      <c r="E232" t="n">
        <v>33.1</v>
      </c>
    </row>
    <row r="233">
      <c r="A233" s="96" t="n">
        <v>24198</v>
      </c>
      <c r="B233" t="n">
        <v>32.28</v>
      </c>
      <c r="C233" t="n">
        <v>23.2</v>
      </c>
      <c r="E233" t="n">
        <v>33.3</v>
      </c>
    </row>
    <row r="234">
      <c r="A234" s="96" t="n">
        <v>24228</v>
      </c>
      <c r="B234" t="n">
        <v>32.35</v>
      </c>
      <c r="C234" t="n">
        <v>23.2</v>
      </c>
      <c r="E234" t="n">
        <v>33.4</v>
      </c>
    </row>
    <row r="235">
      <c r="A235" s="96" t="n">
        <v>24259</v>
      </c>
      <c r="B235" t="n">
        <v>32.38</v>
      </c>
      <c r="C235" t="n">
        <v>23.3</v>
      </c>
      <c r="E235" t="n">
        <v>33.5</v>
      </c>
    </row>
    <row r="236">
      <c r="A236" s="96" t="n">
        <v>24289</v>
      </c>
      <c r="B236" t="n">
        <v>32.45</v>
      </c>
      <c r="C236" t="n">
        <v>23.4</v>
      </c>
      <c r="E236" t="n">
        <v>33.6</v>
      </c>
    </row>
    <row r="237">
      <c r="A237" s="96" t="n">
        <v>24320</v>
      </c>
      <c r="B237" t="n">
        <v>32.65</v>
      </c>
      <c r="C237" t="n">
        <v>23.3</v>
      </c>
      <c r="E237" t="n">
        <v>33.7</v>
      </c>
    </row>
    <row r="238">
      <c r="A238" s="96" t="n">
        <v>24351</v>
      </c>
      <c r="B238" t="n">
        <v>32.75</v>
      </c>
      <c r="C238" t="n">
        <v>23.4</v>
      </c>
      <c r="E238" t="n">
        <v>33.8</v>
      </c>
    </row>
    <row r="239">
      <c r="A239" s="96" t="n">
        <v>24381</v>
      </c>
      <c r="B239" t="n">
        <v>32.85</v>
      </c>
      <c r="C239" t="n">
        <v>23.4</v>
      </c>
      <c r="E239" t="n">
        <v>34</v>
      </c>
    </row>
    <row r="240">
      <c r="A240" s="96" t="n">
        <v>24412</v>
      </c>
      <c r="B240" t="n">
        <v>32.88</v>
      </c>
      <c r="C240" t="n">
        <v>23.5</v>
      </c>
      <c r="E240" t="n">
        <v>34</v>
      </c>
    </row>
    <row r="241">
      <c r="A241" s="96" t="n">
        <v>24442</v>
      </c>
      <c r="B241" t="n">
        <v>32.92</v>
      </c>
      <c r="C241" t="n">
        <v>23.5</v>
      </c>
      <c r="E241" t="n">
        <v>34.1</v>
      </c>
    </row>
    <row r="242">
      <c r="A242" s="96" t="n">
        <v>24473</v>
      </c>
      <c r="B242" t="n">
        <v>32.9</v>
      </c>
      <c r="C242" t="n">
        <v>23.6</v>
      </c>
      <c r="D242" t="n">
        <v>34.8</v>
      </c>
      <c r="E242" t="n">
        <v>34.2</v>
      </c>
    </row>
    <row r="243">
      <c r="A243" s="96" t="n">
        <v>24504</v>
      </c>
      <c r="B243" t="n">
        <v>33</v>
      </c>
      <c r="C243" t="n">
        <v>23.7</v>
      </c>
      <c r="D243" t="n">
        <v>34.7</v>
      </c>
      <c r="E243" t="n">
        <v>34.2</v>
      </c>
    </row>
    <row r="244">
      <c r="A244" s="96" t="n">
        <v>24532</v>
      </c>
      <c r="B244" t="n">
        <v>33</v>
      </c>
      <c r="C244" t="n">
        <v>23.6</v>
      </c>
      <c r="D244" t="n">
        <v>34.7</v>
      </c>
      <c r="E244" t="n">
        <v>34.3</v>
      </c>
    </row>
    <row r="245">
      <c r="A245" s="96" t="n">
        <v>24563</v>
      </c>
      <c r="B245" t="n">
        <v>33.1</v>
      </c>
      <c r="C245" t="n">
        <v>23.9</v>
      </c>
      <c r="D245" t="n">
        <v>34.6</v>
      </c>
      <c r="E245" t="n">
        <v>34.4</v>
      </c>
    </row>
    <row r="246">
      <c r="A246" s="96" t="n">
        <v>24593</v>
      </c>
      <c r="B246" t="n">
        <v>33.1</v>
      </c>
      <c r="C246" t="n">
        <v>23.9</v>
      </c>
      <c r="D246" t="n">
        <v>34.6</v>
      </c>
      <c r="E246" t="n">
        <v>34.5</v>
      </c>
    </row>
    <row r="247">
      <c r="A247" s="96" t="n">
        <v>24624</v>
      </c>
      <c r="B247" t="n">
        <v>33.3</v>
      </c>
      <c r="C247" t="n">
        <v>23.8</v>
      </c>
      <c r="D247" t="n">
        <v>34.9</v>
      </c>
      <c r="E247" t="n">
        <v>34.6</v>
      </c>
    </row>
    <row r="248">
      <c r="A248" s="96" t="n">
        <v>24654</v>
      </c>
      <c r="B248" t="n">
        <v>33.4</v>
      </c>
      <c r="C248" t="n">
        <v>23.8</v>
      </c>
      <c r="D248" t="n">
        <v>35</v>
      </c>
      <c r="E248" t="n">
        <v>34.7</v>
      </c>
    </row>
    <row r="249">
      <c r="A249" s="96" t="n">
        <v>24685</v>
      </c>
      <c r="B249" t="n">
        <v>33.5</v>
      </c>
      <c r="C249" t="n">
        <v>23.9</v>
      </c>
      <c r="D249" t="n">
        <v>35.2</v>
      </c>
      <c r="E249" t="n">
        <v>34.9</v>
      </c>
    </row>
    <row r="250">
      <c r="A250" s="96" t="n">
        <v>24716</v>
      </c>
      <c r="B250" t="n">
        <v>33.6</v>
      </c>
      <c r="C250" t="n">
        <v>24</v>
      </c>
      <c r="D250" t="n">
        <v>35.2</v>
      </c>
      <c r="E250" t="n">
        <v>35</v>
      </c>
    </row>
    <row r="251">
      <c r="A251" s="96" t="n">
        <v>24746</v>
      </c>
      <c r="B251" t="n">
        <v>33.7</v>
      </c>
      <c r="C251" t="n">
        <v>23.9</v>
      </c>
      <c r="D251" t="n">
        <v>35.3</v>
      </c>
      <c r="E251" t="n">
        <v>35.1</v>
      </c>
    </row>
    <row r="252">
      <c r="A252" s="96" t="n">
        <v>24777</v>
      </c>
      <c r="B252" t="n">
        <v>33.9</v>
      </c>
      <c r="C252" t="n">
        <v>24</v>
      </c>
      <c r="D252" t="n">
        <v>35.4</v>
      </c>
      <c r="E252" t="n">
        <v>35.2</v>
      </c>
    </row>
    <row r="253">
      <c r="A253" s="96" t="n">
        <v>24807</v>
      </c>
      <c r="B253" t="n">
        <v>34</v>
      </c>
      <c r="C253" t="n">
        <v>23.9</v>
      </c>
      <c r="D253" t="n">
        <v>35.5</v>
      </c>
      <c r="E253" t="n">
        <v>35.4</v>
      </c>
    </row>
    <row r="254">
      <c r="A254" s="96" t="n">
        <v>24838</v>
      </c>
      <c r="B254" t="n">
        <v>34.1</v>
      </c>
      <c r="C254" t="n">
        <v>24</v>
      </c>
      <c r="D254" t="n">
        <v>35.5</v>
      </c>
      <c r="E254" t="n">
        <v>35.5</v>
      </c>
    </row>
    <row r="255">
      <c r="A255" s="96" t="n">
        <v>24869</v>
      </c>
      <c r="B255" t="n">
        <v>34.2</v>
      </c>
      <c r="C255" t="n">
        <v>24.1</v>
      </c>
      <c r="D255" t="n">
        <v>35.7</v>
      </c>
      <c r="E255" t="n">
        <v>35.7</v>
      </c>
    </row>
    <row r="256">
      <c r="A256" s="96" t="n">
        <v>24898</v>
      </c>
      <c r="B256" t="n">
        <v>34.3</v>
      </c>
      <c r="C256" t="n">
        <v>24.1</v>
      </c>
      <c r="D256" t="n">
        <v>35.8</v>
      </c>
      <c r="E256" t="n">
        <v>35.8</v>
      </c>
    </row>
    <row r="257">
      <c r="A257" s="96" t="n">
        <v>24929</v>
      </c>
      <c r="B257" t="n">
        <v>34.4</v>
      </c>
      <c r="C257" t="n">
        <v>24</v>
      </c>
      <c r="D257" t="n">
        <v>36</v>
      </c>
      <c r="E257" t="n">
        <v>35.9</v>
      </c>
    </row>
    <row r="258">
      <c r="A258" s="96" t="n">
        <v>24959</v>
      </c>
      <c r="B258" t="n">
        <v>34.5</v>
      </c>
      <c r="C258" t="n">
        <v>24.1</v>
      </c>
      <c r="D258" t="n">
        <v>36.1</v>
      </c>
      <c r="E258" t="n">
        <v>36</v>
      </c>
    </row>
    <row r="259">
      <c r="A259" s="96" t="n">
        <v>24990</v>
      </c>
      <c r="B259" t="n">
        <v>34.7</v>
      </c>
      <c r="C259" t="n">
        <v>24.2</v>
      </c>
      <c r="D259" t="n">
        <v>36.1</v>
      </c>
      <c r="E259" t="n">
        <v>36.2</v>
      </c>
    </row>
    <row r="260">
      <c r="A260" s="96" t="n">
        <v>25020</v>
      </c>
      <c r="B260" t="n">
        <v>34.9</v>
      </c>
      <c r="C260" t="n">
        <v>24.2</v>
      </c>
      <c r="D260" t="n">
        <v>36.2</v>
      </c>
      <c r="E260" t="n">
        <v>36.4</v>
      </c>
    </row>
    <row r="261">
      <c r="A261" s="96" t="n">
        <v>25051</v>
      </c>
      <c r="B261" t="n">
        <v>35</v>
      </c>
      <c r="C261" t="n">
        <v>24.3</v>
      </c>
      <c r="D261" t="n">
        <v>36.3</v>
      </c>
      <c r="E261" t="n">
        <v>36.5</v>
      </c>
    </row>
    <row r="262">
      <c r="A262" s="96" t="n">
        <v>25082</v>
      </c>
      <c r="B262" t="n">
        <v>35.1</v>
      </c>
      <c r="C262" t="n">
        <v>24.3</v>
      </c>
      <c r="D262" t="n">
        <v>36.5</v>
      </c>
      <c r="E262" t="n">
        <v>36.7</v>
      </c>
    </row>
    <row r="263">
      <c r="A263" s="96" t="n">
        <v>25112</v>
      </c>
      <c r="B263" t="n">
        <v>35.3</v>
      </c>
      <c r="C263" t="n">
        <v>24.3</v>
      </c>
      <c r="D263" t="n">
        <v>36.8</v>
      </c>
      <c r="E263" t="n">
        <v>36.9</v>
      </c>
    </row>
    <row r="264">
      <c r="A264" s="96" t="n">
        <v>25143</v>
      </c>
      <c r="B264" t="n">
        <v>35.4</v>
      </c>
      <c r="C264" t="n">
        <v>24.4</v>
      </c>
      <c r="D264" t="n">
        <v>36.8</v>
      </c>
      <c r="E264" t="n">
        <v>37.1</v>
      </c>
    </row>
    <row r="265">
      <c r="A265" s="96" t="n">
        <v>25173</v>
      </c>
      <c r="B265" t="n">
        <v>35.6</v>
      </c>
      <c r="C265" t="n">
        <v>24.3</v>
      </c>
      <c r="D265" t="n">
        <v>37</v>
      </c>
      <c r="E265" t="n">
        <v>37.2</v>
      </c>
    </row>
    <row r="266">
      <c r="A266" s="96" t="n">
        <v>25204</v>
      </c>
      <c r="B266" t="n">
        <v>35.7</v>
      </c>
      <c r="C266" t="n">
        <v>24.4</v>
      </c>
      <c r="D266" t="n">
        <v>37</v>
      </c>
      <c r="E266" t="n">
        <v>37.3</v>
      </c>
    </row>
    <row r="267">
      <c r="A267" s="96" t="n">
        <v>25235</v>
      </c>
      <c r="B267" t="n">
        <v>35.8</v>
      </c>
      <c r="C267" t="n">
        <v>24.4</v>
      </c>
      <c r="D267" t="n">
        <v>37</v>
      </c>
      <c r="E267" t="n">
        <v>37.6</v>
      </c>
    </row>
    <row r="268">
      <c r="A268" s="96" t="n">
        <v>25263</v>
      </c>
      <c r="B268" t="n">
        <v>36.1</v>
      </c>
      <c r="C268" t="n">
        <v>24.7</v>
      </c>
      <c r="D268" t="n">
        <v>37.1</v>
      </c>
      <c r="E268" t="n">
        <v>37.8</v>
      </c>
    </row>
    <row r="269">
      <c r="A269" s="96" t="n">
        <v>25294</v>
      </c>
      <c r="B269" t="n">
        <v>36.3</v>
      </c>
      <c r="C269" t="n">
        <v>24.9</v>
      </c>
      <c r="D269" t="n">
        <v>37.4</v>
      </c>
      <c r="E269" t="n">
        <v>38.1</v>
      </c>
    </row>
    <row r="270">
      <c r="A270" s="96" t="n">
        <v>25324</v>
      </c>
      <c r="B270" t="n">
        <v>36.4</v>
      </c>
      <c r="C270" t="n">
        <v>24.8</v>
      </c>
      <c r="D270" t="n">
        <v>37.6</v>
      </c>
      <c r="E270" t="n">
        <v>38.1</v>
      </c>
    </row>
    <row r="271">
      <c r="A271" s="96" t="n">
        <v>25355</v>
      </c>
      <c r="B271" t="n">
        <v>36.6</v>
      </c>
      <c r="C271" t="n">
        <v>25</v>
      </c>
      <c r="D271" t="n">
        <v>38</v>
      </c>
      <c r="E271" t="n">
        <v>38.3</v>
      </c>
    </row>
    <row r="272">
      <c r="A272" s="96" t="n">
        <v>25385</v>
      </c>
      <c r="B272" t="n">
        <v>36.8</v>
      </c>
      <c r="C272" t="n">
        <v>24.9</v>
      </c>
      <c r="D272" t="n">
        <v>38.2</v>
      </c>
      <c r="E272" t="n">
        <v>38.5</v>
      </c>
    </row>
    <row r="273">
      <c r="A273" s="96" t="n">
        <v>25416</v>
      </c>
      <c r="B273" t="n">
        <v>36.9</v>
      </c>
      <c r="C273" t="n">
        <v>24.9</v>
      </c>
      <c r="D273" t="n">
        <v>38.4</v>
      </c>
      <c r="E273" t="n">
        <v>38.7</v>
      </c>
    </row>
    <row r="274">
      <c r="A274" s="96" t="n">
        <v>25447</v>
      </c>
      <c r="B274" t="n">
        <v>37.1</v>
      </c>
      <c r="C274" t="n">
        <v>25</v>
      </c>
      <c r="D274" t="n">
        <v>38.6</v>
      </c>
      <c r="E274" t="n">
        <v>38.9</v>
      </c>
    </row>
    <row r="275">
      <c r="A275" s="96" t="n">
        <v>25477</v>
      </c>
      <c r="B275" t="n">
        <v>37.3</v>
      </c>
      <c r="C275" t="n">
        <v>25</v>
      </c>
      <c r="D275" t="n">
        <v>38.7</v>
      </c>
      <c r="E275" t="n">
        <v>39.1</v>
      </c>
    </row>
    <row r="276">
      <c r="A276" s="96" t="n">
        <v>25508</v>
      </c>
      <c r="B276" t="n">
        <v>37.5</v>
      </c>
      <c r="C276" t="n">
        <v>25</v>
      </c>
      <c r="D276" t="n">
        <v>39.1</v>
      </c>
      <c r="E276" t="n">
        <v>39.2</v>
      </c>
    </row>
    <row r="277">
      <c r="A277" s="96" t="n">
        <v>25538</v>
      </c>
      <c r="B277" t="n">
        <v>37.7</v>
      </c>
      <c r="C277" t="n">
        <v>25.1</v>
      </c>
      <c r="D277" t="n">
        <v>39.5</v>
      </c>
      <c r="E277" t="n">
        <v>39.4</v>
      </c>
    </row>
    <row r="278">
      <c r="A278" s="96" t="n">
        <v>25569</v>
      </c>
      <c r="B278" t="n">
        <v>37.9</v>
      </c>
      <c r="C278" t="n">
        <v>25.1</v>
      </c>
      <c r="D278" t="n">
        <v>39.6</v>
      </c>
      <c r="E278" t="n">
        <v>39.6</v>
      </c>
    </row>
    <row r="279">
      <c r="A279" s="96" t="n">
        <v>25600</v>
      </c>
      <c r="B279" t="n">
        <v>38.1</v>
      </c>
      <c r="C279" t="n">
        <v>25.1</v>
      </c>
      <c r="D279" t="n">
        <v>39.8</v>
      </c>
      <c r="E279" t="n">
        <v>39.8</v>
      </c>
    </row>
    <row r="280">
      <c r="A280" s="96" t="n">
        <v>25628</v>
      </c>
      <c r="B280" t="n">
        <v>38.3</v>
      </c>
      <c r="C280" t="n">
        <v>25</v>
      </c>
      <c r="D280" t="n">
        <v>39.8</v>
      </c>
      <c r="E280" t="n">
        <v>40.1</v>
      </c>
    </row>
    <row r="281">
      <c r="A281" s="96" t="n">
        <v>25659</v>
      </c>
      <c r="B281" t="n">
        <v>38.5</v>
      </c>
      <c r="C281" t="n">
        <v>25.5</v>
      </c>
      <c r="D281" t="n">
        <v>39.9</v>
      </c>
      <c r="E281" t="n">
        <v>40.4</v>
      </c>
    </row>
    <row r="282">
      <c r="A282" s="96" t="n">
        <v>25689</v>
      </c>
      <c r="B282" t="n">
        <v>38.6</v>
      </c>
      <c r="C282" t="n">
        <v>25.4</v>
      </c>
      <c r="D282" t="n">
        <v>40.1</v>
      </c>
      <c r="E282" t="n">
        <v>40.5</v>
      </c>
    </row>
    <row r="283">
      <c r="A283" s="96" t="n">
        <v>25720</v>
      </c>
      <c r="B283" t="n">
        <v>38.8</v>
      </c>
      <c r="C283" t="n">
        <v>25.3</v>
      </c>
      <c r="D283" t="n">
        <v>40.1</v>
      </c>
      <c r="E283" t="n">
        <v>40.8</v>
      </c>
    </row>
    <row r="284">
      <c r="A284" s="96" t="n">
        <v>25750</v>
      </c>
      <c r="B284" t="n">
        <v>38.9</v>
      </c>
      <c r="C284" t="n">
        <v>25.5</v>
      </c>
      <c r="D284" t="n">
        <v>40.2</v>
      </c>
      <c r="E284" t="n">
        <v>40.9</v>
      </c>
    </row>
    <row r="285">
      <c r="A285" s="96" t="n">
        <v>25781</v>
      </c>
      <c r="B285" t="n">
        <v>39</v>
      </c>
      <c r="C285" t="n">
        <v>25.4</v>
      </c>
      <c r="D285" t="n">
        <v>40.2</v>
      </c>
      <c r="E285" t="n">
        <v>41.1</v>
      </c>
    </row>
    <row r="286">
      <c r="A286" s="96" t="n">
        <v>25812</v>
      </c>
      <c r="B286" t="n">
        <v>39.2</v>
      </c>
      <c r="C286" t="n">
        <v>25.6</v>
      </c>
      <c r="D286" t="n">
        <v>40.4</v>
      </c>
      <c r="E286" t="n">
        <v>41.3</v>
      </c>
    </row>
    <row r="287">
      <c r="A287" s="96" t="n">
        <v>25842</v>
      </c>
      <c r="B287" t="n">
        <v>39.4</v>
      </c>
      <c r="C287" t="n">
        <v>25.9</v>
      </c>
      <c r="D287" t="n">
        <v>40.5</v>
      </c>
      <c r="E287" t="n">
        <v>41.5</v>
      </c>
    </row>
    <row r="288">
      <c r="A288" s="96" t="n">
        <v>25873</v>
      </c>
      <c r="B288" t="n">
        <v>39.6</v>
      </c>
      <c r="C288" t="n">
        <v>26</v>
      </c>
      <c r="D288" t="n">
        <v>40.4</v>
      </c>
      <c r="E288" t="n">
        <v>41.8</v>
      </c>
    </row>
    <row r="289">
      <c r="A289" s="96" t="n">
        <v>25903</v>
      </c>
      <c r="B289" t="n">
        <v>39.8</v>
      </c>
      <c r="C289" t="n">
        <v>26.2</v>
      </c>
      <c r="D289" t="n">
        <v>40.5</v>
      </c>
      <c r="E289" t="n">
        <v>42</v>
      </c>
    </row>
    <row r="290">
      <c r="A290" s="96" t="n">
        <v>25934</v>
      </c>
      <c r="B290" t="n">
        <v>39.9</v>
      </c>
      <c r="C290" t="n">
        <v>26.3</v>
      </c>
      <c r="D290" t="n">
        <v>40.5</v>
      </c>
      <c r="E290" t="n">
        <v>42.1</v>
      </c>
    </row>
    <row r="291">
      <c r="A291" s="96" t="n">
        <v>25965</v>
      </c>
      <c r="B291" t="n">
        <v>39.9</v>
      </c>
      <c r="C291" t="n">
        <v>26.2</v>
      </c>
      <c r="D291" t="n">
        <v>40.5</v>
      </c>
      <c r="E291" t="n">
        <v>42.2</v>
      </c>
    </row>
    <row r="292">
      <c r="A292" s="96" t="n">
        <v>25993</v>
      </c>
      <c r="B292" t="n">
        <v>40</v>
      </c>
      <c r="C292" t="n">
        <v>26.2</v>
      </c>
      <c r="D292" t="n">
        <v>40.9</v>
      </c>
      <c r="E292" t="n">
        <v>42.2</v>
      </c>
    </row>
    <row r="293">
      <c r="A293" s="96" t="n">
        <v>26024</v>
      </c>
      <c r="B293" t="n">
        <v>40.1</v>
      </c>
      <c r="C293" t="n">
        <v>26.1</v>
      </c>
      <c r="D293" t="n">
        <v>41.1</v>
      </c>
      <c r="E293" t="n">
        <v>42.4</v>
      </c>
    </row>
    <row r="294">
      <c r="A294" s="96" t="n">
        <v>26054</v>
      </c>
      <c r="B294" t="n">
        <v>40.3</v>
      </c>
      <c r="C294" t="n">
        <v>26.2</v>
      </c>
      <c r="D294" t="n">
        <v>41.3</v>
      </c>
      <c r="E294" t="n">
        <v>42.6</v>
      </c>
    </row>
    <row r="295">
      <c r="A295" s="96" t="n">
        <v>26085</v>
      </c>
      <c r="B295" t="n">
        <v>40.5</v>
      </c>
      <c r="C295" t="n">
        <v>26.3</v>
      </c>
      <c r="D295" t="n">
        <v>41.5</v>
      </c>
      <c r="E295" t="n">
        <v>42.8</v>
      </c>
    </row>
    <row r="296">
      <c r="A296" s="96" t="n">
        <v>26115</v>
      </c>
      <c r="B296" t="n">
        <v>40.6</v>
      </c>
      <c r="C296" t="n">
        <v>26.3</v>
      </c>
      <c r="D296" t="n">
        <v>41.6</v>
      </c>
      <c r="E296" t="n">
        <v>42.9</v>
      </c>
    </row>
    <row r="297">
      <c r="A297" s="96" t="n">
        <v>26146</v>
      </c>
      <c r="B297" t="n">
        <v>40.7</v>
      </c>
      <c r="C297" t="n">
        <v>26.8</v>
      </c>
      <c r="D297" t="n">
        <v>41.6</v>
      </c>
      <c r="E297" t="n">
        <v>43</v>
      </c>
    </row>
    <row r="298">
      <c r="A298" s="96" t="n">
        <v>26177</v>
      </c>
      <c r="B298" t="n">
        <v>40.8</v>
      </c>
      <c r="C298" t="n">
        <v>26.9</v>
      </c>
      <c r="D298" t="n">
        <v>41.6</v>
      </c>
      <c r="E298" t="n">
        <v>43</v>
      </c>
    </row>
    <row r="299">
      <c r="A299" s="96" t="n">
        <v>26207</v>
      </c>
      <c r="B299" t="n">
        <v>40.9</v>
      </c>
      <c r="C299" t="n">
        <v>27</v>
      </c>
      <c r="D299" t="n">
        <v>41.7</v>
      </c>
      <c r="E299" t="n">
        <v>43.1</v>
      </c>
    </row>
    <row r="300">
      <c r="A300" s="96" t="n">
        <v>26238</v>
      </c>
      <c r="B300" t="n">
        <v>41</v>
      </c>
      <c r="C300" t="n">
        <v>26.9</v>
      </c>
      <c r="D300" t="n">
        <v>41.9</v>
      </c>
      <c r="E300" t="n">
        <v>43.2</v>
      </c>
    </row>
    <row r="301">
      <c r="A301" s="96" t="n">
        <v>26268</v>
      </c>
      <c r="B301" t="n">
        <v>41.1</v>
      </c>
      <c r="C301" t="n">
        <v>27</v>
      </c>
      <c r="D301" t="n">
        <v>42.3</v>
      </c>
      <c r="E301" t="n">
        <v>43.3</v>
      </c>
    </row>
    <row r="302">
      <c r="A302" s="96" t="n">
        <v>26299</v>
      </c>
      <c r="B302" t="n">
        <v>41.2</v>
      </c>
      <c r="C302" t="n">
        <v>27</v>
      </c>
      <c r="D302" t="n">
        <v>42.2</v>
      </c>
      <c r="E302" t="n">
        <v>43.5</v>
      </c>
    </row>
    <row r="303">
      <c r="A303" s="96" t="n">
        <v>26330</v>
      </c>
      <c r="B303" t="n">
        <v>41.4</v>
      </c>
      <c r="C303" t="n">
        <v>26.8</v>
      </c>
      <c r="D303" t="n">
        <v>42.6</v>
      </c>
      <c r="E303" t="n">
        <v>43.6</v>
      </c>
    </row>
    <row r="304">
      <c r="A304" s="96" t="n">
        <v>26359</v>
      </c>
      <c r="B304" t="n">
        <v>41.4</v>
      </c>
      <c r="C304" t="n">
        <v>26.9</v>
      </c>
      <c r="D304" t="n">
        <v>42.6</v>
      </c>
      <c r="E304" t="n">
        <v>43.6</v>
      </c>
    </row>
    <row r="305">
      <c r="A305" s="96" t="n">
        <v>26390</v>
      </c>
      <c r="B305" t="n">
        <v>41.5</v>
      </c>
      <c r="C305" t="n">
        <v>26.9</v>
      </c>
      <c r="D305" t="n">
        <v>42.6</v>
      </c>
      <c r="E305" t="n">
        <v>43.8</v>
      </c>
    </row>
    <row r="306">
      <c r="A306" s="96" t="n">
        <v>26420</v>
      </c>
      <c r="B306" t="n">
        <v>41.6</v>
      </c>
      <c r="C306" t="n">
        <v>27</v>
      </c>
      <c r="D306" t="n">
        <v>42.7</v>
      </c>
      <c r="E306" t="n">
        <v>43.9</v>
      </c>
    </row>
    <row r="307">
      <c r="A307" s="96" t="n">
        <v>26451</v>
      </c>
      <c r="B307" t="n">
        <v>41.7</v>
      </c>
      <c r="C307" t="n">
        <v>27</v>
      </c>
      <c r="D307" t="n">
        <v>42.8</v>
      </c>
      <c r="E307" t="n">
        <v>44</v>
      </c>
    </row>
    <row r="308">
      <c r="A308" s="96" t="n">
        <v>26481</v>
      </c>
      <c r="B308" t="n">
        <v>41.8</v>
      </c>
      <c r="C308" t="n">
        <v>27.1</v>
      </c>
      <c r="D308" t="n">
        <v>43.1</v>
      </c>
      <c r="E308" t="n">
        <v>44.1</v>
      </c>
    </row>
    <row r="309">
      <c r="A309" s="96" t="n">
        <v>26512</v>
      </c>
      <c r="B309" t="n">
        <v>41.9</v>
      </c>
      <c r="C309" t="n">
        <v>27.3</v>
      </c>
      <c r="D309" t="n">
        <v>43.1</v>
      </c>
      <c r="E309" t="n">
        <v>44.3</v>
      </c>
    </row>
    <row r="310">
      <c r="A310" s="96" t="n">
        <v>26543</v>
      </c>
      <c r="B310" t="n">
        <v>42.1</v>
      </c>
      <c r="C310" t="n">
        <v>27.6</v>
      </c>
      <c r="D310" t="n">
        <v>43.5</v>
      </c>
      <c r="E310" t="n">
        <v>44.3</v>
      </c>
    </row>
    <row r="311">
      <c r="A311" s="96" t="n">
        <v>26573</v>
      </c>
      <c r="B311" t="n">
        <v>42.2</v>
      </c>
      <c r="C311" t="n">
        <v>27.7</v>
      </c>
      <c r="D311" t="n">
        <v>43.7</v>
      </c>
      <c r="E311" t="n">
        <v>44.4</v>
      </c>
    </row>
    <row r="312">
      <c r="A312" s="96" t="n">
        <v>26604</v>
      </c>
      <c r="B312" t="n">
        <v>42.4</v>
      </c>
      <c r="C312" t="n">
        <v>27.9</v>
      </c>
      <c r="D312" t="n">
        <v>43.9</v>
      </c>
      <c r="E312" t="n">
        <v>44.4</v>
      </c>
    </row>
    <row r="313">
      <c r="A313" s="96" t="n">
        <v>26634</v>
      </c>
      <c r="B313" t="n">
        <v>42.5</v>
      </c>
      <c r="C313" t="n">
        <v>27.8</v>
      </c>
      <c r="D313" t="n">
        <v>44.1</v>
      </c>
      <c r="E313" t="n">
        <v>44.6</v>
      </c>
    </row>
    <row r="314">
      <c r="A314" s="96" t="n">
        <v>26665</v>
      </c>
      <c r="B314" t="n">
        <v>42.7</v>
      </c>
      <c r="C314" t="n">
        <v>27.9</v>
      </c>
      <c r="D314" t="n">
        <v>44.8</v>
      </c>
      <c r="E314" t="n">
        <v>44.6</v>
      </c>
    </row>
    <row r="315">
      <c r="A315" s="96" t="n">
        <v>26696</v>
      </c>
      <c r="B315" t="n">
        <v>43</v>
      </c>
      <c r="C315" t="n">
        <v>28.2</v>
      </c>
      <c r="D315" t="n">
        <v>45.5</v>
      </c>
      <c r="E315" t="n">
        <v>44.8</v>
      </c>
    </row>
    <row r="316">
      <c r="A316" s="96" t="n">
        <v>26724</v>
      </c>
      <c r="B316" t="n">
        <v>43.4</v>
      </c>
      <c r="C316" t="n">
        <v>28.3</v>
      </c>
      <c r="D316" t="n">
        <v>46.5</v>
      </c>
      <c r="E316" t="n">
        <v>45</v>
      </c>
    </row>
    <row r="317">
      <c r="A317" s="96" t="n">
        <v>26755</v>
      </c>
      <c r="B317" t="n">
        <v>43.7</v>
      </c>
      <c r="C317" t="n">
        <v>28.6</v>
      </c>
      <c r="D317" t="n">
        <v>47.2</v>
      </c>
      <c r="E317" t="n">
        <v>45.1</v>
      </c>
    </row>
    <row r="318">
      <c r="A318" s="96" t="n">
        <v>26785</v>
      </c>
      <c r="B318" t="n">
        <v>43.9</v>
      </c>
      <c r="C318" t="n">
        <v>28.8</v>
      </c>
      <c r="D318" t="n">
        <v>47.8</v>
      </c>
      <c r="E318" t="n">
        <v>45.3</v>
      </c>
    </row>
    <row r="319">
      <c r="A319" s="96" t="n">
        <v>26816</v>
      </c>
      <c r="B319" t="n">
        <v>44.2</v>
      </c>
      <c r="C319" t="n">
        <v>29.2</v>
      </c>
      <c r="D319" t="n">
        <v>48.3</v>
      </c>
      <c r="E319" t="n">
        <v>45.4</v>
      </c>
    </row>
    <row r="320">
      <c r="A320" s="96" t="n">
        <v>26846</v>
      </c>
      <c r="B320" t="n">
        <v>44.2</v>
      </c>
      <c r="C320" t="n">
        <v>29.2</v>
      </c>
      <c r="D320" t="n">
        <v>48.4</v>
      </c>
      <c r="E320" t="n">
        <v>45.5</v>
      </c>
    </row>
    <row r="321">
      <c r="A321" s="96" t="n">
        <v>26877</v>
      </c>
      <c r="B321" t="n">
        <v>45</v>
      </c>
      <c r="C321" t="n">
        <v>29.4</v>
      </c>
      <c r="D321" t="n">
        <v>50.9</v>
      </c>
      <c r="E321" t="n">
        <v>45.7</v>
      </c>
    </row>
    <row r="322">
      <c r="A322" s="96" t="n">
        <v>26908</v>
      </c>
      <c r="B322" t="n">
        <v>45.2</v>
      </c>
      <c r="C322" t="n">
        <v>29.4</v>
      </c>
      <c r="D322" t="n">
        <v>50.9</v>
      </c>
      <c r="E322" t="n">
        <v>46</v>
      </c>
    </row>
    <row r="323">
      <c r="A323" s="96" t="n">
        <v>26938</v>
      </c>
      <c r="B323" t="n">
        <v>45.6</v>
      </c>
      <c r="C323" t="n">
        <v>30.3</v>
      </c>
      <c r="D323" t="n">
        <v>51.2</v>
      </c>
      <c r="E323" t="n">
        <v>46.3</v>
      </c>
    </row>
    <row r="324">
      <c r="A324" s="96" t="n">
        <v>26969</v>
      </c>
      <c r="B324" t="n">
        <v>45.9</v>
      </c>
      <c r="C324" t="n">
        <v>31.5</v>
      </c>
      <c r="D324" t="n">
        <v>51.8</v>
      </c>
      <c r="E324" t="n">
        <v>46.5</v>
      </c>
    </row>
    <row r="325">
      <c r="A325" s="96" t="n">
        <v>26999</v>
      </c>
      <c r="B325" t="n">
        <v>46.3</v>
      </c>
      <c r="C325" t="n">
        <v>32.5</v>
      </c>
      <c r="D325" t="n">
        <v>52.3</v>
      </c>
      <c r="E325" t="n">
        <v>46.7</v>
      </c>
    </row>
    <row r="326">
      <c r="A326" s="96" t="n">
        <v>27030</v>
      </c>
      <c r="B326" t="n">
        <v>46.8</v>
      </c>
      <c r="C326" t="n">
        <v>34.1</v>
      </c>
      <c r="D326" t="n">
        <v>52.9</v>
      </c>
      <c r="E326" t="n">
        <v>46.9</v>
      </c>
    </row>
    <row r="327">
      <c r="A327" s="96" t="n">
        <v>27061</v>
      </c>
      <c r="B327" t="n">
        <v>47.3</v>
      </c>
      <c r="C327" t="n">
        <v>35.4</v>
      </c>
      <c r="D327" t="n">
        <v>54</v>
      </c>
      <c r="E327" t="n">
        <v>47.2</v>
      </c>
    </row>
    <row r="328">
      <c r="A328" s="96" t="n">
        <v>27089</v>
      </c>
      <c r="B328" t="n">
        <v>47.8</v>
      </c>
      <c r="C328" t="n">
        <v>36.9</v>
      </c>
      <c r="D328" t="n">
        <v>54.5</v>
      </c>
      <c r="E328" t="n">
        <v>47.6</v>
      </c>
    </row>
    <row r="329">
      <c r="A329" s="96" t="n">
        <v>27120</v>
      </c>
      <c r="B329" t="n">
        <v>48.1</v>
      </c>
      <c r="C329" t="n">
        <v>37.6</v>
      </c>
      <c r="D329" t="n">
        <v>54.4</v>
      </c>
      <c r="E329" t="n">
        <v>47.9</v>
      </c>
    </row>
    <row r="330">
      <c r="A330" s="96" t="n">
        <v>27150</v>
      </c>
      <c r="B330" t="n">
        <v>48.6</v>
      </c>
      <c r="C330" t="n">
        <v>38.3</v>
      </c>
      <c r="D330" t="n">
        <v>54.8</v>
      </c>
      <c r="E330" t="n">
        <v>48.5</v>
      </c>
    </row>
    <row r="331">
      <c r="A331" s="96" t="n">
        <v>27181</v>
      </c>
      <c r="B331" t="n">
        <v>49</v>
      </c>
      <c r="C331" t="n">
        <v>38.6</v>
      </c>
      <c r="D331" t="n">
        <v>54.9</v>
      </c>
      <c r="E331" t="n">
        <v>49</v>
      </c>
    </row>
    <row r="332">
      <c r="A332" s="96" t="n">
        <v>27211</v>
      </c>
      <c r="B332" t="n">
        <v>49.3</v>
      </c>
      <c r="C332" t="n">
        <v>38.9</v>
      </c>
      <c r="D332" t="n">
        <v>54.8</v>
      </c>
      <c r="E332" t="n">
        <v>49.5</v>
      </c>
    </row>
    <row r="333">
      <c r="A333" s="96" t="n">
        <v>27242</v>
      </c>
      <c r="B333" t="n">
        <v>49.9</v>
      </c>
      <c r="C333" t="n">
        <v>39.2</v>
      </c>
      <c r="D333" t="n">
        <v>55.5</v>
      </c>
      <c r="E333" t="n">
        <v>50.2</v>
      </c>
    </row>
    <row r="334">
      <c r="A334" s="96" t="n">
        <v>27273</v>
      </c>
      <c r="B334" t="n">
        <v>50.6</v>
      </c>
      <c r="C334" t="n">
        <v>39.3</v>
      </c>
      <c r="D334" t="n">
        <v>56.6</v>
      </c>
      <c r="E334" t="n">
        <v>50.7</v>
      </c>
    </row>
    <row r="335">
      <c r="A335" s="96" t="n">
        <v>27303</v>
      </c>
      <c r="B335" t="n">
        <v>51</v>
      </c>
      <c r="C335" t="n">
        <v>39.2</v>
      </c>
      <c r="D335" t="n">
        <v>57.2</v>
      </c>
      <c r="E335" t="n">
        <v>51.2</v>
      </c>
    </row>
    <row r="336">
      <c r="A336" s="96" t="n">
        <v>27334</v>
      </c>
      <c r="B336" t="n">
        <v>51.5</v>
      </c>
      <c r="C336" t="n">
        <v>39.4</v>
      </c>
      <c r="D336" t="n">
        <v>57.9</v>
      </c>
      <c r="E336" t="n">
        <v>51.6</v>
      </c>
    </row>
    <row r="337">
      <c r="A337" s="96" t="n">
        <v>27364</v>
      </c>
      <c r="B337" t="n">
        <v>51.9</v>
      </c>
      <c r="C337" t="n">
        <v>39.6</v>
      </c>
      <c r="D337" t="n">
        <v>58.6</v>
      </c>
      <c r="E337" t="n">
        <v>52</v>
      </c>
    </row>
    <row r="338">
      <c r="A338" s="96" t="n">
        <v>27395</v>
      </c>
      <c r="B338" t="n">
        <v>52.3</v>
      </c>
      <c r="C338" t="n">
        <v>40</v>
      </c>
      <c r="D338" t="n">
        <v>58.8</v>
      </c>
      <c r="E338" t="n">
        <v>52.3</v>
      </c>
    </row>
    <row r="339">
      <c r="A339" s="96" t="n">
        <v>27426</v>
      </c>
      <c r="B339" t="n">
        <v>52.6</v>
      </c>
      <c r="C339" t="n">
        <v>40.3</v>
      </c>
      <c r="D339" t="n">
        <v>59</v>
      </c>
      <c r="E339" t="n">
        <v>52.8</v>
      </c>
    </row>
    <row r="340">
      <c r="A340" s="96" t="n">
        <v>27454</v>
      </c>
      <c r="B340" t="n">
        <v>52.8</v>
      </c>
      <c r="C340" t="n">
        <v>40.6</v>
      </c>
      <c r="D340" t="n">
        <v>58.9</v>
      </c>
      <c r="E340" t="n">
        <v>53</v>
      </c>
    </row>
    <row r="341">
      <c r="A341" s="96" t="n">
        <v>27485</v>
      </c>
      <c r="B341" t="n">
        <v>53</v>
      </c>
      <c r="C341" t="n">
        <v>41</v>
      </c>
      <c r="D341" t="n">
        <v>58.8</v>
      </c>
      <c r="E341" t="n">
        <v>53.3</v>
      </c>
    </row>
    <row r="342">
      <c r="A342" s="96" t="n">
        <v>27515</v>
      </c>
      <c r="B342" t="n">
        <v>53.1</v>
      </c>
      <c r="C342" t="n">
        <v>41.3</v>
      </c>
      <c r="D342" t="n">
        <v>59</v>
      </c>
      <c r="E342" t="n">
        <v>53.5</v>
      </c>
    </row>
    <row r="343">
      <c r="A343" s="96" t="n">
        <v>27546</v>
      </c>
      <c r="B343" t="n">
        <v>53.5</v>
      </c>
      <c r="C343" t="n">
        <v>41.7</v>
      </c>
      <c r="D343" t="n">
        <v>59.6</v>
      </c>
      <c r="E343" t="n">
        <v>53.8</v>
      </c>
    </row>
    <row r="344">
      <c r="A344" s="96" t="n">
        <v>27576</v>
      </c>
      <c r="B344" t="n">
        <v>54</v>
      </c>
      <c r="C344" t="n">
        <v>42.5</v>
      </c>
      <c r="D344" t="n">
        <v>60.6</v>
      </c>
      <c r="E344" t="n">
        <v>54</v>
      </c>
    </row>
    <row r="345">
      <c r="A345" s="96" t="n">
        <v>27607</v>
      </c>
      <c r="B345" t="n">
        <v>54.2</v>
      </c>
      <c r="C345" t="n">
        <v>42.8</v>
      </c>
      <c r="D345" t="n">
        <v>60.7</v>
      </c>
      <c r="E345" t="n">
        <v>54.2</v>
      </c>
    </row>
    <row r="346">
      <c r="A346" s="96" t="n">
        <v>27638</v>
      </c>
      <c r="B346" t="n">
        <v>54.6</v>
      </c>
      <c r="C346" t="n">
        <v>43.2</v>
      </c>
      <c r="D346" t="n">
        <v>61</v>
      </c>
      <c r="E346" t="n">
        <v>54.5</v>
      </c>
    </row>
    <row r="347">
      <c r="A347" s="96" t="n">
        <v>27668</v>
      </c>
      <c r="B347" t="n">
        <v>54.9</v>
      </c>
      <c r="C347" t="n">
        <v>43.5</v>
      </c>
      <c r="D347" t="n">
        <v>61.6</v>
      </c>
      <c r="E347" t="n">
        <v>54.8</v>
      </c>
    </row>
    <row r="348">
      <c r="A348" s="96" t="n">
        <v>27699</v>
      </c>
      <c r="B348" t="n">
        <v>55.3</v>
      </c>
      <c r="C348" t="n">
        <v>43.9</v>
      </c>
      <c r="D348" t="n">
        <v>62</v>
      </c>
      <c r="E348" t="n">
        <v>55.2</v>
      </c>
    </row>
    <row r="349">
      <c r="A349" s="96" t="n">
        <v>27729</v>
      </c>
      <c r="B349" t="n">
        <v>55.6</v>
      </c>
      <c r="C349" t="n">
        <v>44.1</v>
      </c>
      <c r="D349" t="n">
        <v>62.3</v>
      </c>
      <c r="E349" t="n">
        <v>55.5</v>
      </c>
    </row>
    <row r="350">
      <c r="A350" s="96" t="n">
        <v>27760</v>
      </c>
      <c r="B350" t="n">
        <v>55.8</v>
      </c>
      <c r="C350" t="n">
        <v>44.5</v>
      </c>
      <c r="D350" t="n">
        <v>62.2</v>
      </c>
      <c r="E350" t="n">
        <v>55.9</v>
      </c>
    </row>
    <row r="351">
      <c r="A351" s="96" t="n">
        <v>27791</v>
      </c>
      <c r="B351" t="n">
        <v>55.9</v>
      </c>
      <c r="C351" t="n">
        <v>44.4</v>
      </c>
      <c r="D351" t="n">
        <v>61.6</v>
      </c>
      <c r="E351" t="n">
        <v>56.2</v>
      </c>
    </row>
    <row r="352">
      <c r="A352" s="96" t="n">
        <v>27820</v>
      </c>
      <c r="B352" t="n">
        <v>56</v>
      </c>
      <c r="C352" t="n">
        <v>44.1</v>
      </c>
      <c r="D352" t="n">
        <v>61.3</v>
      </c>
      <c r="E352" t="n">
        <v>56.5</v>
      </c>
    </row>
    <row r="353">
      <c r="A353" s="96" t="n">
        <v>27851</v>
      </c>
      <c r="B353" t="n">
        <v>56.1</v>
      </c>
      <c r="C353" t="n">
        <v>43.9</v>
      </c>
      <c r="D353" t="n">
        <v>61.3</v>
      </c>
      <c r="E353" t="n">
        <v>56.7</v>
      </c>
    </row>
    <row r="354">
      <c r="A354" s="96" t="n">
        <v>27881</v>
      </c>
      <c r="B354" t="n">
        <v>56.4</v>
      </c>
      <c r="C354" t="n">
        <v>44.1</v>
      </c>
      <c r="D354" t="n">
        <v>61.6</v>
      </c>
      <c r="E354" t="n">
        <v>57</v>
      </c>
    </row>
    <row r="355">
      <c r="A355" s="96" t="n">
        <v>27912</v>
      </c>
      <c r="B355" t="n">
        <v>56.7</v>
      </c>
      <c r="C355" t="n">
        <v>44.4</v>
      </c>
      <c r="D355" t="n">
        <v>61.7</v>
      </c>
      <c r="E355" t="n">
        <v>57.2</v>
      </c>
    </row>
    <row r="356">
      <c r="A356" s="96" t="n">
        <v>27942</v>
      </c>
      <c r="B356" t="n">
        <v>57</v>
      </c>
      <c r="C356" t="n">
        <v>44.8</v>
      </c>
      <c r="D356" t="n">
        <v>62</v>
      </c>
      <c r="E356" t="n">
        <v>57.6</v>
      </c>
    </row>
    <row r="357">
      <c r="A357" s="96" t="n">
        <v>27973</v>
      </c>
      <c r="B357" t="n">
        <v>57.3</v>
      </c>
      <c r="C357" t="n">
        <v>45.2</v>
      </c>
      <c r="D357" t="n">
        <v>62.2</v>
      </c>
      <c r="E357" t="n">
        <v>57.9</v>
      </c>
    </row>
    <row r="358">
      <c r="A358" s="96" t="n">
        <v>28004</v>
      </c>
      <c r="B358" t="n">
        <v>57.6</v>
      </c>
      <c r="C358" t="n">
        <v>45.7</v>
      </c>
      <c r="D358" t="n">
        <v>62.5</v>
      </c>
      <c r="E358" t="n">
        <v>58.2</v>
      </c>
    </row>
    <row r="359">
      <c r="A359" s="96" t="n">
        <v>28034</v>
      </c>
      <c r="B359" t="n">
        <v>57.9</v>
      </c>
      <c r="C359" t="n">
        <v>46.1</v>
      </c>
      <c r="D359" t="n">
        <v>62.8</v>
      </c>
      <c r="E359" t="n">
        <v>58.5</v>
      </c>
    </row>
    <row r="360">
      <c r="A360" s="96" t="n">
        <v>28065</v>
      </c>
      <c r="B360" t="n">
        <v>58.1</v>
      </c>
      <c r="C360" t="n">
        <v>46.8</v>
      </c>
      <c r="D360" t="n">
        <v>62.8</v>
      </c>
      <c r="E360" t="n">
        <v>58.7</v>
      </c>
    </row>
    <row r="361">
      <c r="A361" s="96" t="n">
        <v>28095</v>
      </c>
      <c r="B361" t="n">
        <v>58.4</v>
      </c>
      <c r="C361" t="n">
        <v>47.5</v>
      </c>
      <c r="D361" t="n">
        <v>62.9</v>
      </c>
      <c r="E361" t="n">
        <v>58.9</v>
      </c>
    </row>
    <row r="362">
      <c r="A362" s="96" t="n">
        <v>28126</v>
      </c>
      <c r="B362" t="n">
        <v>58.7</v>
      </c>
      <c r="C362" t="n">
        <v>48.1</v>
      </c>
      <c r="D362" t="n">
        <v>63.1</v>
      </c>
      <c r="E362" t="n">
        <v>59.3</v>
      </c>
    </row>
    <row r="363">
      <c r="A363" s="96" t="n">
        <v>28157</v>
      </c>
      <c r="B363" t="n">
        <v>59.3</v>
      </c>
      <c r="C363" t="n">
        <v>48.1</v>
      </c>
      <c r="D363" t="n">
        <v>64.2</v>
      </c>
      <c r="E363" t="n">
        <v>59.7</v>
      </c>
    </row>
    <row r="364">
      <c r="A364" s="96" t="n">
        <v>28185</v>
      </c>
      <c r="B364" t="n">
        <v>59.6</v>
      </c>
      <c r="C364" t="n">
        <v>48.4</v>
      </c>
      <c r="D364" t="n">
        <v>64.5</v>
      </c>
      <c r="E364" t="n">
        <v>60</v>
      </c>
    </row>
    <row r="365">
      <c r="A365" s="96" t="n">
        <v>28216</v>
      </c>
      <c r="B365" t="n">
        <v>60</v>
      </c>
      <c r="C365" t="n">
        <v>48.6</v>
      </c>
      <c r="D365" t="n">
        <v>65.2</v>
      </c>
      <c r="E365" t="n">
        <v>60.3</v>
      </c>
    </row>
    <row r="366">
      <c r="A366" s="96" t="n">
        <v>28246</v>
      </c>
      <c r="B366" t="n">
        <v>60.2</v>
      </c>
      <c r="C366" t="n">
        <v>48.9</v>
      </c>
      <c r="D366" t="n">
        <v>65.5</v>
      </c>
      <c r="E366" t="n">
        <v>60.6</v>
      </c>
    </row>
    <row r="367">
      <c r="A367" s="96" t="n">
        <v>28277</v>
      </c>
      <c r="B367" t="n">
        <v>60.5</v>
      </c>
      <c r="C367" t="n">
        <v>48.9</v>
      </c>
      <c r="D367" t="n">
        <v>65.90000000000001</v>
      </c>
      <c r="E367" t="n">
        <v>61</v>
      </c>
    </row>
    <row r="368">
      <c r="A368" s="96" t="n">
        <v>28307</v>
      </c>
      <c r="B368" t="n">
        <v>60.8</v>
      </c>
      <c r="C368" t="n">
        <v>49.1</v>
      </c>
      <c r="D368" t="n">
        <v>66.09999999999999</v>
      </c>
      <c r="E368" t="n">
        <v>61.2</v>
      </c>
    </row>
    <row r="369">
      <c r="A369" s="96" t="n">
        <v>28338</v>
      </c>
      <c r="B369" t="n">
        <v>61.1</v>
      </c>
      <c r="C369" t="n">
        <v>49.5</v>
      </c>
      <c r="D369" t="n">
        <v>66.40000000000001</v>
      </c>
      <c r="E369" t="n">
        <v>61.5</v>
      </c>
    </row>
    <row r="370">
      <c r="A370" s="96" t="n">
        <v>28369</v>
      </c>
      <c r="B370" t="n">
        <v>61.3</v>
      </c>
      <c r="C370" t="n">
        <v>49.8</v>
      </c>
      <c r="D370" t="n">
        <v>66.59999999999999</v>
      </c>
      <c r="E370" t="n">
        <v>61.8</v>
      </c>
    </row>
    <row r="371">
      <c r="A371" s="96" t="n">
        <v>28399</v>
      </c>
      <c r="B371" t="n">
        <v>61.6</v>
      </c>
      <c r="C371" t="n">
        <v>50.5</v>
      </c>
      <c r="D371" t="n">
        <v>66.8</v>
      </c>
      <c r="E371" t="n">
        <v>62</v>
      </c>
    </row>
    <row r="372">
      <c r="A372" s="96" t="n">
        <v>28430</v>
      </c>
      <c r="B372" t="n">
        <v>62</v>
      </c>
      <c r="C372" t="n">
        <v>51.3</v>
      </c>
      <c r="D372" t="n">
        <v>67.40000000000001</v>
      </c>
      <c r="E372" t="n">
        <v>62.3</v>
      </c>
    </row>
    <row r="373">
      <c r="A373" s="96" t="n">
        <v>28460</v>
      </c>
      <c r="B373" t="n">
        <v>62.3</v>
      </c>
      <c r="C373" t="n">
        <v>51.6</v>
      </c>
      <c r="D373" t="n">
        <v>67.5</v>
      </c>
      <c r="E373" t="n">
        <v>62.7</v>
      </c>
    </row>
    <row r="374">
      <c r="A374" s="96" t="n">
        <v>28491</v>
      </c>
      <c r="B374" t="n">
        <v>62.7</v>
      </c>
      <c r="C374" t="n">
        <v>51.1</v>
      </c>
      <c r="D374" t="n">
        <v>68.09999999999999</v>
      </c>
      <c r="E374" t="n">
        <v>63.1</v>
      </c>
    </row>
    <row r="375">
      <c r="A375" s="96" t="n">
        <v>28522</v>
      </c>
      <c r="B375" t="n">
        <v>63</v>
      </c>
      <c r="C375" t="n">
        <v>50.6</v>
      </c>
      <c r="D375" t="n">
        <v>68.8</v>
      </c>
      <c r="E375" t="n">
        <v>63.4</v>
      </c>
    </row>
    <row r="376">
      <c r="A376" s="96" t="n">
        <v>28550</v>
      </c>
      <c r="B376" t="n">
        <v>63.4</v>
      </c>
      <c r="C376" t="n">
        <v>51</v>
      </c>
      <c r="D376" t="n">
        <v>69.59999999999999</v>
      </c>
      <c r="E376" t="n">
        <v>63.8</v>
      </c>
    </row>
    <row r="377">
      <c r="A377" s="96" t="n">
        <v>28581</v>
      </c>
      <c r="B377" t="n">
        <v>63.9</v>
      </c>
      <c r="C377" t="n">
        <v>51.4</v>
      </c>
      <c r="D377" t="n">
        <v>70.7</v>
      </c>
      <c r="E377" t="n">
        <v>64.3</v>
      </c>
    </row>
    <row r="378">
      <c r="A378" s="96" t="n">
        <v>28611</v>
      </c>
      <c r="B378" t="n">
        <v>64.5</v>
      </c>
      <c r="C378" t="n">
        <v>51.7</v>
      </c>
      <c r="D378" t="n">
        <v>71.7</v>
      </c>
      <c r="E378" t="n">
        <v>64.7</v>
      </c>
    </row>
    <row r="379">
      <c r="A379" s="96" t="n">
        <v>28642</v>
      </c>
      <c r="B379" t="n">
        <v>65</v>
      </c>
      <c r="C379" t="n">
        <v>51.9</v>
      </c>
      <c r="D379" t="n">
        <v>72.8</v>
      </c>
      <c r="E379" t="n">
        <v>65.2</v>
      </c>
    </row>
    <row r="380">
      <c r="A380" s="96" t="n">
        <v>28672</v>
      </c>
      <c r="B380" t="n">
        <v>65.5</v>
      </c>
      <c r="C380" t="n">
        <v>52.1</v>
      </c>
      <c r="D380" t="n">
        <v>73.09999999999999</v>
      </c>
      <c r="E380" t="n">
        <v>65.59999999999999</v>
      </c>
    </row>
    <row r="381">
      <c r="A381" s="96" t="n">
        <v>28703</v>
      </c>
      <c r="B381" t="n">
        <v>65.90000000000001</v>
      </c>
      <c r="C381" t="n">
        <v>52.6</v>
      </c>
      <c r="D381" t="n">
        <v>73.40000000000001</v>
      </c>
      <c r="E381" t="n">
        <v>66.09999999999999</v>
      </c>
    </row>
    <row r="382">
      <c r="A382" s="96" t="n">
        <v>28734</v>
      </c>
      <c r="B382" t="n">
        <v>66.5</v>
      </c>
      <c r="C382" t="n">
        <v>53.2</v>
      </c>
      <c r="D382" t="n">
        <v>73.7</v>
      </c>
      <c r="E382" t="n">
        <v>66.7</v>
      </c>
    </row>
    <row r="383">
      <c r="A383" s="96" t="n">
        <v>28764</v>
      </c>
      <c r="B383" t="n">
        <v>67.09999999999999</v>
      </c>
      <c r="C383" t="n">
        <v>54.1</v>
      </c>
      <c r="D383" t="n">
        <v>74.3</v>
      </c>
      <c r="E383" t="n">
        <v>67.2</v>
      </c>
    </row>
    <row r="384">
      <c r="A384" s="96" t="n">
        <v>28795</v>
      </c>
      <c r="B384" t="n">
        <v>67.5</v>
      </c>
      <c r="C384" t="n">
        <v>54.9</v>
      </c>
      <c r="D384" t="n">
        <v>74.8</v>
      </c>
      <c r="E384" t="n">
        <v>67.59999999999999</v>
      </c>
    </row>
    <row r="385">
      <c r="A385" s="96" t="n">
        <v>28825</v>
      </c>
      <c r="B385" t="n">
        <v>67.90000000000001</v>
      </c>
      <c r="C385" t="n">
        <v>55.9</v>
      </c>
      <c r="D385" t="n">
        <v>75.2</v>
      </c>
      <c r="E385" t="n">
        <v>68</v>
      </c>
    </row>
    <row r="386">
      <c r="A386" s="96" t="n">
        <v>28856</v>
      </c>
      <c r="B386" t="n">
        <v>68.5</v>
      </c>
      <c r="C386" t="n">
        <v>55.8</v>
      </c>
      <c r="D386" t="n">
        <v>76.5</v>
      </c>
      <c r="E386" t="n">
        <v>68.5</v>
      </c>
    </row>
    <row r="387">
      <c r="A387" s="96" t="n">
        <v>28887</v>
      </c>
      <c r="B387" t="n">
        <v>69.2</v>
      </c>
      <c r="C387" t="n">
        <v>55.9</v>
      </c>
      <c r="D387" t="n">
        <v>77.7</v>
      </c>
      <c r="E387" t="n">
        <v>69.2</v>
      </c>
    </row>
    <row r="388">
      <c r="A388" s="96" t="n">
        <v>28915</v>
      </c>
      <c r="B388" t="n">
        <v>69.90000000000001</v>
      </c>
      <c r="C388" t="n">
        <v>57.4</v>
      </c>
      <c r="D388" t="n">
        <v>78.40000000000001</v>
      </c>
      <c r="E388" t="n">
        <v>69.8</v>
      </c>
    </row>
    <row r="389">
      <c r="A389" s="96" t="n">
        <v>28946</v>
      </c>
      <c r="B389" t="n">
        <v>70.59999999999999</v>
      </c>
      <c r="C389" t="n">
        <v>59.5</v>
      </c>
      <c r="D389" t="n">
        <v>78.90000000000001</v>
      </c>
      <c r="E389" t="n">
        <v>70.3</v>
      </c>
    </row>
    <row r="390">
      <c r="A390" s="96" t="n">
        <v>28976</v>
      </c>
      <c r="B390" t="n">
        <v>71.40000000000001</v>
      </c>
      <c r="C390" t="n">
        <v>62</v>
      </c>
      <c r="D390" t="n">
        <v>79.7</v>
      </c>
      <c r="E390" t="n">
        <v>70.8</v>
      </c>
    </row>
    <row r="391">
      <c r="A391" s="96" t="n">
        <v>29007</v>
      </c>
      <c r="B391" t="n">
        <v>72.2</v>
      </c>
      <c r="C391" t="n">
        <v>64.7</v>
      </c>
      <c r="D391" t="n">
        <v>80</v>
      </c>
      <c r="E391" t="n">
        <v>71.3</v>
      </c>
    </row>
    <row r="392">
      <c r="A392" s="96" t="n">
        <v>29037</v>
      </c>
      <c r="B392" t="n">
        <v>73</v>
      </c>
      <c r="C392" t="n">
        <v>67.3</v>
      </c>
      <c r="D392" t="n">
        <v>80.40000000000001</v>
      </c>
      <c r="E392" t="n">
        <v>71.90000000000001</v>
      </c>
    </row>
    <row r="393">
      <c r="A393" s="96" t="n">
        <v>29068</v>
      </c>
      <c r="B393" t="n">
        <v>73.7</v>
      </c>
      <c r="C393" t="n">
        <v>69.7</v>
      </c>
      <c r="D393" t="n">
        <v>80.3</v>
      </c>
      <c r="E393" t="n">
        <v>72.7</v>
      </c>
    </row>
    <row r="394">
      <c r="A394" s="96" t="n">
        <v>29099</v>
      </c>
      <c r="B394" t="n">
        <v>74.40000000000001</v>
      </c>
      <c r="C394" t="n">
        <v>71.90000000000001</v>
      </c>
      <c r="D394" t="n">
        <v>80.90000000000001</v>
      </c>
      <c r="E394" t="n">
        <v>73.3</v>
      </c>
    </row>
    <row r="395">
      <c r="A395" s="96" t="n">
        <v>29129</v>
      </c>
      <c r="B395" t="n">
        <v>75.2</v>
      </c>
      <c r="C395" t="n">
        <v>73.5</v>
      </c>
      <c r="D395" t="n">
        <v>81.5</v>
      </c>
      <c r="E395" t="n">
        <v>74</v>
      </c>
    </row>
    <row r="396">
      <c r="A396" s="96" t="n">
        <v>29160</v>
      </c>
      <c r="B396" t="n">
        <v>76</v>
      </c>
      <c r="C396" t="n">
        <v>74.8</v>
      </c>
      <c r="D396" t="n">
        <v>82.09999999999999</v>
      </c>
      <c r="E396" t="n">
        <v>74.8</v>
      </c>
    </row>
    <row r="397">
      <c r="A397" s="96" t="n">
        <v>29190</v>
      </c>
      <c r="B397" t="n">
        <v>76.90000000000001</v>
      </c>
      <c r="C397" t="n">
        <v>76.8</v>
      </c>
      <c r="D397" t="n">
        <v>82.8</v>
      </c>
      <c r="E397" t="n">
        <v>75.7</v>
      </c>
    </row>
    <row r="398">
      <c r="A398" s="96" t="n">
        <v>29221</v>
      </c>
      <c r="B398" t="n">
        <v>78</v>
      </c>
      <c r="C398" t="n">
        <v>79.09999999999999</v>
      </c>
      <c r="D398" t="n">
        <v>83.3</v>
      </c>
      <c r="E398" t="n">
        <v>76.7</v>
      </c>
    </row>
    <row r="399">
      <c r="A399" s="96" t="n">
        <v>29252</v>
      </c>
      <c r="B399" t="n">
        <v>79</v>
      </c>
      <c r="C399" t="n">
        <v>81.90000000000001</v>
      </c>
      <c r="D399" t="n">
        <v>83.40000000000001</v>
      </c>
      <c r="E399" t="n">
        <v>77.5</v>
      </c>
    </row>
    <row r="400">
      <c r="A400" s="96" t="n">
        <v>29281</v>
      </c>
      <c r="B400" t="n">
        <v>80.09999999999999</v>
      </c>
      <c r="C400" t="n">
        <v>84.5</v>
      </c>
      <c r="D400" t="n">
        <v>84.09999999999999</v>
      </c>
      <c r="E400" t="n">
        <v>78.59999999999999</v>
      </c>
    </row>
    <row r="401">
      <c r="A401" s="96" t="n">
        <v>29312</v>
      </c>
      <c r="B401" t="n">
        <v>80.90000000000001</v>
      </c>
      <c r="C401" t="n">
        <v>85.40000000000001</v>
      </c>
      <c r="D401" t="n">
        <v>84.59999999999999</v>
      </c>
      <c r="E401" t="n">
        <v>79.5</v>
      </c>
    </row>
    <row r="402">
      <c r="A402" s="96" t="n">
        <v>29342</v>
      </c>
      <c r="B402" t="n">
        <v>81.7</v>
      </c>
      <c r="C402" t="n">
        <v>86.40000000000001</v>
      </c>
      <c r="D402" t="n">
        <v>85.2</v>
      </c>
      <c r="E402" t="n">
        <v>80.09999999999999</v>
      </c>
    </row>
    <row r="403">
      <c r="A403" s="96" t="n">
        <v>29373</v>
      </c>
      <c r="B403" t="n">
        <v>82.5</v>
      </c>
      <c r="C403" t="n">
        <v>86.5</v>
      </c>
      <c r="D403" t="n">
        <v>85.7</v>
      </c>
      <c r="E403" t="n">
        <v>81</v>
      </c>
    </row>
    <row r="404">
      <c r="A404" s="96" t="n">
        <v>29403</v>
      </c>
      <c r="B404" t="n">
        <v>82.59999999999999</v>
      </c>
      <c r="C404" t="n">
        <v>86.7</v>
      </c>
      <c r="D404" t="n">
        <v>86.5</v>
      </c>
      <c r="E404" t="n">
        <v>80.8</v>
      </c>
    </row>
    <row r="405">
      <c r="A405" s="96" t="n">
        <v>29434</v>
      </c>
      <c r="B405" t="n">
        <v>83.2</v>
      </c>
      <c r="C405" t="n">
        <v>87.2</v>
      </c>
      <c r="D405" t="n">
        <v>87.90000000000001</v>
      </c>
      <c r="E405" t="n">
        <v>81.3</v>
      </c>
    </row>
    <row r="406">
      <c r="A406" s="96" t="n">
        <v>29465</v>
      </c>
      <c r="B406" t="n">
        <v>83.90000000000001</v>
      </c>
      <c r="C406" t="n">
        <v>87.5</v>
      </c>
      <c r="D406" t="n">
        <v>88.90000000000001</v>
      </c>
      <c r="E406" t="n">
        <v>82.09999999999999</v>
      </c>
    </row>
    <row r="407">
      <c r="A407" s="96" t="n">
        <v>29495</v>
      </c>
      <c r="B407" t="n">
        <v>84.7</v>
      </c>
      <c r="C407" t="n">
        <v>88</v>
      </c>
      <c r="D407" t="n">
        <v>89.59999999999999</v>
      </c>
      <c r="E407" t="n">
        <v>83</v>
      </c>
    </row>
    <row r="408">
      <c r="A408" s="96" t="n">
        <v>29526</v>
      </c>
      <c r="B408" t="n">
        <v>85.59999999999999</v>
      </c>
      <c r="C408" t="n">
        <v>88.8</v>
      </c>
      <c r="D408" t="n">
        <v>90.59999999999999</v>
      </c>
      <c r="E408" t="n">
        <v>83.90000000000001</v>
      </c>
    </row>
    <row r="409">
      <c r="A409" s="96" t="n">
        <v>29556</v>
      </c>
      <c r="B409" t="n">
        <v>86.40000000000001</v>
      </c>
      <c r="C409" t="n">
        <v>90.7</v>
      </c>
      <c r="D409" t="n">
        <v>91.2</v>
      </c>
      <c r="E409" t="n">
        <v>84.90000000000001</v>
      </c>
    </row>
    <row r="410">
      <c r="A410" s="96" t="n">
        <v>29587</v>
      </c>
      <c r="B410" t="n">
        <v>87.2</v>
      </c>
      <c r="C410" t="n">
        <v>92.09999999999999</v>
      </c>
      <c r="D410" t="n">
        <v>91.5</v>
      </c>
      <c r="E410" t="n">
        <v>85.40000000000001</v>
      </c>
    </row>
    <row r="411">
      <c r="A411" s="96" t="n">
        <v>29618</v>
      </c>
      <c r="B411" t="n">
        <v>88</v>
      </c>
      <c r="C411" t="n">
        <v>95.2</v>
      </c>
      <c r="D411" t="n">
        <v>92</v>
      </c>
      <c r="E411" t="n">
        <v>85.90000000000001</v>
      </c>
    </row>
    <row r="412">
      <c r="A412" s="96" t="n">
        <v>29646</v>
      </c>
      <c r="B412" t="n">
        <v>88.59999999999999</v>
      </c>
      <c r="C412" t="n">
        <v>97.40000000000001</v>
      </c>
      <c r="D412" t="n">
        <v>92.5</v>
      </c>
      <c r="E412" t="n">
        <v>86.40000000000001</v>
      </c>
    </row>
    <row r="413">
      <c r="A413" s="96" t="n">
        <v>29677</v>
      </c>
      <c r="B413" t="n">
        <v>89.09999999999999</v>
      </c>
      <c r="C413" t="n">
        <v>97.59999999999999</v>
      </c>
      <c r="D413" t="n">
        <v>92.59999999999999</v>
      </c>
      <c r="E413" t="n">
        <v>87</v>
      </c>
    </row>
    <row r="414">
      <c r="A414" s="96" t="n">
        <v>29707</v>
      </c>
      <c r="B414" t="n">
        <v>89.7</v>
      </c>
      <c r="C414" t="n">
        <v>97.90000000000001</v>
      </c>
      <c r="D414" t="n">
        <v>92.7</v>
      </c>
      <c r="E414" t="n">
        <v>87.8</v>
      </c>
    </row>
    <row r="415">
      <c r="A415" s="96" t="n">
        <v>29738</v>
      </c>
      <c r="B415" t="n">
        <v>90.5</v>
      </c>
      <c r="C415" t="n">
        <v>97.3</v>
      </c>
      <c r="D415" t="n">
        <v>93.09999999999999</v>
      </c>
      <c r="E415" t="n">
        <v>88.59999999999999</v>
      </c>
    </row>
    <row r="416">
      <c r="A416" s="96" t="n">
        <v>29768</v>
      </c>
      <c r="B416" t="n">
        <v>91.5</v>
      </c>
      <c r="C416" t="n">
        <v>97.3</v>
      </c>
      <c r="D416" t="n">
        <v>93.8</v>
      </c>
      <c r="E416" t="n">
        <v>89.8</v>
      </c>
    </row>
    <row r="417">
      <c r="A417" s="96" t="n">
        <v>29799</v>
      </c>
      <c r="B417" t="n">
        <v>92.2</v>
      </c>
      <c r="C417" t="n">
        <v>97.8</v>
      </c>
      <c r="D417" t="n">
        <v>94.3</v>
      </c>
      <c r="E417" t="n">
        <v>90.7</v>
      </c>
    </row>
    <row r="418">
      <c r="A418" s="96" t="n">
        <v>29830</v>
      </c>
      <c r="B418" t="n">
        <v>93.09999999999999</v>
      </c>
      <c r="C418" t="n">
        <v>98.59999999999999</v>
      </c>
      <c r="D418" t="n">
        <v>94.7</v>
      </c>
      <c r="E418" t="n">
        <v>91.8</v>
      </c>
    </row>
    <row r="419">
      <c r="A419" s="96" t="n">
        <v>29860</v>
      </c>
      <c r="B419" t="n">
        <v>93.40000000000001</v>
      </c>
      <c r="C419" t="n">
        <v>99.2</v>
      </c>
      <c r="D419" t="n">
        <v>94.8</v>
      </c>
      <c r="E419" t="n">
        <v>92.09999999999999</v>
      </c>
    </row>
    <row r="420">
      <c r="A420" s="96" t="n">
        <v>29891</v>
      </c>
      <c r="B420" t="n">
        <v>93.8</v>
      </c>
      <c r="C420" t="n">
        <v>100.5</v>
      </c>
      <c r="D420" t="n">
        <v>95</v>
      </c>
      <c r="E420" t="n">
        <v>92.5</v>
      </c>
    </row>
    <row r="421">
      <c r="A421" s="96" t="n">
        <v>29921</v>
      </c>
      <c r="B421" t="n">
        <v>94.09999999999999</v>
      </c>
      <c r="C421" t="n">
        <v>101.5</v>
      </c>
      <c r="D421" t="n">
        <v>95.2</v>
      </c>
      <c r="E421" t="n">
        <v>93</v>
      </c>
    </row>
    <row r="422">
      <c r="A422" s="96" t="n">
        <v>29952</v>
      </c>
      <c r="B422" t="n">
        <v>94.40000000000001</v>
      </c>
      <c r="C422" t="n">
        <v>100.6</v>
      </c>
      <c r="D422" t="n">
        <v>95.5</v>
      </c>
      <c r="E422" t="n">
        <v>93.3</v>
      </c>
    </row>
    <row r="423">
      <c r="A423" s="96" t="n">
        <v>29983</v>
      </c>
      <c r="B423" t="n">
        <v>94.7</v>
      </c>
      <c r="C423" t="n">
        <v>98</v>
      </c>
      <c r="D423" t="n">
        <v>96.2</v>
      </c>
      <c r="E423" t="n">
        <v>93.8</v>
      </c>
    </row>
    <row r="424">
      <c r="A424" s="96" t="n">
        <v>30011</v>
      </c>
      <c r="B424" t="n">
        <v>94.7</v>
      </c>
      <c r="C424" t="n">
        <v>96.59999999999999</v>
      </c>
      <c r="D424" t="n">
        <v>96.09999999999999</v>
      </c>
      <c r="E424" t="n">
        <v>93.90000000000001</v>
      </c>
    </row>
    <row r="425">
      <c r="A425" s="96" t="n">
        <v>30042</v>
      </c>
      <c r="B425" t="n">
        <v>95</v>
      </c>
      <c r="C425" t="n">
        <v>94.2</v>
      </c>
      <c r="D425" t="n">
        <v>96.3</v>
      </c>
      <c r="E425" t="n">
        <v>94.7</v>
      </c>
    </row>
    <row r="426">
      <c r="A426" s="96" t="n">
        <v>30072</v>
      </c>
      <c r="B426" t="n">
        <v>95.90000000000001</v>
      </c>
      <c r="C426" t="n">
        <v>95.7</v>
      </c>
      <c r="D426" t="n">
        <v>97.09999999999999</v>
      </c>
      <c r="E426" t="n">
        <v>95.40000000000001</v>
      </c>
    </row>
    <row r="427">
      <c r="A427" s="96" t="n">
        <v>30103</v>
      </c>
      <c r="B427" t="n">
        <v>97</v>
      </c>
      <c r="C427" t="n">
        <v>98.40000000000001</v>
      </c>
      <c r="D427" t="n">
        <v>98</v>
      </c>
      <c r="E427" t="n">
        <v>96.09999999999999</v>
      </c>
    </row>
    <row r="428">
      <c r="A428" s="96" t="n">
        <v>30133</v>
      </c>
      <c r="B428" t="n">
        <v>97.5</v>
      </c>
      <c r="C428" t="n">
        <v>99.3</v>
      </c>
      <c r="D428" t="n">
        <v>98.09999999999999</v>
      </c>
      <c r="E428" t="n">
        <v>96.7</v>
      </c>
    </row>
    <row r="429">
      <c r="A429" s="96" t="n">
        <v>30164</v>
      </c>
      <c r="B429" t="n">
        <v>97.7</v>
      </c>
      <c r="C429" t="n">
        <v>99.8</v>
      </c>
      <c r="D429" t="n">
        <v>97.90000000000001</v>
      </c>
      <c r="E429" t="n">
        <v>97.09999999999999</v>
      </c>
    </row>
    <row r="430">
      <c r="A430" s="96" t="n">
        <v>30195</v>
      </c>
      <c r="B430" t="n">
        <v>97.7</v>
      </c>
      <c r="C430" t="n">
        <v>100.3</v>
      </c>
      <c r="D430" t="n">
        <v>98</v>
      </c>
      <c r="E430" t="n">
        <v>97.2</v>
      </c>
    </row>
    <row r="431">
      <c r="A431" s="96" t="n">
        <v>30225</v>
      </c>
      <c r="B431" t="n">
        <v>98.09999999999999</v>
      </c>
      <c r="C431" t="n">
        <v>101.7</v>
      </c>
      <c r="D431" t="n">
        <v>98.09999999999999</v>
      </c>
      <c r="E431" t="n">
        <v>97.5</v>
      </c>
    </row>
    <row r="432">
      <c r="A432" s="96" t="n">
        <v>30256</v>
      </c>
      <c r="B432" t="n">
        <v>98</v>
      </c>
      <c r="C432" t="n">
        <v>102.5</v>
      </c>
      <c r="D432" t="n">
        <v>98.2</v>
      </c>
      <c r="E432" t="n">
        <v>97.3</v>
      </c>
    </row>
    <row r="433">
      <c r="A433" s="96" t="n">
        <v>30286</v>
      </c>
      <c r="B433" t="n">
        <v>97.7</v>
      </c>
      <c r="C433" t="n">
        <v>102.8</v>
      </c>
      <c r="D433" t="n">
        <v>98.09999999999999</v>
      </c>
      <c r="E433" t="n">
        <v>97.2</v>
      </c>
    </row>
    <row r="434">
      <c r="A434" s="96" t="n">
        <v>30317</v>
      </c>
      <c r="B434" t="n">
        <v>97.90000000000001</v>
      </c>
      <c r="C434" t="n">
        <v>99.59999999999999</v>
      </c>
      <c r="D434" t="n">
        <v>98</v>
      </c>
      <c r="E434" t="n">
        <v>97.59999999999999</v>
      </c>
    </row>
    <row r="435">
      <c r="A435" s="96" t="n">
        <v>30348</v>
      </c>
      <c r="B435" t="n">
        <v>98</v>
      </c>
      <c r="C435" t="n">
        <v>97.7</v>
      </c>
      <c r="D435" t="n">
        <v>98.2</v>
      </c>
      <c r="E435" t="n">
        <v>98</v>
      </c>
    </row>
    <row r="436">
      <c r="A436" s="96" t="n">
        <v>30376</v>
      </c>
      <c r="B436" t="n">
        <v>98.09999999999999</v>
      </c>
      <c r="C436" t="n">
        <v>96.8</v>
      </c>
      <c r="D436" t="n">
        <v>98.8</v>
      </c>
      <c r="E436" t="n">
        <v>98.2</v>
      </c>
    </row>
    <row r="437">
      <c r="A437" s="96" t="n">
        <v>30407</v>
      </c>
      <c r="B437" t="n">
        <v>98.8</v>
      </c>
      <c r="C437" t="n">
        <v>98.90000000000001</v>
      </c>
      <c r="D437" t="n">
        <v>99.2</v>
      </c>
      <c r="E437" t="n">
        <v>98.59999999999999</v>
      </c>
    </row>
    <row r="438">
      <c r="A438" s="96" t="n">
        <v>30437</v>
      </c>
      <c r="B438" t="n">
        <v>99.2</v>
      </c>
      <c r="C438" t="n">
        <v>100.4</v>
      </c>
      <c r="D438" t="n">
        <v>99.5</v>
      </c>
      <c r="E438" t="n">
        <v>98.90000000000001</v>
      </c>
    </row>
    <row r="439">
      <c r="A439" s="96" t="n">
        <v>30468</v>
      </c>
      <c r="B439" t="n">
        <v>99.40000000000001</v>
      </c>
      <c r="C439" t="n">
        <v>100.6</v>
      </c>
      <c r="D439" t="n">
        <v>99.59999999999999</v>
      </c>
      <c r="E439" t="n">
        <v>99.2</v>
      </c>
    </row>
    <row r="440">
      <c r="A440" s="96" t="n">
        <v>30498</v>
      </c>
      <c r="B440" t="n">
        <v>99.8</v>
      </c>
      <c r="C440" t="n">
        <v>100.9</v>
      </c>
      <c r="D440" t="n">
        <v>99.59999999999999</v>
      </c>
      <c r="E440" t="n">
        <v>99.8</v>
      </c>
    </row>
    <row r="441">
      <c r="A441" s="96" t="n">
        <v>30529</v>
      </c>
      <c r="B441" t="n">
        <v>100.1</v>
      </c>
      <c r="C441" t="n">
        <v>101.2</v>
      </c>
      <c r="D441" t="n">
        <v>99.59999999999999</v>
      </c>
      <c r="E441" t="n">
        <v>100.1</v>
      </c>
    </row>
    <row r="442">
      <c r="A442" s="96" t="n">
        <v>30560</v>
      </c>
      <c r="B442" t="n">
        <v>100.4</v>
      </c>
      <c r="C442" t="n">
        <v>101</v>
      </c>
      <c r="D442" t="n">
        <v>100</v>
      </c>
      <c r="E442" t="n">
        <v>100.5</v>
      </c>
    </row>
    <row r="443">
      <c r="A443" s="96" t="n">
        <v>30590</v>
      </c>
      <c r="B443" t="n">
        <v>100.8</v>
      </c>
      <c r="C443" t="n">
        <v>100.8</v>
      </c>
      <c r="D443" t="n">
        <v>100.3</v>
      </c>
      <c r="E443" t="n">
        <v>101</v>
      </c>
    </row>
    <row r="444">
      <c r="A444" s="96" t="n">
        <v>30621</v>
      </c>
      <c r="B444" t="n">
        <v>101.1</v>
      </c>
      <c r="C444" t="n">
        <v>100.5</v>
      </c>
      <c r="D444" t="n">
        <v>100.3</v>
      </c>
      <c r="E444" t="n">
        <v>101.5</v>
      </c>
    </row>
    <row r="445">
      <c r="A445" s="96" t="n">
        <v>30651</v>
      </c>
      <c r="B445" t="n">
        <v>101.4</v>
      </c>
      <c r="C445" t="n">
        <v>100</v>
      </c>
      <c r="D445" t="n">
        <v>100.6</v>
      </c>
      <c r="E445" t="n">
        <v>101.8</v>
      </c>
    </row>
    <row r="446">
      <c r="A446" s="96" t="n">
        <v>30682</v>
      </c>
      <c r="B446" t="n">
        <v>102.1</v>
      </c>
      <c r="C446" t="n">
        <v>100.2</v>
      </c>
      <c r="D446" t="n">
        <v>101.9</v>
      </c>
      <c r="E446" t="n">
        <v>102.5</v>
      </c>
    </row>
    <row r="447">
      <c r="A447" s="96" t="n">
        <v>30713</v>
      </c>
      <c r="B447" t="n">
        <v>102.6</v>
      </c>
      <c r="C447" t="n">
        <v>101.4</v>
      </c>
      <c r="D447" t="n">
        <v>102.5</v>
      </c>
      <c r="E447" t="n">
        <v>102.8</v>
      </c>
    </row>
    <row r="448">
      <c r="A448" s="96" t="n">
        <v>30742</v>
      </c>
      <c r="B448" t="n">
        <v>102.9</v>
      </c>
      <c r="C448" t="n">
        <v>101.4</v>
      </c>
      <c r="D448" t="n">
        <v>102.8</v>
      </c>
      <c r="E448" t="n">
        <v>103.2</v>
      </c>
    </row>
    <row r="449">
      <c r="A449" s="96" t="n">
        <v>30773</v>
      </c>
      <c r="B449" t="n">
        <v>103.3</v>
      </c>
      <c r="C449" t="n">
        <v>101.7</v>
      </c>
      <c r="D449" t="n">
        <v>102.8</v>
      </c>
      <c r="E449" t="n">
        <v>103.7</v>
      </c>
    </row>
    <row r="450">
      <c r="A450" s="96" t="n">
        <v>30803</v>
      </c>
      <c r="B450" t="n">
        <v>103.5</v>
      </c>
      <c r="C450" t="n">
        <v>101.6</v>
      </c>
      <c r="D450" t="n">
        <v>102.6</v>
      </c>
      <c r="E450" t="n">
        <v>104.1</v>
      </c>
    </row>
    <row r="451">
      <c r="A451" s="96" t="n">
        <v>30834</v>
      </c>
      <c r="B451" t="n">
        <v>103.7</v>
      </c>
      <c r="C451" t="n">
        <v>100.8</v>
      </c>
      <c r="D451" t="n">
        <v>103</v>
      </c>
      <c r="E451" t="n">
        <v>104.5</v>
      </c>
    </row>
    <row r="452">
      <c r="A452" s="96" t="n">
        <v>30864</v>
      </c>
      <c r="B452" t="n">
        <v>104.1</v>
      </c>
      <c r="C452" t="n">
        <v>100.5</v>
      </c>
      <c r="D452" t="n">
        <v>103.2</v>
      </c>
      <c r="E452" t="n">
        <v>105</v>
      </c>
    </row>
    <row r="453">
      <c r="A453" s="96" t="n">
        <v>30895</v>
      </c>
      <c r="B453" t="n">
        <v>104.4</v>
      </c>
      <c r="C453" t="n">
        <v>100.1</v>
      </c>
      <c r="D453" t="n">
        <v>103.8</v>
      </c>
      <c r="E453" t="n">
        <v>105.4</v>
      </c>
    </row>
    <row r="454">
      <c r="A454" s="96" t="n">
        <v>30926</v>
      </c>
      <c r="B454" t="n">
        <v>104.7</v>
      </c>
      <c r="C454" t="n">
        <v>100.6</v>
      </c>
      <c r="D454" t="n">
        <v>103.7</v>
      </c>
      <c r="E454" t="n">
        <v>105.8</v>
      </c>
    </row>
    <row r="455">
      <c r="A455" s="96" t="n">
        <v>30956</v>
      </c>
      <c r="B455" t="n">
        <v>105.1</v>
      </c>
      <c r="C455" t="n">
        <v>101.1</v>
      </c>
      <c r="D455" t="n">
        <v>103.9</v>
      </c>
      <c r="E455" t="n">
        <v>106.2</v>
      </c>
    </row>
    <row r="456">
      <c r="A456" s="96" t="n">
        <v>30987</v>
      </c>
      <c r="B456" t="n">
        <v>105.3</v>
      </c>
      <c r="C456" t="n">
        <v>100.8</v>
      </c>
      <c r="D456" t="n">
        <v>104</v>
      </c>
      <c r="E456" t="n">
        <v>106.4</v>
      </c>
    </row>
    <row r="457">
      <c r="A457" s="96" t="n">
        <v>31017</v>
      </c>
      <c r="B457" t="n">
        <v>105.5</v>
      </c>
      <c r="C457" t="n">
        <v>100.1</v>
      </c>
      <c r="D457" t="n">
        <v>104.4</v>
      </c>
      <c r="E457" t="n">
        <v>106.8</v>
      </c>
    </row>
    <row r="458">
      <c r="A458" s="96" t="n">
        <v>31048</v>
      </c>
      <c r="B458" t="n">
        <v>105.7</v>
      </c>
      <c r="C458" t="n">
        <v>100.3</v>
      </c>
      <c r="D458" t="n">
        <v>104.5</v>
      </c>
      <c r="E458" t="n">
        <v>107.1</v>
      </c>
    </row>
    <row r="459">
      <c r="A459" s="96" t="n">
        <v>31079</v>
      </c>
      <c r="B459" t="n">
        <v>106.3</v>
      </c>
      <c r="C459" t="n">
        <v>100.3</v>
      </c>
      <c r="D459" t="n">
        <v>105</v>
      </c>
      <c r="E459" t="n">
        <v>107.7</v>
      </c>
    </row>
    <row r="460">
      <c r="A460" s="96" t="n">
        <v>31107</v>
      </c>
      <c r="B460" t="n">
        <v>106.8</v>
      </c>
      <c r="C460" t="n">
        <v>101.3</v>
      </c>
      <c r="D460" t="n">
        <v>105.4</v>
      </c>
      <c r="E460" t="n">
        <v>108.1</v>
      </c>
    </row>
    <row r="461">
      <c r="A461" s="96" t="n">
        <v>31138</v>
      </c>
      <c r="B461" t="n">
        <v>107</v>
      </c>
      <c r="C461" t="n">
        <v>102.3</v>
      </c>
      <c r="D461" t="n">
        <v>105.3</v>
      </c>
      <c r="E461" t="n">
        <v>108.4</v>
      </c>
    </row>
    <row r="462">
      <c r="A462" s="96" t="n">
        <v>31168</v>
      </c>
      <c r="B462" t="n">
        <v>107.2</v>
      </c>
      <c r="C462" t="n">
        <v>102.2</v>
      </c>
      <c r="D462" t="n">
        <v>105.1</v>
      </c>
      <c r="E462" t="n">
        <v>108.8</v>
      </c>
    </row>
    <row r="463">
      <c r="A463" s="96" t="n">
        <v>31199</v>
      </c>
      <c r="B463" t="n">
        <v>107.5</v>
      </c>
      <c r="C463" t="n">
        <v>102.2</v>
      </c>
      <c r="D463" t="n">
        <v>105.4</v>
      </c>
      <c r="E463" t="n">
        <v>109.1</v>
      </c>
    </row>
    <row r="464">
      <c r="A464" s="96" t="n">
        <v>31229</v>
      </c>
      <c r="B464" t="n">
        <v>107.7</v>
      </c>
      <c r="C464" t="n">
        <v>102.2</v>
      </c>
      <c r="D464" t="n">
        <v>105.4</v>
      </c>
      <c r="E464" t="n">
        <v>109.4</v>
      </c>
    </row>
    <row r="465">
      <c r="A465" s="96" t="n">
        <v>31260</v>
      </c>
      <c r="B465" t="n">
        <v>107.9</v>
      </c>
      <c r="C465" t="n">
        <v>101.2</v>
      </c>
      <c r="D465" t="n">
        <v>105.5</v>
      </c>
      <c r="E465" t="n">
        <v>109.8</v>
      </c>
    </row>
    <row r="466">
      <c r="A466" s="96" t="n">
        <v>31291</v>
      </c>
      <c r="B466" t="n">
        <v>108.1</v>
      </c>
      <c r="C466" t="n">
        <v>101.2</v>
      </c>
      <c r="D466" t="n">
        <v>105.7</v>
      </c>
      <c r="E466" t="n">
        <v>110</v>
      </c>
    </row>
    <row r="467">
      <c r="A467" s="96" t="n">
        <v>31321</v>
      </c>
      <c r="B467" t="n">
        <v>108.5</v>
      </c>
      <c r="C467" t="n">
        <v>101.2</v>
      </c>
      <c r="D467" t="n">
        <v>105.9</v>
      </c>
      <c r="E467" t="n">
        <v>110.5</v>
      </c>
    </row>
    <row r="468">
      <c r="A468" s="96" t="n">
        <v>31352</v>
      </c>
      <c r="B468" t="n">
        <v>109</v>
      </c>
      <c r="C468" t="n">
        <v>101.8</v>
      </c>
      <c r="D468" t="n">
        <v>106.5</v>
      </c>
      <c r="E468" t="n">
        <v>111.1</v>
      </c>
    </row>
    <row r="469">
      <c r="A469" s="96" t="n">
        <v>31382</v>
      </c>
      <c r="B469" t="n">
        <v>109.5</v>
      </c>
      <c r="C469" t="n">
        <v>102.4</v>
      </c>
      <c r="D469" t="n">
        <v>107.3</v>
      </c>
      <c r="E469" t="n">
        <v>111.4</v>
      </c>
    </row>
    <row r="470">
      <c r="A470" s="96" t="n">
        <v>31413</v>
      </c>
      <c r="B470" t="n">
        <v>109.9</v>
      </c>
      <c r="C470" t="n">
        <v>102.6</v>
      </c>
      <c r="D470" t="n">
        <v>107.5</v>
      </c>
      <c r="E470" t="n">
        <v>111.9</v>
      </c>
    </row>
    <row r="471">
      <c r="A471" s="96" t="n">
        <v>31444</v>
      </c>
      <c r="B471" t="n">
        <v>109.7</v>
      </c>
      <c r="C471" t="n">
        <v>99.5</v>
      </c>
      <c r="D471" t="n">
        <v>107.4</v>
      </c>
      <c r="E471" t="n">
        <v>112.2</v>
      </c>
    </row>
    <row r="472">
      <c r="A472" s="96" t="n">
        <v>31472</v>
      </c>
      <c r="B472" t="n">
        <v>109.1</v>
      </c>
      <c r="C472" t="n">
        <v>92.59999999999999</v>
      </c>
      <c r="D472" t="n">
        <v>107.6</v>
      </c>
      <c r="E472" t="n">
        <v>112.5</v>
      </c>
    </row>
    <row r="473">
      <c r="A473" s="96" t="n">
        <v>31503</v>
      </c>
      <c r="B473" t="n">
        <v>108.7</v>
      </c>
      <c r="C473" t="n">
        <v>87.2</v>
      </c>
      <c r="D473" t="n">
        <v>107.8</v>
      </c>
      <c r="E473" t="n">
        <v>112.9</v>
      </c>
    </row>
    <row r="474">
      <c r="A474" s="96" t="n">
        <v>31533</v>
      </c>
      <c r="B474" t="n">
        <v>109</v>
      </c>
      <c r="C474" t="n">
        <v>87.2</v>
      </c>
      <c r="D474" t="n">
        <v>108.2</v>
      </c>
      <c r="E474" t="n">
        <v>113.1</v>
      </c>
    </row>
    <row r="475">
      <c r="A475" s="96" t="n">
        <v>31564</v>
      </c>
      <c r="B475" t="n">
        <v>109.4</v>
      </c>
      <c r="C475" t="n">
        <v>88.8</v>
      </c>
      <c r="D475" t="n">
        <v>108.3</v>
      </c>
      <c r="E475" t="n">
        <v>113.4</v>
      </c>
    </row>
    <row r="476">
      <c r="A476" s="96" t="n">
        <v>31594</v>
      </c>
      <c r="B476" t="n">
        <v>109.5</v>
      </c>
      <c r="C476" t="n">
        <v>85.59999999999999</v>
      </c>
      <c r="D476" t="n">
        <v>109.1</v>
      </c>
      <c r="E476" t="n">
        <v>113.8</v>
      </c>
    </row>
    <row r="477">
      <c r="A477" s="96" t="n">
        <v>31625</v>
      </c>
      <c r="B477" t="n">
        <v>109.6</v>
      </c>
      <c r="C477" t="n">
        <v>83.59999999999999</v>
      </c>
      <c r="D477" t="n">
        <v>110</v>
      </c>
      <c r="E477" t="n">
        <v>114.2</v>
      </c>
    </row>
    <row r="478">
      <c r="A478" s="96" t="n">
        <v>31656</v>
      </c>
      <c r="B478" t="n">
        <v>110</v>
      </c>
      <c r="C478" t="n">
        <v>84.40000000000001</v>
      </c>
      <c r="D478" t="n">
        <v>110.1</v>
      </c>
      <c r="E478" t="n">
        <v>114.6</v>
      </c>
    </row>
    <row r="479">
      <c r="A479" s="96" t="n">
        <v>31686</v>
      </c>
      <c r="B479" t="n">
        <v>110.2</v>
      </c>
      <c r="C479" t="n">
        <v>82.8</v>
      </c>
      <c r="D479" t="n">
        <v>110.4</v>
      </c>
      <c r="E479" t="n">
        <v>115</v>
      </c>
    </row>
    <row r="480">
      <c r="A480" s="96" t="n">
        <v>31717</v>
      </c>
      <c r="B480" t="n">
        <v>110.4</v>
      </c>
      <c r="C480" t="n">
        <v>82.09999999999999</v>
      </c>
      <c r="D480" t="n">
        <v>111</v>
      </c>
      <c r="E480" t="n">
        <v>115.3</v>
      </c>
    </row>
    <row r="481">
      <c r="A481" s="96" t="n">
        <v>31747</v>
      </c>
      <c r="B481" t="n">
        <v>110.8</v>
      </c>
      <c r="C481" t="n">
        <v>82.5</v>
      </c>
      <c r="D481" t="n">
        <v>111.3</v>
      </c>
      <c r="E481" t="n">
        <v>115.6</v>
      </c>
    </row>
    <row r="482">
      <c r="A482" s="96" t="n">
        <v>31778</v>
      </c>
      <c r="B482" t="n">
        <v>111.4</v>
      </c>
      <c r="C482" t="n">
        <v>85.40000000000001</v>
      </c>
      <c r="D482" t="n">
        <v>111.9</v>
      </c>
      <c r="E482" t="n">
        <v>115.9</v>
      </c>
    </row>
    <row r="483">
      <c r="A483" s="96" t="n">
        <v>31809</v>
      </c>
      <c r="B483" t="n">
        <v>111.8</v>
      </c>
      <c r="C483" t="n">
        <v>87.40000000000001</v>
      </c>
      <c r="D483" t="n">
        <v>112.2</v>
      </c>
      <c r="E483" t="n">
        <v>116.2</v>
      </c>
    </row>
    <row r="484">
      <c r="A484" s="96" t="n">
        <v>31837</v>
      </c>
      <c r="B484" t="n">
        <v>112.2</v>
      </c>
      <c r="C484" t="n">
        <v>87.59999999999999</v>
      </c>
      <c r="D484" t="n">
        <v>112.4</v>
      </c>
      <c r="E484" t="n">
        <v>116.6</v>
      </c>
    </row>
    <row r="485">
      <c r="A485" s="96" t="n">
        <v>31868</v>
      </c>
      <c r="B485" t="n">
        <v>112.7</v>
      </c>
      <c r="C485" t="n">
        <v>87.59999999999999</v>
      </c>
      <c r="D485" t="n">
        <v>112.6</v>
      </c>
      <c r="E485" t="n">
        <v>117.3</v>
      </c>
    </row>
    <row r="486">
      <c r="A486" s="96" t="n">
        <v>31898</v>
      </c>
      <c r="B486" t="n">
        <v>113</v>
      </c>
      <c r="C486" t="n">
        <v>87.09999999999999</v>
      </c>
      <c r="D486" t="n">
        <v>113.2</v>
      </c>
      <c r="E486" t="n">
        <v>117.7</v>
      </c>
    </row>
    <row r="487">
      <c r="A487" s="96" t="n">
        <v>31929</v>
      </c>
      <c r="B487" t="n">
        <v>113.5</v>
      </c>
      <c r="C487" t="n">
        <v>88.5</v>
      </c>
      <c r="D487" t="n">
        <v>113.8</v>
      </c>
      <c r="E487" t="n">
        <v>117.9</v>
      </c>
    </row>
    <row r="488">
      <c r="A488" s="96" t="n">
        <v>31959</v>
      </c>
      <c r="B488" t="n">
        <v>113.8</v>
      </c>
      <c r="C488" t="n">
        <v>89.2</v>
      </c>
      <c r="D488" t="n">
        <v>113.7</v>
      </c>
      <c r="E488" t="n">
        <v>118.3</v>
      </c>
    </row>
    <row r="489">
      <c r="A489" s="96" t="n">
        <v>31990</v>
      </c>
      <c r="B489" t="n">
        <v>114.3</v>
      </c>
      <c r="C489" t="n">
        <v>90.5</v>
      </c>
      <c r="D489" t="n">
        <v>113.9</v>
      </c>
      <c r="E489" t="n">
        <v>118.7</v>
      </c>
    </row>
    <row r="490">
      <c r="A490" s="96" t="n">
        <v>32021</v>
      </c>
      <c r="B490" t="n">
        <v>114.7</v>
      </c>
      <c r="C490" t="n">
        <v>90.3</v>
      </c>
      <c r="D490" t="n">
        <v>114.4</v>
      </c>
      <c r="E490" t="n">
        <v>119.2</v>
      </c>
    </row>
    <row r="491">
      <c r="A491" s="96" t="n">
        <v>32051</v>
      </c>
      <c r="B491" t="n">
        <v>115</v>
      </c>
      <c r="C491" t="n">
        <v>89.59999999999999</v>
      </c>
      <c r="D491" t="n">
        <v>114.6</v>
      </c>
      <c r="E491" t="n">
        <v>119.8</v>
      </c>
    </row>
    <row r="492">
      <c r="A492" s="96" t="n">
        <v>32082</v>
      </c>
      <c r="B492" t="n">
        <v>115.4</v>
      </c>
      <c r="C492" t="n">
        <v>90</v>
      </c>
      <c r="D492" t="n">
        <v>114.7</v>
      </c>
      <c r="E492" t="n">
        <v>120.1</v>
      </c>
    </row>
    <row r="493">
      <c r="A493" s="96" t="n">
        <v>32112</v>
      </c>
      <c r="B493" t="n">
        <v>115.6</v>
      </c>
      <c r="C493" t="n">
        <v>89.5</v>
      </c>
      <c r="D493" t="n">
        <v>115.2</v>
      </c>
      <c r="E493" t="n">
        <v>120.4</v>
      </c>
    </row>
    <row r="494">
      <c r="A494" s="96" t="n">
        <v>32143</v>
      </c>
      <c r="B494" t="n">
        <v>116</v>
      </c>
      <c r="C494" t="n">
        <v>88.8</v>
      </c>
      <c r="D494" t="n">
        <v>115.6</v>
      </c>
      <c r="E494" t="n">
        <v>120.9</v>
      </c>
    </row>
    <row r="495">
      <c r="A495" s="96" t="n">
        <v>32174</v>
      </c>
      <c r="B495" t="n">
        <v>116.2</v>
      </c>
      <c r="C495" t="n">
        <v>88.7</v>
      </c>
      <c r="D495" t="n">
        <v>115.7</v>
      </c>
      <c r="E495" t="n">
        <v>121.2</v>
      </c>
    </row>
    <row r="496">
      <c r="A496" s="96" t="n">
        <v>32203</v>
      </c>
      <c r="B496" t="n">
        <v>116.5</v>
      </c>
      <c r="C496" t="n">
        <v>88.40000000000001</v>
      </c>
      <c r="D496" t="n">
        <v>115.9</v>
      </c>
      <c r="E496" t="n">
        <v>121.7</v>
      </c>
    </row>
    <row r="497">
      <c r="A497" s="96" t="n">
        <v>32234</v>
      </c>
      <c r="B497" t="n">
        <v>117.2</v>
      </c>
      <c r="C497" t="n">
        <v>88.8</v>
      </c>
      <c r="D497" t="n">
        <v>116.5</v>
      </c>
      <c r="E497" t="n">
        <v>122.3</v>
      </c>
    </row>
    <row r="498">
      <c r="A498" s="96" t="n">
        <v>32264</v>
      </c>
      <c r="B498" t="n">
        <v>117.5</v>
      </c>
      <c r="C498" t="n">
        <v>88.5</v>
      </c>
      <c r="D498" t="n">
        <v>116.9</v>
      </c>
      <c r="E498" t="n">
        <v>122.7</v>
      </c>
    </row>
    <row r="499">
      <c r="A499" s="96" t="n">
        <v>32295</v>
      </c>
      <c r="B499" t="n">
        <v>118</v>
      </c>
      <c r="C499" t="n">
        <v>88.90000000000001</v>
      </c>
      <c r="D499" t="n">
        <v>117.6</v>
      </c>
      <c r="E499" t="n">
        <v>123.2</v>
      </c>
    </row>
    <row r="500">
      <c r="A500" s="96" t="n">
        <v>32325</v>
      </c>
      <c r="B500" t="n">
        <v>118.5</v>
      </c>
      <c r="C500" t="n">
        <v>89.40000000000001</v>
      </c>
      <c r="D500" t="n">
        <v>118.8</v>
      </c>
      <c r="E500" t="n">
        <v>123.6</v>
      </c>
    </row>
    <row r="501">
      <c r="A501" s="96" t="n">
        <v>32356</v>
      </c>
      <c r="B501" t="n">
        <v>119</v>
      </c>
      <c r="C501" t="n">
        <v>90.09999999999999</v>
      </c>
      <c r="D501" t="n">
        <v>119.4</v>
      </c>
      <c r="E501" t="n">
        <v>124</v>
      </c>
    </row>
    <row r="502">
      <c r="A502" s="96" t="n">
        <v>32387</v>
      </c>
      <c r="B502" t="n">
        <v>119.5</v>
      </c>
      <c r="C502" t="n">
        <v>89.8</v>
      </c>
      <c r="D502" t="n">
        <v>120</v>
      </c>
      <c r="E502" t="n">
        <v>124.7</v>
      </c>
    </row>
    <row r="503">
      <c r="A503" s="96" t="n">
        <v>32417</v>
      </c>
      <c r="B503" t="n">
        <v>119.9</v>
      </c>
      <c r="C503" t="n">
        <v>89.8</v>
      </c>
      <c r="D503" t="n">
        <v>120.3</v>
      </c>
      <c r="E503" t="n">
        <v>125.2</v>
      </c>
    </row>
    <row r="504">
      <c r="A504" s="96" t="n">
        <v>32448</v>
      </c>
      <c r="B504" t="n">
        <v>120.3</v>
      </c>
      <c r="C504" t="n">
        <v>89.8</v>
      </c>
      <c r="D504" t="n">
        <v>120.5</v>
      </c>
      <c r="E504" t="n">
        <v>125.6</v>
      </c>
    </row>
    <row r="505">
      <c r="A505" s="96" t="n">
        <v>32478</v>
      </c>
      <c r="B505" t="n">
        <v>120.7</v>
      </c>
      <c r="C505" t="n">
        <v>89.59999999999999</v>
      </c>
      <c r="D505" t="n">
        <v>121</v>
      </c>
      <c r="E505" t="n">
        <v>126</v>
      </c>
    </row>
    <row r="506">
      <c r="A506" s="96" t="n">
        <v>32509</v>
      </c>
      <c r="B506" t="n">
        <v>121.2</v>
      </c>
      <c r="C506" t="n">
        <v>90.3</v>
      </c>
      <c r="D506" t="n">
        <v>121.5</v>
      </c>
      <c r="E506" t="n">
        <v>126.5</v>
      </c>
    </row>
    <row r="507">
      <c r="A507" s="96" t="n">
        <v>32540</v>
      </c>
      <c r="B507" t="n">
        <v>121.6</v>
      </c>
      <c r="C507" t="n">
        <v>90.8</v>
      </c>
      <c r="D507" t="n">
        <v>122.3</v>
      </c>
      <c r="E507" t="n">
        <v>126.9</v>
      </c>
    </row>
    <row r="508">
      <c r="A508" s="96" t="n">
        <v>32568</v>
      </c>
      <c r="B508" t="n">
        <v>122.2</v>
      </c>
      <c r="C508" t="n">
        <v>91.8</v>
      </c>
      <c r="D508" t="n">
        <v>123.1</v>
      </c>
      <c r="E508" t="n">
        <v>127.4</v>
      </c>
    </row>
    <row r="509">
      <c r="A509" s="96" t="n">
        <v>32599</v>
      </c>
      <c r="B509" t="n">
        <v>123.1</v>
      </c>
      <c r="C509" t="n">
        <v>96.59999999999999</v>
      </c>
      <c r="D509" t="n">
        <v>123.7</v>
      </c>
      <c r="E509" t="n">
        <v>127.8</v>
      </c>
    </row>
    <row r="510">
      <c r="A510" s="96" t="n">
        <v>32629</v>
      </c>
      <c r="B510" t="n">
        <v>123.7</v>
      </c>
      <c r="C510" t="n">
        <v>97.40000000000001</v>
      </c>
      <c r="D510" t="n">
        <v>124.6</v>
      </c>
      <c r="E510" t="n">
        <v>128.3</v>
      </c>
    </row>
    <row r="511">
      <c r="A511" s="96" t="n">
        <v>32660</v>
      </c>
      <c r="B511" t="n">
        <v>124.1</v>
      </c>
      <c r="C511" t="n">
        <v>96.90000000000001</v>
      </c>
      <c r="D511" t="n">
        <v>124.9</v>
      </c>
      <c r="E511" t="n">
        <v>128.8</v>
      </c>
    </row>
    <row r="512">
      <c r="A512" s="96" t="n">
        <v>32690</v>
      </c>
      <c r="B512" t="n">
        <v>124.5</v>
      </c>
      <c r="C512" t="n">
        <v>96.7</v>
      </c>
      <c r="D512" t="n">
        <v>125.4</v>
      </c>
      <c r="E512" t="n">
        <v>129.2</v>
      </c>
    </row>
    <row r="513">
      <c r="A513" s="96" t="n">
        <v>32721</v>
      </c>
      <c r="B513" t="n">
        <v>124.5</v>
      </c>
      <c r="C513" t="n">
        <v>94.90000000000001</v>
      </c>
      <c r="D513" t="n">
        <v>125.7</v>
      </c>
      <c r="E513" t="n">
        <v>129.5</v>
      </c>
    </row>
    <row r="514">
      <c r="A514" s="96" t="n">
        <v>32752</v>
      </c>
      <c r="B514" t="n">
        <v>124.8</v>
      </c>
      <c r="C514" t="n">
        <v>93.8</v>
      </c>
      <c r="D514" t="n">
        <v>126.1</v>
      </c>
      <c r="E514" t="n">
        <v>129.9</v>
      </c>
    </row>
    <row r="515">
      <c r="A515" s="96" t="n">
        <v>32782</v>
      </c>
      <c r="B515" t="n">
        <v>125.4</v>
      </c>
      <c r="C515" t="n">
        <v>94.40000000000001</v>
      </c>
      <c r="D515" t="n">
        <v>126.7</v>
      </c>
      <c r="E515" t="n">
        <v>130.6</v>
      </c>
    </row>
    <row r="516">
      <c r="A516" s="96" t="n">
        <v>32813</v>
      </c>
      <c r="B516" t="n">
        <v>125.9</v>
      </c>
      <c r="C516" t="n">
        <v>93.90000000000001</v>
      </c>
      <c r="D516" t="n">
        <v>127.2</v>
      </c>
      <c r="E516" t="n">
        <v>131.1</v>
      </c>
    </row>
    <row r="517">
      <c r="A517" s="96" t="n">
        <v>32843</v>
      </c>
      <c r="B517" t="n">
        <v>126.3</v>
      </c>
      <c r="C517" t="n">
        <v>94.2</v>
      </c>
      <c r="D517" t="n">
        <v>127.7</v>
      </c>
      <c r="E517" t="n">
        <v>131.6</v>
      </c>
    </row>
    <row r="518">
      <c r="A518" s="96" t="n">
        <v>32874</v>
      </c>
      <c r="B518" t="n">
        <v>127.5</v>
      </c>
      <c r="C518" t="n">
        <v>98.90000000000001</v>
      </c>
      <c r="D518" t="n">
        <v>129.4</v>
      </c>
      <c r="E518" t="n">
        <v>132.1</v>
      </c>
    </row>
    <row r="519">
      <c r="A519" s="96" t="n">
        <v>32905</v>
      </c>
      <c r="B519" t="n">
        <v>128</v>
      </c>
      <c r="C519" t="n">
        <v>98.2</v>
      </c>
      <c r="D519" t="n">
        <v>130.5</v>
      </c>
      <c r="E519" t="n">
        <v>132.7</v>
      </c>
    </row>
    <row r="520">
      <c r="A520" s="96" t="n">
        <v>32933</v>
      </c>
      <c r="B520" t="n">
        <v>128.6</v>
      </c>
      <c r="C520" t="n">
        <v>97.59999999999999</v>
      </c>
      <c r="D520" t="n">
        <v>130.7</v>
      </c>
      <c r="E520" t="n">
        <v>133.5</v>
      </c>
    </row>
    <row r="521">
      <c r="A521" s="96" t="n">
        <v>32964</v>
      </c>
      <c r="B521" t="n">
        <v>128.9</v>
      </c>
      <c r="C521" t="n">
        <v>97.5</v>
      </c>
      <c r="D521" t="n">
        <v>130.6</v>
      </c>
      <c r="E521" t="n">
        <v>134</v>
      </c>
    </row>
    <row r="522">
      <c r="A522" s="96" t="n">
        <v>32994</v>
      </c>
      <c r="B522" t="n">
        <v>129.1</v>
      </c>
      <c r="C522" t="n">
        <v>96.7</v>
      </c>
      <c r="D522" t="n">
        <v>130.9</v>
      </c>
      <c r="E522" t="n">
        <v>134.4</v>
      </c>
    </row>
    <row r="523">
      <c r="A523" s="96" t="n">
        <v>33025</v>
      </c>
      <c r="B523" t="n">
        <v>129.9</v>
      </c>
      <c r="C523" t="n">
        <v>97.3</v>
      </c>
      <c r="D523" t="n">
        <v>131.8</v>
      </c>
      <c r="E523" t="n">
        <v>135.1</v>
      </c>
    </row>
    <row r="524">
      <c r="A524" s="96" t="n">
        <v>33055</v>
      </c>
      <c r="B524" t="n">
        <v>130.5</v>
      </c>
      <c r="C524" t="n">
        <v>97.09999999999999</v>
      </c>
      <c r="D524" t="n">
        <v>132.5</v>
      </c>
      <c r="E524" t="n">
        <v>135.8</v>
      </c>
    </row>
    <row r="525">
      <c r="A525" s="96" t="n">
        <v>33086</v>
      </c>
      <c r="B525" t="n">
        <v>131.6</v>
      </c>
      <c r="C525" t="n">
        <v>101.6</v>
      </c>
      <c r="D525" t="n">
        <v>132.9</v>
      </c>
      <c r="E525" t="n">
        <v>136.6</v>
      </c>
    </row>
    <row r="526">
      <c r="A526" s="96" t="n">
        <v>33117</v>
      </c>
      <c r="B526" t="n">
        <v>132.5</v>
      </c>
      <c r="C526" t="n">
        <v>106.5</v>
      </c>
      <c r="D526" t="n">
        <v>133.3</v>
      </c>
      <c r="E526" t="n">
        <v>137.1</v>
      </c>
    </row>
    <row r="527">
      <c r="A527" s="96" t="n">
        <v>33147</v>
      </c>
      <c r="B527" t="n">
        <v>133.4</v>
      </c>
      <c r="C527" t="n">
        <v>110.8</v>
      </c>
      <c r="D527" t="n">
        <v>133.8</v>
      </c>
      <c r="E527" t="n">
        <v>137.6</v>
      </c>
    </row>
    <row r="528">
      <c r="A528" s="96" t="n">
        <v>33178</v>
      </c>
      <c r="B528" t="n">
        <v>133.7</v>
      </c>
      <c r="C528" t="n">
        <v>111.2</v>
      </c>
      <c r="D528" t="n">
        <v>134.2</v>
      </c>
      <c r="E528" t="n">
        <v>138</v>
      </c>
    </row>
    <row r="529">
      <c r="A529" s="96" t="n">
        <v>33208</v>
      </c>
      <c r="B529" t="n">
        <v>134.2</v>
      </c>
      <c r="C529" t="n">
        <v>111</v>
      </c>
      <c r="D529" t="n">
        <v>134.3</v>
      </c>
      <c r="E529" t="n">
        <v>138.6</v>
      </c>
    </row>
    <row r="530">
      <c r="A530" s="96" t="n">
        <v>33239</v>
      </c>
      <c r="B530" t="n">
        <v>134.7</v>
      </c>
      <c r="C530" t="n">
        <v>108.5</v>
      </c>
      <c r="D530" t="n">
        <v>135.2</v>
      </c>
      <c r="E530" t="n">
        <v>139.5</v>
      </c>
    </row>
    <row r="531">
      <c r="A531" s="96" t="n">
        <v>33270</v>
      </c>
      <c r="B531" t="n">
        <v>134.8</v>
      </c>
      <c r="C531" t="n">
        <v>104.5</v>
      </c>
      <c r="D531" t="n">
        <v>135.7</v>
      </c>
      <c r="E531" t="n">
        <v>140.2</v>
      </c>
    </row>
    <row r="532">
      <c r="A532" s="96" t="n">
        <v>33298</v>
      </c>
      <c r="B532" t="n">
        <v>134.8</v>
      </c>
      <c r="C532" t="n">
        <v>101.9</v>
      </c>
      <c r="D532" t="n">
        <v>135.9</v>
      </c>
      <c r="E532" t="n">
        <v>140.5</v>
      </c>
    </row>
    <row r="533">
      <c r="A533" s="96" t="n">
        <v>33329</v>
      </c>
      <c r="B533" t="n">
        <v>135.1</v>
      </c>
      <c r="C533" t="n">
        <v>101.2</v>
      </c>
      <c r="D533" t="n">
        <v>136.6</v>
      </c>
      <c r="E533" t="n">
        <v>140.9</v>
      </c>
    </row>
    <row r="534">
      <c r="A534" s="96" t="n">
        <v>33359</v>
      </c>
      <c r="B534" t="n">
        <v>135.6</v>
      </c>
      <c r="C534" t="n">
        <v>102.1</v>
      </c>
      <c r="D534" t="n">
        <v>137.1</v>
      </c>
      <c r="E534" t="n">
        <v>141.3</v>
      </c>
    </row>
    <row r="535">
      <c r="A535" s="96" t="n">
        <v>33390</v>
      </c>
      <c r="B535" t="n">
        <v>136</v>
      </c>
      <c r="C535" t="n">
        <v>101.1</v>
      </c>
      <c r="D535" t="n">
        <v>137.8</v>
      </c>
      <c r="E535" t="n">
        <v>141.8</v>
      </c>
    </row>
    <row r="536">
      <c r="A536" s="96" t="n">
        <v>33420</v>
      </c>
      <c r="B536" t="n">
        <v>136.2</v>
      </c>
      <c r="C536" t="n">
        <v>100.7</v>
      </c>
      <c r="D536" t="n">
        <v>137.2</v>
      </c>
      <c r="E536" t="n">
        <v>142.3</v>
      </c>
    </row>
    <row r="537">
      <c r="A537" s="96" t="n">
        <v>33451</v>
      </c>
      <c r="B537" t="n">
        <v>136.6</v>
      </c>
      <c r="C537" t="n">
        <v>101.1</v>
      </c>
      <c r="D537" t="n">
        <v>136.8</v>
      </c>
      <c r="E537" t="n">
        <v>142.9</v>
      </c>
    </row>
    <row r="538">
      <c r="A538" s="96" t="n">
        <v>33482</v>
      </c>
      <c r="B538" t="n">
        <v>137</v>
      </c>
      <c r="C538" t="n">
        <v>101.5</v>
      </c>
      <c r="D538" t="n">
        <v>137</v>
      </c>
      <c r="E538" t="n">
        <v>143.4</v>
      </c>
    </row>
    <row r="539">
      <c r="A539" s="96" t="n">
        <v>33512</v>
      </c>
      <c r="B539" t="n">
        <v>137.2</v>
      </c>
      <c r="C539" t="n">
        <v>101.6</v>
      </c>
      <c r="D539" t="n">
        <v>136.9</v>
      </c>
      <c r="E539" t="n">
        <v>143.7</v>
      </c>
    </row>
    <row r="540">
      <c r="A540" s="96" t="n">
        <v>33543</v>
      </c>
      <c r="B540" t="n">
        <v>137.8</v>
      </c>
      <c r="C540" t="n">
        <v>102.4</v>
      </c>
      <c r="D540" t="n">
        <v>137.4</v>
      </c>
      <c r="E540" t="n">
        <v>144.2</v>
      </c>
    </row>
    <row r="541">
      <c r="A541" s="96" t="n">
        <v>33573</v>
      </c>
      <c r="B541" t="n">
        <v>138.2</v>
      </c>
      <c r="C541" t="n">
        <v>103.1</v>
      </c>
      <c r="D541" t="n">
        <v>137.6</v>
      </c>
      <c r="E541" t="n">
        <v>144.7</v>
      </c>
    </row>
    <row r="542">
      <c r="A542" s="96" t="n">
        <v>33604</v>
      </c>
      <c r="B542" t="n">
        <v>138.3</v>
      </c>
      <c r="C542" t="n">
        <v>101.5</v>
      </c>
      <c r="D542" t="n">
        <v>137.3</v>
      </c>
      <c r="E542" t="n">
        <v>145.1</v>
      </c>
    </row>
    <row r="543">
      <c r="A543" s="96" t="n">
        <v>33635</v>
      </c>
      <c r="B543" t="n">
        <v>138.6</v>
      </c>
      <c r="C543" t="n">
        <v>101.2</v>
      </c>
      <c r="D543" t="n">
        <v>137.8</v>
      </c>
      <c r="E543" t="n">
        <v>145.4</v>
      </c>
    </row>
    <row r="544">
      <c r="A544" s="96" t="n">
        <v>33664</v>
      </c>
      <c r="B544" t="n">
        <v>139.1</v>
      </c>
      <c r="C544" t="n">
        <v>101.2</v>
      </c>
      <c r="D544" t="n">
        <v>138.3</v>
      </c>
      <c r="E544" t="n">
        <v>145.9</v>
      </c>
    </row>
    <row r="545">
      <c r="A545" s="96" t="n">
        <v>33695</v>
      </c>
      <c r="B545" t="n">
        <v>139.4</v>
      </c>
      <c r="C545" t="n">
        <v>101.4</v>
      </c>
      <c r="D545" t="n">
        <v>138.2</v>
      </c>
      <c r="E545" t="n">
        <v>146.3</v>
      </c>
    </row>
    <row r="546">
      <c r="A546" s="96" t="n">
        <v>33725</v>
      </c>
      <c r="B546" t="n">
        <v>139.7</v>
      </c>
      <c r="C546" t="n">
        <v>102</v>
      </c>
      <c r="D546" t="n">
        <v>138.1</v>
      </c>
      <c r="E546" t="n">
        <v>146.8</v>
      </c>
    </row>
    <row r="547">
      <c r="A547" s="96" t="n">
        <v>33756</v>
      </c>
      <c r="B547" t="n">
        <v>140.1</v>
      </c>
      <c r="C547" t="n">
        <v>103.3</v>
      </c>
      <c r="D547" t="n">
        <v>138.4</v>
      </c>
      <c r="E547" t="n">
        <v>147.1</v>
      </c>
    </row>
    <row r="548">
      <c r="A548" s="96" t="n">
        <v>33786</v>
      </c>
      <c r="B548" t="n">
        <v>140.5</v>
      </c>
      <c r="C548" t="n">
        <v>103.7</v>
      </c>
      <c r="D548" t="n">
        <v>138.3</v>
      </c>
      <c r="E548" t="n">
        <v>147.6</v>
      </c>
    </row>
    <row r="549">
      <c r="A549" s="96" t="n">
        <v>33817</v>
      </c>
      <c r="B549" t="n">
        <v>140.8</v>
      </c>
      <c r="C549" t="n">
        <v>103.5</v>
      </c>
      <c r="D549" t="n">
        <v>139.1</v>
      </c>
      <c r="E549" t="n">
        <v>147.9</v>
      </c>
    </row>
    <row r="550">
      <c r="A550" s="96" t="n">
        <v>33848</v>
      </c>
      <c r="B550" t="n">
        <v>141.1</v>
      </c>
      <c r="C550" t="n">
        <v>103.6</v>
      </c>
      <c r="D550" t="n">
        <v>139.7</v>
      </c>
      <c r="E550" t="n">
        <v>148.1</v>
      </c>
    </row>
    <row r="551">
      <c r="A551" s="96" t="n">
        <v>33878</v>
      </c>
      <c r="B551" t="n">
        <v>141.7</v>
      </c>
      <c r="C551" t="n">
        <v>104.3</v>
      </c>
      <c r="D551" t="n">
        <v>139.7</v>
      </c>
      <c r="E551" t="n">
        <v>148.8</v>
      </c>
    </row>
    <row r="552">
      <c r="A552" s="96" t="n">
        <v>33909</v>
      </c>
      <c r="B552" t="n">
        <v>142.1</v>
      </c>
      <c r="C552" t="n">
        <v>105.1</v>
      </c>
      <c r="D552" t="n">
        <v>139.6</v>
      </c>
      <c r="E552" t="n">
        <v>149.2</v>
      </c>
    </row>
    <row r="553">
      <c r="A553" s="96" t="n">
        <v>33939</v>
      </c>
      <c r="B553" t="n">
        <v>142.3</v>
      </c>
      <c r="C553" t="n">
        <v>105.3</v>
      </c>
      <c r="D553" t="n">
        <v>139.6</v>
      </c>
      <c r="E553" t="n">
        <v>149.6</v>
      </c>
    </row>
    <row r="554">
      <c r="A554" s="96" t="n">
        <v>33970</v>
      </c>
      <c r="B554" t="n">
        <v>142.8</v>
      </c>
      <c r="C554" t="n">
        <v>105</v>
      </c>
      <c r="D554" t="n">
        <v>140</v>
      </c>
      <c r="E554" t="n">
        <v>150.1</v>
      </c>
    </row>
    <row r="555">
      <c r="A555" s="96" t="n">
        <v>34001</v>
      </c>
      <c r="B555" t="n">
        <v>143.1</v>
      </c>
      <c r="C555" t="n">
        <v>104.3</v>
      </c>
      <c r="D555" t="n">
        <v>140.4</v>
      </c>
      <c r="E555" t="n">
        <v>150.6</v>
      </c>
    </row>
    <row r="556">
      <c r="A556" s="96" t="n">
        <v>34029</v>
      </c>
      <c r="B556" t="n">
        <v>143.3</v>
      </c>
      <c r="C556" t="n">
        <v>104.9</v>
      </c>
      <c r="D556" t="n">
        <v>140.4</v>
      </c>
      <c r="E556" t="n">
        <v>150.8</v>
      </c>
    </row>
    <row r="557">
      <c r="A557" s="96" t="n">
        <v>34060</v>
      </c>
      <c r="B557" t="n">
        <v>143.8</v>
      </c>
      <c r="C557" t="n">
        <v>104.9</v>
      </c>
      <c r="D557" t="n">
        <v>140.8</v>
      </c>
      <c r="E557" t="n">
        <v>151.4</v>
      </c>
    </row>
    <row r="558">
      <c r="A558" s="96" t="n">
        <v>34090</v>
      </c>
      <c r="B558" t="n">
        <v>144.2</v>
      </c>
      <c r="C558" t="n">
        <v>104.3</v>
      </c>
      <c r="D558" t="n">
        <v>141.7</v>
      </c>
      <c r="E558" t="n">
        <v>151.8</v>
      </c>
    </row>
    <row r="559">
      <c r="A559" s="96" t="n">
        <v>34121</v>
      </c>
      <c r="B559" t="n">
        <v>144.3</v>
      </c>
      <c r="C559" t="n">
        <v>103.9</v>
      </c>
      <c r="D559" t="n">
        <v>141.4</v>
      </c>
      <c r="E559" t="n">
        <v>152.1</v>
      </c>
    </row>
    <row r="560">
      <c r="A560" s="96" t="n">
        <v>34151</v>
      </c>
      <c r="B560" t="n">
        <v>144.5</v>
      </c>
      <c r="C560" t="n">
        <v>103.4</v>
      </c>
      <c r="D560" t="n">
        <v>141.4</v>
      </c>
      <c r="E560" t="n">
        <v>152.3</v>
      </c>
    </row>
    <row r="561">
      <c r="A561" s="96" t="n">
        <v>34182</v>
      </c>
      <c r="B561" t="n">
        <v>144.8</v>
      </c>
      <c r="C561" t="n">
        <v>103.4</v>
      </c>
      <c r="D561" t="n">
        <v>141.9</v>
      </c>
      <c r="E561" t="n">
        <v>152.8</v>
      </c>
    </row>
    <row r="562">
      <c r="A562" s="96" t="n">
        <v>34213</v>
      </c>
      <c r="B562" t="n">
        <v>145</v>
      </c>
      <c r="C562" t="n">
        <v>103</v>
      </c>
      <c r="D562" t="n">
        <v>142.1</v>
      </c>
      <c r="E562" t="n">
        <v>152.9</v>
      </c>
    </row>
    <row r="563">
      <c r="A563" s="96" t="n">
        <v>34243</v>
      </c>
      <c r="B563" t="n">
        <v>145.6</v>
      </c>
      <c r="C563" t="n">
        <v>105.3</v>
      </c>
      <c r="D563" t="n">
        <v>142.7</v>
      </c>
      <c r="E563" t="n">
        <v>153.4</v>
      </c>
    </row>
    <row r="564">
      <c r="A564" s="96" t="n">
        <v>34274</v>
      </c>
      <c r="B564" t="n">
        <v>146</v>
      </c>
      <c r="C564" t="n">
        <v>104.4</v>
      </c>
      <c r="D564" t="n">
        <v>143</v>
      </c>
      <c r="E564" t="n">
        <v>153.9</v>
      </c>
    </row>
    <row r="565">
      <c r="A565" s="96" t="n">
        <v>34304</v>
      </c>
      <c r="B565" t="n">
        <v>146.3</v>
      </c>
      <c r="C565" t="n">
        <v>103.7</v>
      </c>
      <c r="D565" t="n">
        <v>143.5</v>
      </c>
      <c r="E565" t="n">
        <v>154.3</v>
      </c>
    </row>
    <row r="566">
      <c r="A566" s="96" t="n">
        <v>34335</v>
      </c>
      <c r="B566" t="n">
        <v>146.3</v>
      </c>
      <c r="C566" t="n">
        <v>102.8</v>
      </c>
      <c r="D566" t="n">
        <v>143.6</v>
      </c>
      <c r="E566" t="n">
        <v>154.5</v>
      </c>
    </row>
    <row r="567">
      <c r="A567" s="96" t="n">
        <v>34366</v>
      </c>
      <c r="B567" t="n">
        <v>146.7</v>
      </c>
      <c r="C567" t="n">
        <v>104.1</v>
      </c>
      <c r="D567" t="n">
        <v>143.4</v>
      </c>
      <c r="E567" t="n">
        <v>154.8</v>
      </c>
    </row>
    <row r="568">
      <c r="A568" s="96" t="n">
        <v>34394</v>
      </c>
      <c r="B568" t="n">
        <v>147.1</v>
      </c>
      <c r="C568" t="n">
        <v>104.3</v>
      </c>
      <c r="D568" t="n">
        <v>143.4</v>
      </c>
      <c r="E568" t="n">
        <v>155.3</v>
      </c>
    </row>
    <row r="569">
      <c r="A569" s="96" t="n">
        <v>34425</v>
      </c>
      <c r="B569" t="n">
        <v>147.2</v>
      </c>
      <c r="C569" t="n">
        <v>103.7</v>
      </c>
      <c r="D569" t="n">
        <v>143.7</v>
      </c>
      <c r="E569" t="n">
        <v>155.5</v>
      </c>
    </row>
    <row r="570">
      <c r="A570" s="96" t="n">
        <v>34455</v>
      </c>
      <c r="B570" t="n">
        <v>147.5</v>
      </c>
      <c r="C570" t="n">
        <v>102.8</v>
      </c>
      <c r="D570" t="n">
        <v>144</v>
      </c>
      <c r="E570" t="n">
        <v>155.9</v>
      </c>
    </row>
    <row r="571">
      <c r="A571" s="96" t="n">
        <v>34486</v>
      </c>
      <c r="B571" t="n">
        <v>147.9</v>
      </c>
      <c r="C571" t="n">
        <v>103.1</v>
      </c>
      <c r="D571" t="n">
        <v>144.4</v>
      </c>
      <c r="E571" t="n">
        <v>156.4</v>
      </c>
    </row>
    <row r="572">
      <c r="A572" s="96" t="n">
        <v>34516</v>
      </c>
      <c r="B572" t="n">
        <v>148.4</v>
      </c>
      <c r="C572" t="n">
        <v>104.5</v>
      </c>
      <c r="D572" t="n">
        <v>145.2</v>
      </c>
      <c r="E572" t="n">
        <v>156.7</v>
      </c>
    </row>
    <row r="573">
      <c r="A573" s="96" t="n">
        <v>34547</v>
      </c>
      <c r="B573" t="n">
        <v>149</v>
      </c>
      <c r="C573" t="n">
        <v>106.7</v>
      </c>
      <c r="D573" t="n">
        <v>145.6</v>
      </c>
      <c r="E573" t="n">
        <v>157.1</v>
      </c>
    </row>
    <row r="574">
      <c r="A574" s="96" t="n">
        <v>34578</v>
      </c>
      <c r="B574" t="n">
        <v>149.3</v>
      </c>
      <c r="C574" t="n">
        <v>106.1</v>
      </c>
      <c r="D574" t="n">
        <v>145.8</v>
      </c>
      <c r="E574" t="n">
        <v>157.5</v>
      </c>
    </row>
    <row r="575">
      <c r="A575" s="96" t="n">
        <v>34608</v>
      </c>
      <c r="B575" t="n">
        <v>149.4</v>
      </c>
      <c r="C575" t="n">
        <v>105.7</v>
      </c>
      <c r="D575" t="n">
        <v>145.8</v>
      </c>
      <c r="E575" t="n">
        <v>157.8</v>
      </c>
    </row>
    <row r="576">
      <c r="A576" s="96" t="n">
        <v>34639</v>
      </c>
      <c r="B576" t="n">
        <v>149.8</v>
      </c>
      <c r="C576" t="n">
        <v>106.1</v>
      </c>
      <c r="D576" t="n">
        <v>146.2</v>
      </c>
      <c r="E576" t="n">
        <v>158.2</v>
      </c>
    </row>
    <row r="577">
      <c r="A577" s="96" t="n">
        <v>34669</v>
      </c>
      <c r="B577" t="n">
        <v>150.1</v>
      </c>
      <c r="C577" t="n">
        <v>105.9</v>
      </c>
      <c r="D577" t="n">
        <v>147.2</v>
      </c>
      <c r="E577" t="n">
        <v>158.3</v>
      </c>
    </row>
    <row r="578">
      <c r="A578" s="96" t="n">
        <v>34700</v>
      </c>
      <c r="B578" t="n">
        <v>150.5</v>
      </c>
      <c r="C578" t="n">
        <v>105.7</v>
      </c>
      <c r="D578" t="n">
        <v>147.2</v>
      </c>
      <c r="E578" t="n">
        <v>159</v>
      </c>
    </row>
    <row r="579">
      <c r="A579" s="96" t="n">
        <v>34731</v>
      </c>
      <c r="B579" t="n">
        <v>150.9</v>
      </c>
      <c r="C579" t="n">
        <v>105.8</v>
      </c>
      <c r="D579" t="n">
        <v>147.7</v>
      </c>
      <c r="E579" t="n">
        <v>159.4</v>
      </c>
    </row>
    <row r="580">
      <c r="A580" s="96" t="n">
        <v>34759</v>
      </c>
      <c r="B580" t="n">
        <v>151.2</v>
      </c>
      <c r="C580" t="n">
        <v>105.5</v>
      </c>
      <c r="D580" t="n">
        <v>147.5</v>
      </c>
      <c r="E580" t="n">
        <v>159.9</v>
      </c>
    </row>
    <row r="581">
      <c r="A581" s="96" t="n">
        <v>34790</v>
      </c>
      <c r="B581" t="n">
        <v>151.8</v>
      </c>
      <c r="C581" t="n">
        <v>105.6</v>
      </c>
      <c r="D581" t="n">
        <v>148.5</v>
      </c>
      <c r="E581" t="n">
        <v>160.4</v>
      </c>
    </row>
    <row r="582">
      <c r="A582" s="96" t="n">
        <v>34820</v>
      </c>
      <c r="B582" t="n">
        <v>152.1</v>
      </c>
      <c r="C582" t="n">
        <v>105.8</v>
      </c>
      <c r="D582" t="n">
        <v>148.7</v>
      </c>
      <c r="E582" t="n">
        <v>160.7</v>
      </c>
    </row>
    <row r="583">
      <c r="A583" s="96" t="n">
        <v>34851</v>
      </c>
      <c r="B583" t="n">
        <v>152.4</v>
      </c>
      <c r="C583" t="n">
        <v>106.7</v>
      </c>
      <c r="D583" t="n">
        <v>148.8</v>
      </c>
      <c r="E583" t="n">
        <v>161.1</v>
      </c>
    </row>
    <row r="584">
      <c r="A584" s="96" t="n">
        <v>34881</v>
      </c>
      <c r="B584" t="n">
        <v>152.6</v>
      </c>
      <c r="C584" t="n">
        <v>105.8</v>
      </c>
      <c r="D584" t="n">
        <v>149</v>
      </c>
      <c r="E584" t="n">
        <v>161.4</v>
      </c>
    </row>
    <row r="585">
      <c r="A585" s="96" t="n">
        <v>34912</v>
      </c>
      <c r="B585" t="n">
        <v>152.9</v>
      </c>
      <c r="C585" t="n">
        <v>105.6</v>
      </c>
      <c r="D585" t="n">
        <v>149.1</v>
      </c>
      <c r="E585" t="n">
        <v>161.8</v>
      </c>
    </row>
    <row r="586">
      <c r="A586" s="96" t="n">
        <v>34943</v>
      </c>
      <c r="B586" t="n">
        <v>153.1</v>
      </c>
      <c r="C586" t="n">
        <v>104.1</v>
      </c>
      <c r="D586" t="n">
        <v>149.6</v>
      </c>
      <c r="E586" t="n">
        <v>162.2</v>
      </c>
    </row>
    <row r="587">
      <c r="A587" s="96" t="n">
        <v>34973</v>
      </c>
      <c r="B587" t="n">
        <v>153.5</v>
      </c>
      <c r="C587" t="n">
        <v>104.4</v>
      </c>
      <c r="D587" t="n">
        <v>150</v>
      </c>
      <c r="E587" t="n">
        <v>162.7</v>
      </c>
    </row>
    <row r="588">
      <c r="A588" s="96" t="n">
        <v>35004</v>
      </c>
      <c r="B588" t="n">
        <v>153.7</v>
      </c>
      <c r="C588" t="n">
        <v>103.4</v>
      </c>
      <c r="D588" t="n">
        <v>150</v>
      </c>
      <c r="E588" t="n">
        <v>163</v>
      </c>
    </row>
    <row r="589">
      <c r="A589" s="96" t="n">
        <v>35034</v>
      </c>
      <c r="B589" t="n">
        <v>153.9</v>
      </c>
      <c r="C589" t="n">
        <v>104.4</v>
      </c>
      <c r="D589" t="n">
        <v>150.3</v>
      </c>
      <c r="E589" t="n">
        <v>163.1</v>
      </c>
    </row>
    <row r="590">
      <c r="A590" s="96" t="n">
        <v>35065</v>
      </c>
      <c r="B590" t="n">
        <v>154.7</v>
      </c>
      <c r="C590" t="n">
        <v>106.9</v>
      </c>
      <c r="D590" t="n">
        <v>150.8</v>
      </c>
      <c r="E590" t="n">
        <v>163.7</v>
      </c>
    </row>
    <row r="591">
      <c r="A591" s="96" t="n">
        <v>35096</v>
      </c>
      <c r="B591" t="n">
        <v>155</v>
      </c>
      <c r="C591" t="n">
        <v>107.1</v>
      </c>
      <c r="D591" t="n">
        <v>151.2</v>
      </c>
      <c r="E591" t="n">
        <v>164</v>
      </c>
    </row>
    <row r="592">
      <c r="A592" s="96" t="n">
        <v>35125</v>
      </c>
      <c r="B592" t="n">
        <v>155.5</v>
      </c>
      <c r="C592" t="n">
        <v>108.3</v>
      </c>
      <c r="D592" t="n">
        <v>151.9</v>
      </c>
      <c r="E592" t="n">
        <v>164.4</v>
      </c>
    </row>
    <row r="593">
      <c r="A593" s="96" t="n">
        <v>35156</v>
      </c>
      <c r="B593" t="n">
        <v>156.1</v>
      </c>
      <c r="C593" t="n">
        <v>111.2</v>
      </c>
      <c r="D593" t="n">
        <v>152.5</v>
      </c>
      <c r="E593" t="n">
        <v>164.6</v>
      </c>
    </row>
    <row r="594">
      <c r="A594" s="96" t="n">
        <v>35186</v>
      </c>
      <c r="B594" t="n">
        <v>156.4</v>
      </c>
      <c r="C594" t="n">
        <v>112</v>
      </c>
      <c r="D594" t="n">
        <v>152.4</v>
      </c>
      <c r="E594" t="n">
        <v>165</v>
      </c>
    </row>
    <row r="595">
      <c r="A595" s="96" t="n">
        <v>35217</v>
      </c>
      <c r="B595" t="n">
        <v>156.7</v>
      </c>
      <c r="C595" t="n">
        <v>110.3</v>
      </c>
      <c r="D595" t="n">
        <v>153.3</v>
      </c>
      <c r="E595" t="n">
        <v>165.4</v>
      </c>
    </row>
    <row r="596">
      <c r="A596" s="96" t="n">
        <v>35247</v>
      </c>
      <c r="B596" t="n">
        <v>157</v>
      </c>
      <c r="C596" t="n">
        <v>110.1</v>
      </c>
      <c r="D596" t="n">
        <v>153.8</v>
      </c>
      <c r="E596" t="n">
        <v>165.7</v>
      </c>
    </row>
    <row r="597">
      <c r="A597" s="96" t="n">
        <v>35278</v>
      </c>
      <c r="B597" t="n">
        <v>157.2</v>
      </c>
      <c r="C597" t="n">
        <v>109.7</v>
      </c>
      <c r="D597" t="n">
        <v>154.3</v>
      </c>
      <c r="E597" t="n">
        <v>166</v>
      </c>
    </row>
    <row r="598">
      <c r="A598" s="96" t="n">
        <v>35309</v>
      </c>
      <c r="B598" t="n">
        <v>157.7</v>
      </c>
      <c r="C598" t="n">
        <v>109.8</v>
      </c>
      <c r="D598" t="n">
        <v>155</v>
      </c>
      <c r="E598" t="n">
        <v>166.5</v>
      </c>
    </row>
    <row r="599">
      <c r="A599" s="96" t="n">
        <v>35339</v>
      </c>
      <c r="B599" t="n">
        <v>158.2</v>
      </c>
      <c r="C599" t="n">
        <v>110.5</v>
      </c>
      <c r="D599" t="n">
        <v>155.9</v>
      </c>
      <c r="E599" t="n">
        <v>166.8</v>
      </c>
    </row>
    <row r="600">
      <c r="A600" s="96" t="n">
        <v>35370</v>
      </c>
      <c r="B600" t="n">
        <v>158.7</v>
      </c>
      <c r="C600" t="n">
        <v>111.8</v>
      </c>
      <c r="D600" t="n">
        <v>156.4</v>
      </c>
      <c r="E600" t="n">
        <v>167.2</v>
      </c>
    </row>
    <row r="601">
      <c r="A601" s="96" t="n">
        <v>35400</v>
      </c>
      <c r="B601" t="n">
        <v>159.1</v>
      </c>
      <c r="C601" t="n">
        <v>113.9</v>
      </c>
      <c r="D601" t="n">
        <v>156.6</v>
      </c>
      <c r="E601" t="n">
        <v>167.4</v>
      </c>
    </row>
    <row r="602">
      <c r="A602" s="96" t="n">
        <v>35431</v>
      </c>
      <c r="B602" t="n">
        <v>159.4</v>
      </c>
      <c r="C602" t="n">
        <v>115.2</v>
      </c>
      <c r="D602" t="n">
        <v>156.3</v>
      </c>
      <c r="E602" t="n">
        <v>167.8</v>
      </c>
    </row>
    <row r="603">
      <c r="A603" s="96" t="n">
        <v>35462</v>
      </c>
      <c r="B603" t="n">
        <v>159.7</v>
      </c>
      <c r="C603" t="n">
        <v>115</v>
      </c>
      <c r="D603" t="n">
        <v>156.9</v>
      </c>
      <c r="E603" t="n">
        <v>168.1</v>
      </c>
    </row>
    <row r="604">
      <c r="A604" s="96" t="n">
        <v>35490</v>
      </c>
      <c r="B604" t="n">
        <v>159.8</v>
      </c>
      <c r="C604" t="n">
        <v>113</v>
      </c>
      <c r="D604" t="n">
        <v>157</v>
      </c>
      <c r="E604" t="n">
        <v>168.4</v>
      </c>
    </row>
    <row r="605">
      <c r="A605" s="96" t="n">
        <v>35521</v>
      </c>
      <c r="B605" t="n">
        <v>159.9</v>
      </c>
      <c r="C605" t="n">
        <v>111</v>
      </c>
      <c r="D605" t="n">
        <v>157</v>
      </c>
      <c r="E605" t="n">
        <v>168.9</v>
      </c>
    </row>
    <row r="606">
      <c r="A606" s="96" t="n">
        <v>35551</v>
      </c>
      <c r="B606" t="n">
        <v>159.9</v>
      </c>
      <c r="C606" t="n">
        <v>108.8</v>
      </c>
      <c r="D606" t="n">
        <v>157.1</v>
      </c>
      <c r="E606" t="n">
        <v>169.2</v>
      </c>
    </row>
    <row r="607">
      <c r="A607" s="96" t="n">
        <v>35582</v>
      </c>
      <c r="B607" t="n">
        <v>160.2</v>
      </c>
      <c r="C607" t="n">
        <v>110</v>
      </c>
      <c r="D607" t="n">
        <v>157.4</v>
      </c>
      <c r="E607" t="n">
        <v>169.4</v>
      </c>
    </row>
    <row r="608">
      <c r="A608" s="96" t="n">
        <v>35612</v>
      </c>
      <c r="B608" t="n">
        <v>160.4</v>
      </c>
      <c r="C608" t="n">
        <v>109.1</v>
      </c>
      <c r="D608" t="n">
        <v>157.7</v>
      </c>
      <c r="E608" t="n">
        <v>169.7</v>
      </c>
    </row>
    <row r="609">
      <c r="A609" s="96" t="n">
        <v>35643</v>
      </c>
      <c r="B609" t="n">
        <v>160.8</v>
      </c>
      <c r="C609" t="n">
        <v>110.9</v>
      </c>
      <c r="D609" t="n">
        <v>158.2</v>
      </c>
      <c r="E609" t="n">
        <v>169.8</v>
      </c>
    </row>
    <row r="610">
      <c r="A610" s="96" t="n">
        <v>35674</v>
      </c>
      <c r="B610" t="n">
        <v>161.2</v>
      </c>
      <c r="C610" t="n">
        <v>112.4</v>
      </c>
      <c r="D610" t="n">
        <v>158.4</v>
      </c>
      <c r="E610" t="n">
        <v>170.2</v>
      </c>
    </row>
    <row r="611">
      <c r="A611" s="96" t="n">
        <v>35704</v>
      </c>
      <c r="B611" t="n">
        <v>161.5</v>
      </c>
      <c r="C611" t="n">
        <v>111.8</v>
      </c>
      <c r="D611" t="n">
        <v>158.7</v>
      </c>
      <c r="E611" t="n">
        <v>170.6</v>
      </c>
    </row>
    <row r="612">
      <c r="A612" s="96" t="n">
        <v>35735</v>
      </c>
      <c r="B612" t="n">
        <v>161.7</v>
      </c>
      <c r="C612" t="n">
        <v>111.4</v>
      </c>
      <c r="D612" t="n">
        <v>159</v>
      </c>
      <c r="E612" t="n">
        <v>170.8</v>
      </c>
    </row>
    <row r="613">
      <c r="A613" s="96" t="n">
        <v>35765</v>
      </c>
      <c r="B613" t="n">
        <v>161.8</v>
      </c>
      <c r="C613" t="n">
        <v>109.8</v>
      </c>
      <c r="D613" t="n">
        <v>159.2</v>
      </c>
      <c r="E613" t="n">
        <v>171.2</v>
      </c>
    </row>
    <row r="614">
      <c r="A614" s="96" t="n">
        <v>35796</v>
      </c>
      <c r="B614" t="n">
        <v>162</v>
      </c>
      <c r="C614" t="n">
        <v>107.5</v>
      </c>
      <c r="D614" t="n">
        <v>159.9</v>
      </c>
      <c r="E614" t="n">
        <v>171.6</v>
      </c>
    </row>
    <row r="615">
      <c r="A615" s="96" t="n">
        <v>35827</v>
      </c>
      <c r="B615" t="n">
        <v>162</v>
      </c>
      <c r="C615" t="n">
        <v>105.1</v>
      </c>
      <c r="D615" t="n">
        <v>159.9</v>
      </c>
      <c r="E615" t="n">
        <v>171.9</v>
      </c>
    </row>
    <row r="616">
      <c r="A616" s="96" t="n">
        <v>35855</v>
      </c>
      <c r="B616" t="n">
        <v>162</v>
      </c>
      <c r="C616" t="n">
        <v>103.3</v>
      </c>
      <c r="D616" t="n">
        <v>160.1</v>
      </c>
      <c r="E616" t="n">
        <v>172.2</v>
      </c>
    </row>
    <row r="617">
      <c r="A617" s="96" t="n">
        <v>35886</v>
      </c>
      <c r="B617" t="n">
        <v>162.2</v>
      </c>
      <c r="C617" t="n">
        <v>102.4</v>
      </c>
      <c r="D617" t="n">
        <v>160.2</v>
      </c>
      <c r="E617" t="n">
        <v>172.5</v>
      </c>
    </row>
    <row r="618">
      <c r="A618" s="96" t="n">
        <v>35916</v>
      </c>
      <c r="B618" t="n">
        <v>162.6</v>
      </c>
      <c r="C618" t="n">
        <v>103.2</v>
      </c>
      <c r="D618" t="n">
        <v>160.7</v>
      </c>
      <c r="E618" t="n">
        <v>172.9</v>
      </c>
    </row>
    <row r="619">
      <c r="A619" s="96" t="n">
        <v>35947</v>
      </c>
      <c r="B619" t="n">
        <v>162.8</v>
      </c>
      <c r="C619" t="n">
        <v>103.6</v>
      </c>
      <c r="D619" t="n">
        <v>160.6</v>
      </c>
      <c r="E619" t="n">
        <v>173.2</v>
      </c>
    </row>
    <row r="620">
      <c r="A620" s="96" t="n">
        <v>35977</v>
      </c>
      <c r="B620" t="n">
        <v>163.2</v>
      </c>
      <c r="C620" t="n">
        <v>103.3</v>
      </c>
      <c r="D620" t="n">
        <v>161</v>
      </c>
      <c r="E620" t="n">
        <v>173.5</v>
      </c>
    </row>
    <row r="621">
      <c r="A621" s="96" t="n">
        <v>36008</v>
      </c>
      <c r="B621" t="n">
        <v>163.4</v>
      </c>
      <c r="C621" t="n">
        <v>102.1</v>
      </c>
      <c r="D621" t="n">
        <v>161.4</v>
      </c>
      <c r="E621" t="n">
        <v>174</v>
      </c>
    </row>
    <row r="622">
      <c r="A622" s="96" t="n">
        <v>36039</v>
      </c>
      <c r="B622" t="n">
        <v>163.5</v>
      </c>
      <c r="C622" t="n">
        <v>101.3</v>
      </c>
      <c r="D622" t="n">
        <v>161.5</v>
      </c>
      <c r="E622" t="n">
        <v>174.2</v>
      </c>
    </row>
    <row r="623">
      <c r="A623" s="96" t="n">
        <v>36069</v>
      </c>
      <c r="B623" t="n">
        <v>163.9</v>
      </c>
      <c r="C623" t="n">
        <v>101.5</v>
      </c>
      <c r="D623" t="n">
        <v>162.4</v>
      </c>
      <c r="E623" t="n">
        <v>174.4</v>
      </c>
    </row>
    <row r="624">
      <c r="A624" s="96" t="n">
        <v>36100</v>
      </c>
      <c r="B624" t="n">
        <v>164.1</v>
      </c>
      <c r="C624" t="n">
        <v>101.1</v>
      </c>
      <c r="D624" t="n">
        <v>162.7</v>
      </c>
      <c r="E624" t="n">
        <v>174.8</v>
      </c>
    </row>
    <row r="625">
      <c r="A625" s="96" t="n">
        <v>36130</v>
      </c>
      <c r="B625" t="n">
        <v>164.4</v>
      </c>
      <c r="C625" t="n">
        <v>100.1</v>
      </c>
      <c r="D625" t="n">
        <v>162.8</v>
      </c>
      <c r="E625" t="n">
        <v>175.4</v>
      </c>
    </row>
    <row r="626">
      <c r="A626" s="96" t="n">
        <v>36161</v>
      </c>
      <c r="B626" t="n">
        <v>164.7</v>
      </c>
      <c r="C626" t="n">
        <v>99.7</v>
      </c>
      <c r="D626" t="n">
        <v>163.4</v>
      </c>
      <c r="E626" t="n">
        <v>175.6</v>
      </c>
    </row>
    <row r="627">
      <c r="A627" s="96" t="n">
        <v>36192</v>
      </c>
      <c r="B627" t="n">
        <v>164.7</v>
      </c>
      <c r="C627" t="n">
        <v>99.2</v>
      </c>
      <c r="D627" t="n">
        <v>163.8</v>
      </c>
      <c r="E627" t="n">
        <v>175.6</v>
      </c>
    </row>
    <row r="628">
      <c r="A628" s="96" t="n">
        <v>36220</v>
      </c>
      <c r="B628" t="n">
        <v>164.8</v>
      </c>
      <c r="C628" t="n">
        <v>100.4</v>
      </c>
      <c r="D628" t="n">
        <v>163.7</v>
      </c>
      <c r="E628" t="n">
        <v>175.7</v>
      </c>
    </row>
    <row r="629">
      <c r="A629" s="96" t="n">
        <v>36251</v>
      </c>
      <c r="B629" t="n">
        <v>165.9</v>
      </c>
      <c r="C629" t="n">
        <v>105.5</v>
      </c>
      <c r="D629" t="n">
        <v>163.9</v>
      </c>
      <c r="E629" t="n">
        <v>176.3</v>
      </c>
    </row>
    <row r="630">
      <c r="A630" s="96" t="n">
        <v>36281</v>
      </c>
      <c r="B630" t="n">
        <v>166</v>
      </c>
      <c r="C630" t="n">
        <v>104.9</v>
      </c>
      <c r="D630" t="n">
        <v>164.2</v>
      </c>
      <c r="E630" t="n">
        <v>176.5</v>
      </c>
    </row>
    <row r="631">
      <c r="A631" s="96" t="n">
        <v>36312</v>
      </c>
      <c r="B631" t="n">
        <v>166</v>
      </c>
      <c r="C631" t="n">
        <v>104.5</v>
      </c>
      <c r="D631" t="n">
        <v>164.1</v>
      </c>
      <c r="E631" t="n">
        <v>176.6</v>
      </c>
    </row>
    <row r="632">
      <c r="A632" s="96" t="n">
        <v>36342</v>
      </c>
      <c r="B632" t="n">
        <v>166.7</v>
      </c>
      <c r="C632" t="n">
        <v>106.7</v>
      </c>
      <c r="D632" t="n">
        <v>164.4</v>
      </c>
      <c r="E632" t="n">
        <v>177.1</v>
      </c>
    </row>
    <row r="633">
      <c r="A633" s="96" t="n">
        <v>36373</v>
      </c>
      <c r="B633" t="n">
        <v>167.1</v>
      </c>
      <c r="C633" t="n">
        <v>109.5</v>
      </c>
      <c r="D633" t="n">
        <v>164.7</v>
      </c>
      <c r="E633" t="n">
        <v>177.3</v>
      </c>
    </row>
    <row r="634">
      <c r="A634" s="96" t="n">
        <v>36404</v>
      </c>
      <c r="B634" t="n">
        <v>167.8</v>
      </c>
      <c r="C634" t="n">
        <v>111.8</v>
      </c>
      <c r="D634" t="n">
        <v>165.1</v>
      </c>
      <c r="E634" t="n">
        <v>177.8</v>
      </c>
    </row>
    <row r="635">
      <c r="A635" s="96" t="n">
        <v>36434</v>
      </c>
      <c r="B635" t="n">
        <v>168.1</v>
      </c>
      <c r="C635" t="n">
        <v>112</v>
      </c>
      <c r="D635" t="n">
        <v>165.5</v>
      </c>
      <c r="E635" t="n">
        <v>178.1</v>
      </c>
    </row>
    <row r="636">
      <c r="A636" s="96" t="n">
        <v>36465</v>
      </c>
      <c r="B636" t="n">
        <v>168.4</v>
      </c>
      <c r="C636" t="n">
        <v>111.5</v>
      </c>
      <c r="D636" t="n">
        <v>165.8</v>
      </c>
      <c r="E636" t="n">
        <v>178.4</v>
      </c>
    </row>
    <row r="637">
      <c r="A637" s="96" t="n">
        <v>36495</v>
      </c>
      <c r="B637" t="n">
        <v>168.8</v>
      </c>
      <c r="C637" t="n">
        <v>113.8</v>
      </c>
      <c r="D637" t="n">
        <v>166</v>
      </c>
      <c r="E637" t="n">
        <v>178.7</v>
      </c>
    </row>
    <row r="638">
      <c r="A638" s="96" t="n">
        <v>36526</v>
      </c>
      <c r="B638" t="n">
        <v>169.3</v>
      </c>
      <c r="C638" t="n">
        <v>115</v>
      </c>
      <c r="D638" t="n">
        <v>166.1</v>
      </c>
      <c r="E638" t="n">
        <v>179.3</v>
      </c>
    </row>
    <row r="639">
      <c r="A639" s="96" t="n">
        <v>36557</v>
      </c>
      <c r="B639" t="n">
        <v>170</v>
      </c>
      <c r="C639" t="n">
        <v>118.8</v>
      </c>
      <c r="D639" t="n">
        <v>166.7</v>
      </c>
      <c r="E639" t="n">
        <v>179.4</v>
      </c>
    </row>
    <row r="640">
      <c r="A640" s="96" t="n">
        <v>36586</v>
      </c>
      <c r="B640" t="n">
        <v>171</v>
      </c>
      <c r="C640" t="n">
        <v>124.3</v>
      </c>
      <c r="D640" t="n">
        <v>167.1</v>
      </c>
      <c r="E640" t="n">
        <v>180</v>
      </c>
    </row>
    <row r="641">
      <c r="A641" s="96" t="n">
        <v>36617</v>
      </c>
      <c r="B641" t="n">
        <v>170.9</v>
      </c>
      <c r="C641" t="n">
        <v>120.9</v>
      </c>
      <c r="D641" t="n">
        <v>167.2</v>
      </c>
      <c r="E641" t="n">
        <v>180.3</v>
      </c>
    </row>
    <row r="642">
      <c r="A642" s="96" t="n">
        <v>36647</v>
      </c>
      <c r="B642" t="n">
        <v>171.2</v>
      </c>
      <c r="C642" t="n">
        <v>120</v>
      </c>
      <c r="D642" t="n">
        <v>167.8</v>
      </c>
      <c r="E642" t="n">
        <v>180.7</v>
      </c>
    </row>
    <row r="643">
      <c r="A643" s="96" t="n">
        <v>36678</v>
      </c>
      <c r="B643" t="n">
        <v>172.2</v>
      </c>
      <c r="C643" t="n">
        <v>126.8</v>
      </c>
      <c r="D643" t="n">
        <v>168</v>
      </c>
      <c r="E643" t="n">
        <v>181.1</v>
      </c>
    </row>
    <row r="644">
      <c r="A644" s="96" t="n">
        <v>36708</v>
      </c>
      <c r="B644" t="n">
        <v>172.7</v>
      </c>
      <c r="C644" t="n">
        <v>127.3</v>
      </c>
      <c r="D644" t="n">
        <v>168.8</v>
      </c>
      <c r="E644" t="n">
        <v>181.5</v>
      </c>
    </row>
    <row r="645">
      <c r="A645" s="96" t="n">
        <v>36739</v>
      </c>
      <c r="B645" t="n">
        <v>172.7</v>
      </c>
      <c r="C645" t="n">
        <v>123.8</v>
      </c>
      <c r="D645" t="n">
        <v>169.3</v>
      </c>
      <c r="E645" t="n">
        <v>181.9</v>
      </c>
    </row>
    <row r="646">
      <c r="A646" s="96" t="n">
        <v>36770</v>
      </c>
      <c r="B646" t="n">
        <v>173.6</v>
      </c>
      <c r="C646" t="n">
        <v>129.2</v>
      </c>
      <c r="D646" t="n">
        <v>169.4</v>
      </c>
      <c r="E646" t="n">
        <v>182.3</v>
      </c>
    </row>
    <row r="647">
      <c r="A647" s="96" t="n">
        <v>36800</v>
      </c>
      <c r="B647" t="n">
        <v>173.9</v>
      </c>
      <c r="C647" t="n">
        <v>129.6</v>
      </c>
      <c r="D647" t="n">
        <v>169.6</v>
      </c>
      <c r="E647" t="n">
        <v>182.6</v>
      </c>
    </row>
    <row r="648">
      <c r="A648" s="96" t="n">
        <v>36831</v>
      </c>
      <c r="B648" t="n">
        <v>174.2</v>
      </c>
      <c r="C648" t="n">
        <v>129.2</v>
      </c>
      <c r="D648" t="n">
        <v>169.7</v>
      </c>
      <c r="E648" t="n">
        <v>183.1</v>
      </c>
    </row>
    <row r="649">
      <c r="A649" s="96" t="n">
        <v>36861</v>
      </c>
      <c r="B649" t="n">
        <v>174.6</v>
      </c>
      <c r="C649" t="n">
        <v>130.1</v>
      </c>
      <c r="D649" t="n">
        <v>170.5</v>
      </c>
      <c r="E649" t="n">
        <v>183.3</v>
      </c>
    </row>
    <row r="650">
      <c r="A650" s="96" t="n">
        <v>36892</v>
      </c>
      <c r="B650" t="n">
        <v>175.6</v>
      </c>
      <c r="C650" t="n">
        <v>135</v>
      </c>
      <c r="D650" t="n">
        <v>170.9</v>
      </c>
      <c r="E650" t="n">
        <v>183.9</v>
      </c>
    </row>
    <row r="651">
      <c r="A651" s="96" t="n">
        <v>36923</v>
      </c>
      <c r="B651" t="n">
        <v>176</v>
      </c>
      <c r="C651" t="n">
        <v>134.1</v>
      </c>
      <c r="D651" t="n">
        <v>171.7</v>
      </c>
      <c r="E651" t="n">
        <v>184.4</v>
      </c>
    </row>
    <row r="652">
      <c r="A652" s="96" t="n">
        <v>36951</v>
      </c>
      <c r="B652" t="n">
        <v>176.1</v>
      </c>
      <c r="C652" t="n">
        <v>131.7</v>
      </c>
      <c r="D652" t="n">
        <v>172.2</v>
      </c>
      <c r="E652" t="n">
        <v>184.7</v>
      </c>
    </row>
    <row r="653">
      <c r="A653" s="96" t="n">
        <v>36982</v>
      </c>
      <c r="B653" t="n">
        <v>176.4</v>
      </c>
      <c r="C653" t="n">
        <v>132.3</v>
      </c>
      <c r="D653" t="n">
        <v>172.6</v>
      </c>
      <c r="E653" t="n">
        <v>185.1</v>
      </c>
    </row>
    <row r="654">
      <c r="A654" s="96" t="n">
        <v>37012</v>
      </c>
      <c r="B654" t="n">
        <v>177.3</v>
      </c>
      <c r="C654" t="n">
        <v>138.4</v>
      </c>
      <c r="D654" t="n">
        <v>172.9</v>
      </c>
      <c r="E654" t="n">
        <v>185.3</v>
      </c>
    </row>
    <row r="655">
      <c r="A655" s="96" t="n">
        <v>37043</v>
      </c>
      <c r="B655" t="n">
        <v>177.7</v>
      </c>
      <c r="C655" t="n">
        <v>136.9</v>
      </c>
      <c r="D655" t="n">
        <v>173.5</v>
      </c>
      <c r="E655" t="n">
        <v>186</v>
      </c>
    </row>
    <row r="656">
      <c r="A656" s="96" t="n">
        <v>37073</v>
      </c>
      <c r="B656" t="n">
        <v>177.4</v>
      </c>
      <c r="C656" t="n">
        <v>129.6</v>
      </c>
      <c r="D656" t="n">
        <v>174.1</v>
      </c>
      <c r="E656" t="n">
        <v>186.4</v>
      </c>
    </row>
    <row r="657">
      <c r="A657" s="96" t="n">
        <v>37104</v>
      </c>
      <c r="B657" t="n">
        <v>177.4</v>
      </c>
      <c r="C657" t="n">
        <v>127.3</v>
      </c>
      <c r="D657" t="n">
        <v>174.5</v>
      </c>
      <c r="E657" t="n">
        <v>186.7</v>
      </c>
    </row>
    <row r="658">
      <c r="A658" s="96" t="n">
        <v>37135</v>
      </c>
      <c r="B658" t="n">
        <v>178.1</v>
      </c>
      <c r="C658" t="n">
        <v>130.9</v>
      </c>
      <c r="D658" t="n">
        <v>174.7</v>
      </c>
      <c r="E658" t="n">
        <v>187.1</v>
      </c>
    </row>
    <row r="659">
      <c r="A659" s="96" t="n">
        <v>37165</v>
      </c>
      <c r="B659" t="n">
        <v>177.6</v>
      </c>
      <c r="C659" t="n">
        <v>122.9</v>
      </c>
      <c r="D659" t="n">
        <v>175.3</v>
      </c>
      <c r="E659" t="n">
        <v>187.4</v>
      </c>
    </row>
    <row r="660">
      <c r="A660" s="96" t="n">
        <v>37196</v>
      </c>
      <c r="B660" t="n">
        <v>177.5</v>
      </c>
      <c r="C660" t="n">
        <v>116.9</v>
      </c>
      <c r="D660" t="n">
        <v>175.4</v>
      </c>
      <c r="E660" t="n">
        <v>188.1</v>
      </c>
    </row>
    <row r="661">
      <c r="A661" s="96" t="n">
        <v>37226</v>
      </c>
      <c r="B661" t="n">
        <v>177.4</v>
      </c>
      <c r="C661" t="n">
        <v>113.9</v>
      </c>
      <c r="D661" t="n">
        <v>175.2</v>
      </c>
      <c r="E661" t="n">
        <v>188.4</v>
      </c>
    </row>
    <row r="662">
      <c r="A662" s="96" t="n">
        <v>37257</v>
      </c>
      <c r="B662" t="n">
        <v>177.7</v>
      </c>
      <c r="C662" t="n">
        <v>114.2</v>
      </c>
      <c r="D662" t="n">
        <v>175.8</v>
      </c>
      <c r="E662" t="n">
        <v>188.7</v>
      </c>
    </row>
    <row r="663">
      <c r="A663" s="96" t="n">
        <v>37288</v>
      </c>
      <c r="B663" t="n">
        <v>178</v>
      </c>
      <c r="C663" t="n">
        <v>113.5</v>
      </c>
      <c r="D663" t="n">
        <v>176.2</v>
      </c>
      <c r="E663" t="n">
        <v>189.1</v>
      </c>
    </row>
    <row r="664">
      <c r="A664" s="96" t="n">
        <v>37316</v>
      </c>
      <c r="B664" t="n">
        <v>178.5</v>
      </c>
      <c r="C664" t="n">
        <v>117.6</v>
      </c>
      <c r="D664" t="n">
        <v>176.6</v>
      </c>
      <c r="E664" t="n">
        <v>189.2</v>
      </c>
    </row>
    <row r="665">
      <c r="A665" s="96" t="n">
        <v>37347</v>
      </c>
      <c r="B665" t="n">
        <v>179.3</v>
      </c>
      <c r="C665" t="n">
        <v>121.5</v>
      </c>
      <c r="D665" t="n">
        <v>176.9</v>
      </c>
      <c r="E665" t="n">
        <v>189.7</v>
      </c>
    </row>
    <row r="666">
      <c r="A666" s="96" t="n">
        <v>37377</v>
      </c>
      <c r="B666" t="n">
        <v>179.5</v>
      </c>
      <c r="C666" t="n">
        <v>121.9</v>
      </c>
      <c r="D666" t="n">
        <v>176.4</v>
      </c>
      <c r="E666" t="n">
        <v>190</v>
      </c>
    </row>
    <row r="667">
      <c r="A667" s="96" t="n">
        <v>37408</v>
      </c>
      <c r="B667" t="n">
        <v>179.6</v>
      </c>
      <c r="C667" t="n">
        <v>121.6</v>
      </c>
      <c r="D667" t="n">
        <v>176.5</v>
      </c>
      <c r="E667" t="n">
        <v>190.2</v>
      </c>
    </row>
    <row r="668">
      <c r="A668" s="96" t="n">
        <v>37438</v>
      </c>
      <c r="B668" t="n">
        <v>180</v>
      </c>
      <c r="C668" t="n">
        <v>122.4</v>
      </c>
      <c r="D668" t="n">
        <v>176.7</v>
      </c>
      <c r="E668" t="n">
        <v>190.5</v>
      </c>
    </row>
    <row r="669">
      <c r="A669" s="96" t="n">
        <v>37469</v>
      </c>
      <c r="B669" t="n">
        <v>180.5</v>
      </c>
      <c r="C669" t="n">
        <v>123.1</v>
      </c>
      <c r="D669" t="n">
        <v>176.7</v>
      </c>
      <c r="E669" t="n">
        <v>191.1</v>
      </c>
    </row>
    <row r="670">
      <c r="A670" s="96" t="n">
        <v>37500</v>
      </c>
      <c r="B670" t="n">
        <v>180.8</v>
      </c>
      <c r="C670" t="n">
        <v>123.7</v>
      </c>
      <c r="D670" t="n">
        <v>177</v>
      </c>
      <c r="E670" t="n">
        <v>191.3</v>
      </c>
    </row>
    <row r="671">
      <c r="A671" s="96" t="n">
        <v>37530</v>
      </c>
      <c r="B671" t="n">
        <v>181.2</v>
      </c>
      <c r="C671" t="n">
        <v>126.9</v>
      </c>
      <c r="D671" t="n">
        <v>177</v>
      </c>
      <c r="E671" t="n">
        <v>191.5</v>
      </c>
    </row>
    <row r="672">
      <c r="A672" s="96" t="n">
        <v>37561</v>
      </c>
      <c r="B672" t="n">
        <v>181.5</v>
      </c>
      <c r="C672" t="n">
        <v>126.7</v>
      </c>
      <c r="D672" t="n">
        <v>177.5</v>
      </c>
      <c r="E672" t="n">
        <v>191.9</v>
      </c>
    </row>
    <row r="673">
      <c r="A673" s="96" t="n">
        <v>37591</v>
      </c>
      <c r="B673" t="n">
        <v>181.8</v>
      </c>
      <c r="C673" t="n">
        <v>127.1</v>
      </c>
      <c r="D673" t="n">
        <v>177.7</v>
      </c>
      <c r="E673" t="n">
        <v>192.1</v>
      </c>
    </row>
    <row r="674">
      <c r="A674" s="96" t="n">
        <v>37622</v>
      </c>
      <c r="B674" t="n">
        <v>182.6</v>
      </c>
      <c r="C674" t="n">
        <v>133.5</v>
      </c>
      <c r="D674" t="n">
        <v>177.7</v>
      </c>
      <c r="E674" t="n">
        <v>192.4</v>
      </c>
    </row>
    <row r="675">
      <c r="A675" s="96" t="n">
        <v>37653</v>
      </c>
      <c r="B675" t="n">
        <v>183.6</v>
      </c>
      <c r="C675" t="n">
        <v>140.8</v>
      </c>
      <c r="D675" t="n">
        <v>178.7</v>
      </c>
      <c r="E675" t="n">
        <v>192.5</v>
      </c>
    </row>
    <row r="676">
      <c r="A676" s="96" t="n">
        <v>37681</v>
      </c>
      <c r="B676" t="n">
        <v>183.9</v>
      </c>
      <c r="C676" t="n">
        <v>143.9</v>
      </c>
      <c r="D676" t="n">
        <v>179</v>
      </c>
      <c r="E676" t="n">
        <v>192.5</v>
      </c>
    </row>
    <row r="677">
      <c r="A677" s="96" t="n">
        <v>37712</v>
      </c>
      <c r="B677" t="n">
        <v>183.2</v>
      </c>
      <c r="C677" t="n">
        <v>136.5</v>
      </c>
      <c r="D677" t="n">
        <v>179.1</v>
      </c>
      <c r="E677" t="n">
        <v>192.5</v>
      </c>
    </row>
    <row r="678">
      <c r="A678" s="96" t="n">
        <v>37742</v>
      </c>
      <c r="B678" t="n">
        <v>182.9</v>
      </c>
      <c r="C678" t="n">
        <v>129.4</v>
      </c>
      <c r="D678" t="n">
        <v>179.4</v>
      </c>
      <c r="E678" t="n">
        <v>192.9</v>
      </c>
    </row>
    <row r="679">
      <c r="A679" s="96" t="n">
        <v>37773</v>
      </c>
      <c r="B679" t="n">
        <v>183.1</v>
      </c>
      <c r="C679" t="n">
        <v>129.8</v>
      </c>
      <c r="D679" t="n">
        <v>180.3</v>
      </c>
      <c r="E679" t="n">
        <v>193</v>
      </c>
    </row>
    <row r="680">
      <c r="A680" s="96" t="n">
        <v>37803</v>
      </c>
      <c r="B680" t="n">
        <v>183.7</v>
      </c>
      <c r="C680" t="n">
        <v>132.2</v>
      </c>
      <c r="D680" t="n">
        <v>180.4</v>
      </c>
      <c r="E680" t="n">
        <v>193.4</v>
      </c>
    </row>
    <row r="681">
      <c r="A681" s="96" t="n">
        <v>37834</v>
      </c>
      <c r="B681" t="n">
        <v>184.5</v>
      </c>
      <c r="C681" t="n">
        <v>137.8</v>
      </c>
      <c r="D681" t="n">
        <v>181.1</v>
      </c>
      <c r="E681" t="n">
        <v>193.6</v>
      </c>
    </row>
    <row r="682">
      <c r="A682" s="96" t="n">
        <v>37865</v>
      </c>
      <c r="B682" t="n">
        <v>185.1</v>
      </c>
      <c r="C682" t="n">
        <v>142.9</v>
      </c>
      <c r="D682" t="n">
        <v>181.5</v>
      </c>
      <c r="E682" t="n">
        <v>193.7</v>
      </c>
    </row>
    <row r="683">
      <c r="A683" s="96" t="n">
        <v>37895</v>
      </c>
      <c r="B683" t="n">
        <v>184.9</v>
      </c>
      <c r="C683" t="n">
        <v>137.8</v>
      </c>
      <c r="D683" t="n">
        <v>182.2</v>
      </c>
      <c r="E683" t="n">
        <v>194</v>
      </c>
    </row>
    <row r="684">
      <c r="A684" s="96" t="n">
        <v>37926</v>
      </c>
      <c r="B684" t="n">
        <v>185</v>
      </c>
      <c r="C684" t="n">
        <v>136.9</v>
      </c>
      <c r="D684" t="n">
        <v>183.1</v>
      </c>
      <c r="E684" t="n">
        <v>194</v>
      </c>
    </row>
    <row r="685">
      <c r="A685" s="96" t="n">
        <v>37956</v>
      </c>
      <c r="B685" t="n">
        <v>185.5</v>
      </c>
      <c r="C685" t="n">
        <v>138.8</v>
      </c>
      <c r="D685" t="n">
        <v>184</v>
      </c>
      <c r="E685" t="n">
        <v>194.2</v>
      </c>
    </row>
    <row r="686">
      <c r="A686" s="96" t="n">
        <v>37987</v>
      </c>
      <c r="B686" t="n">
        <v>186.3</v>
      </c>
      <c r="C686" t="n">
        <v>143.9</v>
      </c>
      <c r="D686" t="n">
        <v>183.9</v>
      </c>
      <c r="E686" t="n">
        <v>194.6</v>
      </c>
    </row>
    <row r="687">
      <c r="A687" s="96" t="n">
        <v>38018</v>
      </c>
      <c r="B687" t="n">
        <v>186.7</v>
      </c>
      <c r="C687" t="n">
        <v>145.8</v>
      </c>
      <c r="D687" t="n">
        <v>184.3</v>
      </c>
      <c r="E687" t="n">
        <v>194.9</v>
      </c>
    </row>
    <row r="688">
      <c r="A688" s="96" t="n">
        <v>38047</v>
      </c>
      <c r="B688" t="n">
        <v>187.1</v>
      </c>
      <c r="C688" t="n">
        <v>145.1</v>
      </c>
      <c r="D688" t="n">
        <v>184.7</v>
      </c>
      <c r="E688" t="n">
        <v>195.5</v>
      </c>
    </row>
    <row r="689">
      <c r="A689" s="96" t="n">
        <v>38078</v>
      </c>
      <c r="B689" t="n">
        <v>187.4</v>
      </c>
      <c r="C689" t="n">
        <v>143.4</v>
      </c>
      <c r="D689" t="n">
        <v>185.1</v>
      </c>
      <c r="E689" t="n">
        <v>195.9</v>
      </c>
    </row>
    <row r="690">
      <c r="A690" s="96" t="n">
        <v>38108</v>
      </c>
      <c r="B690" t="n">
        <v>188.2</v>
      </c>
      <c r="C690" t="n">
        <v>147.6</v>
      </c>
      <c r="D690" t="n">
        <v>186.5</v>
      </c>
      <c r="E690" t="n">
        <v>196.2</v>
      </c>
    </row>
    <row r="691">
      <c r="A691" s="96" t="n">
        <v>38139</v>
      </c>
      <c r="B691" t="n">
        <v>188.9</v>
      </c>
      <c r="C691" t="n">
        <v>151.5</v>
      </c>
      <c r="D691" t="n">
        <v>186.9</v>
      </c>
      <c r="E691" t="n">
        <v>196.6</v>
      </c>
    </row>
    <row r="692">
      <c r="A692" s="96" t="n">
        <v>38169</v>
      </c>
      <c r="B692" t="n">
        <v>189.1</v>
      </c>
      <c r="C692" t="n">
        <v>151.1</v>
      </c>
      <c r="D692" t="n">
        <v>187.3</v>
      </c>
      <c r="E692" t="n">
        <v>196.8</v>
      </c>
    </row>
    <row r="693">
      <c r="A693" s="96" t="n">
        <v>38200</v>
      </c>
      <c r="B693" t="n">
        <v>189.2</v>
      </c>
      <c r="C693" t="n">
        <v>151.5</v>
      </c>
      <c r="D693" t="n">
        <v>187.5</v>
      </c>
      <c r="E693" t="n">
        <v>196.9</v>
      </c>
    </row>
    <row r="694">
      <c r="A694" s="96" t="n">
        <v>38231</v>
      </c>
      <c r="B694" t="n">
        <v>189.8</v>
      </c>
      <c r="C694" t="n">
        <v>152.9</v>
      </c>
      <c r="D694" t="n">
        <v>187.4</v>
      </c>
      <c r="E694" t="n">
        <v>197.5</v>
      </c>
    </row>
    <row r="695">
      <c r="A695" s="96" t="n">
        <v>38261</v>
      </c>
      <c r="B695" t="n">
        <v>190.8</v>
      </c>
      <c r="C695" t="n">
        <v>158.6</v>
      </c>
      <c r="D695" t="n">
        <v>188.3</v>
      </c>
      <c r="E695" t="n">
        <v>197.9</v>
      </c>
    </row>
    <row r="696">
      <c r="A696" s="96" t="n">
        <v>38292</v>
      </c>
      <c r="B696" t="n">
        <v>191.7</v>
      </c>
      <c r="C696" t="n">
        <v>163.8</v>
      </c>
      <c r="D696" t="n">
        <v>188.9</v>
      </c>
      <c r="E696" t="n">
        <v>198.3</v>
      </c>
    </row>
    <row r="697">
      <c r="A697" s="96" t="n">
        <v>38322</v>
      </c>
      <c r="B697" t="n">
        <v>191.7</v>
      </c>
      <c r="C697" t="n">
        <v>162.3</v>
      </c>
      <c r="D697" t="n">
        <v>188.9</v>
      </c>
      <c r="E697" t="n">
        <v>198.6</v>
      </c>
    </row>
    <row r="698">
      <c r="A698" s="96" t="n">
        <v>38353</v>
      </c>
      <c r="B698" t="n">
        <v>191.6</v>
      </c>
      <c r="C698" t="n">
        <v>157.2</v>
      </c>
      <c r="D698" t="n">
        <v>189.1</v>
      </c>
      <c r="E698" t="n">
        <v>199</v>
      </c>
    </row>
    <row r="699">
      <c r="A699" s="96" t="n">
        <v>38384</v>
      </c>
      <c r="B699" t="n">
        <v>192.4</v>
      </c>
      <c r="C699" t="n">
        <v>161.8</v>
      </c>
      <c r="D699" t="n">
        <v>189.2</v>
      </c>
      <c r="E699" t="n">
        <v>199.4</v>
      </c>
    </row>
    <row r="700">
      <c r="A700" s="96" t="n">
        <v>38412</v>
      </c>
      <c r="B700" t="n">
        <v>193.1</v>
      </c>
      <c r="C700" t="n">
        <v>163.5</v>
      </c>
      <c r="D700" t="n">
        <v>189.6</v>
      </c>
      <c r="E700" t="n">
        <v>200.1</v>
      </c>
    </row>
    <row r="701">
      <c r="A701" s="96" t="n">
        <v>38443</v>
      </c>
      <c r="B701" t="n">
        <v>193.7</v>
      </c>
      <c r="C701" t="n">
        <v>166.7</v>
      </c>
      <c r="D701" t="n">
        <v>190.8</v>
      </c>
      <c r="E701" t="n">
        <v>200.2</v>
      </c>
    </row>
    <row r="702">
      <c r="A702" s="96" t="n">
        <v>38473</v>
      </c>
      <c r="B702" t="n">
        <v>193.6</v>
      </c>
      <c r="C702" t="n">
        <v>163.3</v>
      </c>
      <c r="D702" t="n">
        <v>191</v>
      </c>
      <c r="E702" t="n">
        <v>200.5</v>
      </c>
    </row>
    <row r="703">
      <c r="A703" s="96" t="n">
        <v>38504</v>
      </c>
      <c r="B703" t="n">
        <v>193.7</v>
      </c>
      <c r="C703" t="n">
        <v>163.7</v>
      </c>
      <c r="D703" t="n">
        <v>191</v>
      </c>
      <c r="E703" t="n">
        <v>200.6</v>
      </c>
    </row>
    <row r="704">
      <c r="A704" s="96" t="n">
        <v>38534</v>
      </c>
      <c r="B704" t="n">
        <v>194.9</v>
      </c>
      <c r="C704" t="n">
        <v>172.8</v>
      </c>
      <c r="D704" t="n">
        <v>191.4</v>
      </c>
      <c r="E704" t="n">
        <v>200.9</v>
      </c>
    </row>
    <row r="705">
      <c r="A705" s="96" t="n">
        <v>38565</v>
      </c>
      <c r="B705" t="n">
        <v>196.1</v>
      </c>
      <c r="C705" t="n">
        <v>183.5</v>
      </c>
      <c r="D705" t="n">
        <v>191.5</v>
      </c>
      <c r="E705" t="n">
        <v>201.1</v>
      </c>
    </row>
    <row r="706">
      <c r="A706" s="96" t="n">
        <v>38596</v>
      </c>
      <c r="B706" t="n">
        <v>198.8</v>
      </c>
      <c r="C706" t="n">
        <v>208.2</v>
      </c>
      <c r="D706" t="n">
        <v>191.9</v>
      </c>
      <c r="E706" t="n">
        <v>201.3</v>
      </c>
    </row>
    <row r="707">
      <c r="A707" s="96" t="n">
        <v>38626</v>
      </c>
      <c r="B707" t="n">
        <v>199.1</v>
      </c>
      <c r="C707" t="n">
        <v>205.9</v>
      </c>
      <c r="D707" t="n">
        <v>192.4</v>
      </c>
      <c r="E707" t="n">
        <v>202</v>
      </c>
    </row>
    <row r="708">
      <c r="A708" s="96" t="n">
        <v>38657</v>
      </c>
      <c r="B708" t="n">
        <v>198.1</v>
      </c>
      <c r="C708" t="n">
        <v>191</v>
      </c>
      <c r="D708" t="n">
        <v>193</v>
      </c>
      <c r="E708" t="n">
        <v>202.5</v>
      </c>
    </row>
    <row r="709">
      <c r="A709" s="96" t="n">
        <v>38687</v>
      </c>
      <c r="B709" t="n">
        <v>198.1</v>
      </c>
      <c r="C709" t="n">
        <v>187.6</v>
      </c>
      <c r="D709" t="n">
        <v>193.3</v>
      </c>
      <c r="E709" t="n">
        <v>202.8</v>
      </c>
    </row>
    <row r="710">
      <c r="A710" s="96" t="n">
        <v>38718</v>
      </c>
      <c r="B710" t="n">
        <v>199.3</v>
      </c>
      <c r="C710" t="n">
        <v>196.6</v>
      </c>
      <c r="D710" t="n">
        <v>194.1</v>
      </c>
      <c r="E710" t="n">
        <v>203.2</v>
      </c>
    </row>
    <row r="711">
      <c r="A711" s="96" t="n">
        <v>38749</v>
      </c>
      <c r="B711" t="n">
        <v>199.4</v>
      </c>
      <c r="C711" t="n">
        <v>194.1</v>
      </c>
      <c r="D711" t="n">
        <v>194.2</v>
      </c>
      <c r="E711" t="n">
        <v>203.6</v>
      </c>
    </row>
    <row r="712">
      <c r="A712" s="96" t="n">
        <v>38777</v>
      </c>
      <c r="B712" t="n">
        <v>199.7</v>
      </c>
      <c r="C712" t="n">
        <v>192</v>
      </c>
      <c r="D712" t="n">
        <v>194.4</v>
      </c>
      <c r="E712" t="n">
        <v>204.3</v>
      </c>
    </row>
    <row r="713">
      <c r="A713" s="96" t="n">
        <v>38808</v>
      </c>
      <c r="B713" t="n">
        <v>200.7</v>
      </c>
      <c r="C713" t="n">
        <v>198.5</v>
      </c>
      <c r="D713" t="n">
        <v>194.3</v>
      </c>
      <c r="E713" t="n">
        <v>204.8</v>
      </c>
    </row>
    <row r="714">
      <c r="A714" s="96" t="n">
        <v>38838</v>
      </c>
      <c r="B714" t="n">
        <v>201.3</v>
      </c>
      <c r="C714" t="n">
        <v>199.8</v>
      </c>
      <c r="D714" t="n">
        <v>194.7</v>
      </c>
      <c r="E714" t="n">
        <v>205.4</v>
      </c>
    </row>
    <row r="715">
      <c r="A715" s="96" t="n">
        <v>38869</v>
      </c>
      <c r="B715" t="n">
        <v>201.8</v>
      </c>
      <c r="C715" t="n">
        <v>199.8</v>
      </c>
      <c r="D715" t="n">
        <v>195.3</v>
      </c>
      <c r="E715" t="n">
        <v>205.9</v>
      </c>
    </row>
    <row r="716">
      <c r="A716" s="96" t="n">
        <v>38899</v>
      </c>
      <c r="B716" t="n">
        <v>202.9</v>
      </c>
      <c r="C716" t="n">
        <v>207.9</v>
      </c>
      <c r="D716" t="n">
        <v>195.7</v>
      </c>
      <c r="E716" t="n">
        <v>206.3</v>
      </c>
    </row>
    <row r="717">
      <c r="A717" s="96" t="n">
        <v>38930</v>
      </c>
      <c r="B717" t="n">
        <v>203.8</v>
      </c>
      <c r="C717" t="n">
        <v>211.9</v>
      </c>
      <c r="D717" t="n">
        <v>196.2</v>
      </c>
      <c r="E717" t="n">
        <v>206.8</v>
      </c>
    </row>
    <row r="718">
      <c r="A718" s="96" t="n">
        <v>38961</v>
      </c>
      <c r="B718" t="n">
        <v>202.8</v>
      </c>
      <c r="C718" t="n">
        <v>198.1</v>
      </c>
      <c r="D718" t="n">
        <v>196.8</v>
      </c>
      <c r="E718" t="n">
        <v>207.2</v>
      </c>
    </row>
    <row r="719">
      <c r="A719" s="96" t="n">
        <v>38991</v>
      </c>
      <c r="B719" t="n">
        <v>201.9</v>
      </c>
      <c r="C719" t="n">
        <v>184.1</v>
      </c>
      <c r="D719" t="n">
        <v>197.4</v>
      </c>
      <c r="E719" t="n">
        <v>207.6</v>
      </c>
    </row>
    <row r="720">
      <c r="A720" s="96" t="n">
        <v>39022</v>
      </c>
      <c r="B720" t="n">
        <v>202</v>
      </c>
      <c r="C720" t="n">
        <v>184.1</v>
      </c>
      <c r="D720" t="n">
        <v>197.4</v>
      </c>
      <c r="E720" t="n">
        <v>207.8</v>
      </c>
    </row>
    <row r="721">
      <c r="A721" s="96" t="n">
        <v>39052</v>
      </c>
      <c r="B721" t="n">
        <v>203.1</v>
      </c>
      <c r="C721" t="n">
        <v>192.7</v>
      </c>
      <c r="D721" t="n">
        <v>197.5</v>
      </c>
      <c r="E721" t="n">
        <v>208.1</v>
      </c>
    </row>
    <row r="722">
      <c r="A722" s="96" t="n">
        <v>39083</v>
      </c>
      <c r="B722" t="n">
        <v>203.437</v>
      </c>
      <c r="C722" t="n">
        <v>190.281</v>
      </c>
      <c r="D722" t="n">
        <v>198.813</v>
      </c>
      <c r="E722" t="n">
        <v>208.6</v>
      </c>
    </row>
    <row r="723">
      <c r="A723" s="96" t="n">
        <v>39114</v>
      </c>
      <c r="B723" t="n">
        <v>204.226</v>
      </c>
      <c r="C723" t="n">
        <v>192.31</v>
      </c>
      <c r="D723" t="n">
        <v>200.126</v>
      </c>
      <c r="E723" t="n">
        <v>209.135</v>
      </c>
    </row>
    <row r="724">
      <c r="A724" s="96" t="n">
        <v>39142</v>
      </c>
      <c r="B724" t="n">
        <v>205.288</v>
      </c>
      <c r="C724" t="n">
        <v>200.206</v>
      </c>
      <c r="D724" t="n">
        <v>200.853</v>
      </c>
      <c r="E724" t="n">
        <v>209.418</v>
      </c>
    </row>
    <row r="725">
      <c r="A725" s="96" t="n">
        <v>39173</v>
      </c>
      <c r="B725" t="n">
        <v>205.904</v>
      </c>
      <c r="C725" t="n">
        <v>203.307</v>
      </c>
      <c r="D725" t="n">
        <v>201.392</v>
      </c>
      <c r="E725" t="n">
        <v>209.747</v>
      </c>
    </row>
    <row r="726">
      <c r="A726" s="96" t="n">
        <v>39203</v>
      </c>
      <c r="B726" t="n">
        <v>206.755</v>
      </c>
      <c r="C726" t="n">
        <v>208.635</v>
      </c>
      <c r="D726" t="n">
        <v>202.157</v>
      </c>
      <c r="E726" t="n">
        <v>210.058</v>
      </c>
    </row>
    <row r="727">
      <c r="A727" s="96" t="n">
        <v>39234</v>
      </c>
      <c r="B727" t="n">
        <v>207.234</v>
      </c>
      <c r="C727" t="n">
        <v>209.799</v>
      </c>
      <c r="D727" t="n">
        <v>202.977</v>
      </c>
      <c r="E727" t="n">
        <v>210.392</v>
      </c>
    </row>
    <row r="728">
      <c r="A728" s="96" t="n">
        <v>39264</v>
      </c>
      <c r="B728" t="n">
        <v>207.603</v>
      </c>
      <c r="C728" t="n">
        <v>209.639</v>
      </c>
      <c r="D728" t="n">
        <v>203.64</v>
      </c>
      <c r="E728" t="n">
        <v>210.773</v>
      </c>
    </row>
    <row r="729">
      <c r="A729" s="96" t="n">
        <v>39295</v>
      </c>
      <c r="B729" t="n">
        <v>207.667</v>
      </c>
      <c r="C729" t="n">
        <v>206.412</v>
      </c>
      <c r="D729" t="n">
        <v>204.418</v>
      </c>
      <c r="E729" t="n">
        <v>211.119</v>
      </c>
    </row>
    <row r="730">
      <c r="A730" s="96" t="n">
        <v>39326</v>
      </c>
      <c r="B730" t="n">
        <v>208.547</v>
      </c>
      <c r="C730" t="n">
        <v>210.742</v>
      </c>
      <c r="D730" t="n">
        <v>205.347</v>
      </c>
      <c r="E730" t="n">
        <v>211.554</v>
      </c>
    </row>
    <row r="731">
      <c r="A731" s="96" t="n">
        <v>39356</v>
      </c>
      <c r="B731" t="n">
        <v>209.19</v>
      </c>
      <c r="C731" t="n">
        <v>212.386</v>
      </c>
      <c r="D731" t="n">
        <v>205.988</v>
      </c>
      <c r="E731" t="n">
        <v>212.077</v>
      </c>
    </row>
    <row r="732">
      <c r="A732" s="96" t="n">
        <v>39387</v>
      </c>
      <c r="B732" t="n">
        <v>210.834</v>
      </c>
      <c r="C732" t="n">
        <v>223.814</v>
      </c>
      <c r="D732" t="n">
        <v>206.789</v>
      </c>
      <c r="E732" t="n">
        <v>212.66</v>
      </c>
    </row>
    <row r="733">
      <c r="A733" s="96" t="n">
        <v>39417</v>
      </c>
      <c r="B733" t="n">
        <v>211.445</v>
      </c>
      <c r="C733" t="n">
        <v>225.649</v>
      </c>
      <c r="D733" t="n">
        <v>207.141</v>
      </c>
      <c r="E733" t="n">
        <v>213.168</v>
      </c>
    </row>
    <row r="734">
      <c r="A734" s="96" t="n">
        <v>39448</v>
      </c>
      <c r="B734" t="n">
        <v>212.174</v>
      </c>
      <c r="C734" t="n">
        <v>226.775</v>
      </c>
      <c r="D734" t="n">
        <v>208.392</v>
      </c>
      <c r="E734" t="n">
        <v>213.771</v>
      </c>
    </row>
    <row r="735">
      <c r="A735" s="96" t="n">
        <v>39479</v>
      </c>
      <c r="B735" t="n">
        <v>212.687</v>
      </c>
      <c r="C735" t="n">
        <v>229.731</v>
      </c>
      <c r="D735" t="n">
        <v>209.183</v>
      </c>
      <c r="E735" t="n">
        <v>213.939</v>
      </c>
    </row>
    <row r="736">
      <c r="A736" s="96" t="n">
        <v>39508</v>
      </c>
      <c r="B736" t="n">
        <v>213.448</v>
      </c>
      <c r="C736" t="n">
        <v>233.349</v>
      </c>
      <c r="D736" t="n">
        <v>209.595</v>
      </c>
      <c r="E736" t="n">
        <v>214.42</v>
      </c>
    </row>
    <row r="737">
      <c r="A737" s="96" t="n">
        <v>39539</v>
      </c>
      <c r="B737" t="n">
        <v>213.942</v>
      </c>
      <c r="C737" t="n">
        <v>234.778</v>
      </c>
      <c r="D737" t="n">
        <v>211.368</v>
      </c>
      <c r="E737" t="n">
        <v>214.56</v>
      </c>
    </row>
    <row r="738">
      <c r="A738" s="96" t="n">
        <v>39569</v>
      </c>
      <c r="B738" t="n">
        <v>215.208</v>
      </c>
      <c r="C738" t="n">
        <v>243.924</v>
      </c>
      <c r="D738" t="n">
        <v>212.204</v>
      </c>
      <c r="E738" t="n">
        <v>214.936</v>
      </c>
    </row>
    <row r="739">
      <c r="A739" s="96" t="n">
        <v>39600</v>
      </c>
      <c r="B739" t="n">
        <v>217.463</v>
      </c>
      <c r="C739" t="n">
        <v>262.081</v>
      </c>
      <c r="D739" t="n">
        <v>213.452</v>
      </c>
      <c r="E739" t="n">
        <v>215.424</v>
      </c>
    </row>
    <row r="740">
      <c r="A740" s="96" t="n">
        <v>39630</v>
      </c>
      <c r="B740" t="n">
        <v>219.016</v>
      </c>
      <c r="C740" t="n">
        <v>271.149</v>
      </c>
      <c r="D740" t="n">
        <v>215.449</v>
      </c>
      <c r="E740" t="n">
        <v>215.965</v>
      </c>
    </row>
    <row r="741">
      <c r="A741" s="96" t="n">
        <v>39661</v>
      </c>
      <c r="B741" t="n">
        <v>218.69</v>
      </c>
      <c r="C741" t="n">
        <v>262.566</v>
      </c>
      <c r="D741" t="n">
        <v>216.53</v>
      </c>
      <c r="E741" t="n">
        <v>216.393</v>
      </c>
    </row>
    <row r="742">
      <c r="A742" s="96" t="n">
        <v>39692</v>
      </c>
      <c r="B742" t="n">
        <v>218.877</v>
      </c>
      <c r="C742" t="n">
        <v>260.125</v>
      </c>
      <c r="D742" t="n">
        <v>217.749</v>
      </c>
      <c r="E742" t="n">
        <v>216.713</v>
      </c>
    </row>
    <row r="743">
      <c r="A743" s="96" t="n">
        <v>39722</v>
      </c>
      <c r="B743" t="n">
        <v>216.995</v>
      </c>
      <c r="C743" t="n">
        <v>238.065</v>
      </c>
      <c r="D743" t="n">
        <v>218.632</v>
      </c>
      <c r="E743" t="n">
        <v>216.788</v>
      </c>
    </row>
    <row r="744">
      <c r="A744" s="96" t="n">
        <v>39753</v>
      </c>
      <c r="B744" t="n">
        <v>213.153</v>
      </c>
      <c r="C744" t="n">
        <v>195.155</v>
      </c>
      <c r="D744" t="n">
        <v>219.079</v>
      </c>
      <c r="E744" t="n">
        <v>216.947</v>
      </c>
    </row>
    <row r="745">
      <c r="A745" s="96" t="n">
        <v>39783</v>
      </c>
      <c r="B745" t="n">
        <v>211.398</v>
      </c>
      <c r="C745" t="n">
        <v>176.583</v>
      </c>
      <c r="D745" t="n">
        <v>219.151</v>
      </c>
      <c r="E745" t="n">
        <v>216.925</v>
      </c>
    </row>
    <row r="746">
      <c r="A746" s="96" t="n">
        <v>39814</v>
      </c>
      <c r="B746" t="n">
        <v>211.933</v>
      </c>
      <c r="C746" t="n">
        <v>178.661</v>
      </c>
      <c r="D746" t="n">
        <v>219.323</v>
      </c>
      <c r="E746" t="n">
        <v>217.346</v>
      </c>
    </row>
    <row r="747">
      <c r="A747" s="96" t="n">
        <v>39845</v>
      </c>
      <c r="B747" t="n">
        <v>212.705</v>
      </c>
      <c r="C747" t="n">
        <v>183.721</v>
      </c>
      <c r="D747" t="n">
        <v>219.058</v>
      </c>
      <c r="E747" t="n">
        <v>217.792</v>
      </c>
    </row>
    <row r="748">
      <c r="A748" s="96" t="n">
        <v>39873</v>
      </c>
      <c r="B748" t="n">
        <v>212.495</v>
      </c>
      <c r="C748" t="n">
        <v>178.415</v>
      </c>
      <c r="D748" t="n">
        <v>218.682</v>
      </c>
      <c r="E748" t="n">
        <v>218.253</v>
      </c>
    </row>
    <row r="749">
      <c r="A749" s="96" t="n">
        <v>39904</v>
      </c>
      <c r="B749" t="n">
        <v>212.709</v>
      </c>
      <c r="C749" t="n">
        <v>177.552</v>
      </c>
      <c r="D749" t="n">
        <v>218.372</v>
      </c>
      <c r="E749" t="n">
        <v>218.706</v>
      </c>
    </row>
    <row r="750">
      <c r="A750" s="96" t="n">
        <v>39934</v>
      </c>
      <c r="B750" t="n">
        <v>213.022</v>
      </c>
      <c r="C750" t="n">
        <v>179.83</v>
      </c>
      <c r="D750" t="n">
        <v>218.053</v>
      </c>
      <c r="E750" t="n">
        <v>218.904</v>
      </c>
    </row>
    <row r="751">
      <c r="A751" s="96" t="n">
        <v>39965</v>
      </c>
      <c r="B751" t="n">
        <v>214.79</v>
      </c>
      <c r="C751" t="n">
        <v>197.033</v>
      </c>
      <c r="D751" t="n">
        <v>218.092</v>
      </c>
      <c r="E751" t="n">
        <v>219.112</v>
      </c>
    </row>
    <row r="752">
      <c r="A752" s="96" t="n">
        <v>39995</v>
      </c>
      <c r="B752" t="n">
        <v>214.726</v>
      </c>
      <c r="C752" t="n">
        <v>195.778</v>
      </c>
      <c r="D752" t="n">
        <v>217.725</v>
      </c>
      <c r="E752" t="n">
        <v>219.263</v>
      </c>
    </row>
    <row r="753">
      <c r="A753" s="96" t="n">
        <v>40026</v>
      </c>
      <c r="B753" t="n">
        <v>215.445</v>
      </c>
      <c r="C753" t="n">
        <v>201.583</v>
      </c>
      <c r="D753" t="n">
        <v>217.738</v>
      </c>
      <c r="E753" t="n">
        <v>219.496</v>
      </c>
    </row>
    <row r="754">
      <c r="A754" s="96" t="n">
        <v>40057</v>
      </c>
      <c r="B754" t="n">
        <v>215.861</v>
      </c>
      <c r="C754" t="n">
        <v>202.777</v>
      </c>
      <c r="D754" t="n">
        <v>217.664</v>
      </c>
      <c r="E754" t="n">
        <v>219.92</v>
      </c>
    </row>
    <row r="755">
      <c r="A755" s="96" t="n">
        <v>40087</v>
      </c>
      <c r="B755" t="n">
        <v>216.509</v>
      </c>
      <c r="C755" t="n">
        <v>204.719</v>
      </c>
      <c r="D755" t="n">
        <v>217.881</v>
      </c>
      <c r="E755" t="n">
        <v>220.501</v>
      </c>
    </row>
    <row r="756">
      <c r="A756" s="96" t="n">
        <v>40118</v>
      </c>
      <c r="B756" t="n">
        <v>217.234</v>
      </c>
      <c r="C756" t="n">
        <v>210.932</v>
      </c>
      <c r="D756" t="n">
        <v>218.055</v>
      </c>
      <c r="E756" t="n">
        <v>220.666</v>
      </c>
    </row>
    <row r="757">
      <c r="A757" s="96" t="n">
        <v>40148</v>
      </c>
      <c r="B757" t="n">
        <v>217.347</v>
      </c>
      <c r="C757" t="n">
        <v>209.915</v>
      </c>
      <c r="D757" t="n">
        <v>218.341</v>
      </c>
      <c r="E757" t="n">
        <v>220.881</v>
      </c>
    </row>
    <row r="758">
      <c r="A758" s="96" t="n">
        <v>40179</v>
      </c>
      <c r="B758" t="n">
        <v>217.488</v>
      </c>
      <c r="C758" t="n">
        <v>212.807</v>
      </c>
      <c r="D758" t="n">
        <v>218.855</v>
      </c>
      <c r="E758" t="n">
        <v>220.633</v>
      </c>
    </row>
    <row r="759">
      <c r="A759" s="96" t="n">
        <v>40210</v>
      </c>
      <c r="B759" t="n">
        <v>217.281</v>
      </c>
      <c r="C759" t="n">
        <v>209.624</v>
      </c>
      <c r="D759" t="n">
        <v>218.898</v>
      </c>
      <c r="E759" t="n">
        <v>220.731</v>
      </c>
    </row>
    <row r="760">
      <c r="A760" s="96" t="n">
        <v>40238</v>
      </c>
      <c r="B760" t="n">
        <v>217.353</v>
      </c>
      <c r="C760" t="n">
        <v>209.326</v>
      </c>
      <c r="D760" t="n">
        <v>219.321</v>
      </c>
      <c r="E760" t="n">
        <v>220.783</v>
      </c>
    </row>
    <row r="761">
      <c r="A761" s="96" t="n">
        <v>40269</v>
      </c>
      <c r="B761" t="n">
        <v>217.403</v>
      </c>
      <c r="C761" t="n">
        <v>209.219</v>
      </c>
      <c r="D761" t="n">
        <v>219.531</v>
      </c>
      <c r="E761" t="n">
        <v>220.822</v>
      </c>
    </row>
    <row r="762">
      <c r="A762" s="96" t="n">
        <v>40299</v>
      </c>
      <c r="B762" t="n">
        <v>217.29</v>
      </c>
      <c r="C762" t="n">
        <v>206.631</v>
      </c>
      <c r="D762" t="n">
        <v>219.651</v>
      </c>
      <c r="E762" t="n">
        <v>220.962</v>
      </c>
    </row>
    <row r="763">
      <c r="A763" s="96" t="n">
        <v>40330</v>
      </c>
      <c r="B763" t="n">
        <v>217.199</v>
      </c>
      <c r="C763" t="n">
        <v>203.764</v>
      </c>
      <c r="D763" t="n">
        <v>219.627</v>
      </c>
      <c r="E763" t="n">
        <v>221.194</v>
      </c>
    </row>
    <row r="764">
      <c r="A764" s="96" t="n">
        <v>40360</v>
      </c>
      <c r="B764" t="n">
        <v>217.605</v>
      </c>
      <c r="C764" t="n">
        <v>206.877</v>
      </c>
      <c r="D764" t="n">
        <v>219.643</v>
      </c>
      <c r="E764" t="n">
        <v>221.363</v>
      </c>
    </row>
    <row r="765">
      <c r="A765" s="96" t="n">
        <v>40391</v>
      </c>
      <c r="B765" t="n">
        <v>217.923</v>
      </c>
      <c r="C765" t="n">
        <v>208.77</v>
      </c>
      <c r="D765" t="n">
        <v>219.879</v>
      </c>
      <c r="E765" t="n">
        <v>221.509</v>
      </c>
    </row>
    <row r="766">
      <c r="A766" s="96" t="n">
        <v>40422</v>
      </c>
      <c r="B766" t="n">
        <v>218.275</v>
      </c>
      <c r="C766" t="n">
        <v>209.832</v>
      </c>
      <c r="D766" t="n">
        <v>220.598</v>
      </c>
      <c r="E766" t="n">
        <v>221.711</v>
      </c>
    </row>
    <row r="767">
      <c r="A767" s="96" t="n">
        <v>40452</v>
      </c>
      <c r="B767" t="n">
        <v>219.035</v>
      </c>
      <c r="C767" t="n">
        <v>216.71</v>
      </c>
      <c r="D767" t="n">
        <v>220.911</v>
      </c>
      <c r="E767" t="n">
        <v>221.83</v>
      </c>
    </row>
    <row r="768">
      <c r="A768" s="96" t="n">
        <v>40483</v>
      </c>
      <c r="B768" t="n">
        <v>219.59</v>
      </c>
      <c r="C768" t="n">
        <v>219.496</v>
      </c>
      <c r="D768" t="n">
        <v>221.315</v>
      </c>
      <c r="E768" t="n">
        <v>222.149</v>
      </c>
    </row>
    <row r="769">
      <c r="A769" s="96" t="n">
        <v>40513</v>
      </c>
      <c r="B769" t="n">
        <v>220.472</v>
      </c>
      <c r="C769" t="n">
        <v>227.13</v>
      </c>
      <c r="D769" t="n">
        <v>221.556</v>
      </c>
      <c r="E769" t="n">
        <v>222.343</v>
      </c>
    </row>
    <row r="770">
      <c r="A770" s="96" t="n">
        <v>40544</v>
      </c>
      <c r="B770" t="n">
        <v>221.187</v>
      </c>
      <c r="C770" t="n">
        <v>229.258</v>
      </c>
      <c r="D770" t="n">
        <v>222.735</v>
      </c>
      <c r="E770" t="n">
        <v>222.803</v>
      </c>
    </row>
    <row r="771">
      <c r="A771" s="96" t="n">
        <v>40575</v>
      </c>
      <c r="B771" t="n">
        <v>221.898</v>
      </c>
      <c r="C771" t="n">
        <v>232.068</v>
      </c>
      <c r="D771" t="n">
        <v>223.734</v>
      </c>
      <c r="E771" t="n">
        <v>223.213</v>
      </c>
    </row>
    <row r="772">
      <c r="A772" s="96" t="n">
        <v>40603</v>
      </c>
      <c r="B772" t="n">
        <v>223.046</v>
      </c>
      <c r="C772" t="n">
        <v>240.079</v>
      </c>
      <c r="D772" t="n">
        <v>225.337</v>
      </c>
      <c r="E772" t="n">
        <v>223.454</v>
      </c>
    </row>
    <row r="773">
      <c r="A773" s="96" t="n">
        <v>40634</v>
      </c>
      <c r="B773" t="n">
        <v>224.093</v>
      </c>
      <c r="C773" t="n">
        <v>247.977</v>
      </c>
      <c r="D773" t="n">
        <v>226.18</v>
      </c>
      <c r="E773" t="n">
        <v>223.727</v>
      </c>
    </row>
    <row r="774">
      <c r="A774" s="96" t="n">
        <v>40664</v>
      </c>
      <c r="B774" t="n">
        <v>224.806</v>
      </c>
      <c r="C774" t="n">
        <v>250.744</v>
      </c>
      <c r="D774" t="n">
        <v>227.045</v>
      </c>
      <c r="E774" t="n">
        <v>224.175</v>
      </c>
    </row>
    <row r="775">
      <c r="A775" s="96" t="n">
        <v>40695</v>
      </c>
      <c r="B775" t="n">
        <v>224.806</v>
      </c>
      <c r="C775" t="n">
        <v>245.534</v>
      </c>
      <c r="D775" t="n">
        <v>227.603</v>
      </c>
      <c r="E775" t="n">
        <v>224.697</v>
      </c>
    </row>
    <row r="776">
      <c r="A776" s="96" t="n">
        <v>40725</v>
      </c>
      <c r="B776" t="n">
        <v>225.395</v>
      </c>
      <c r="C776" t="n">
        <v>246.187</v>
      </c>
      <c r="D776" t="n">
        <v>228.473</v>
      </c>
      <c r="E776" t="n">
        <v>225.218</v>
      </c>
    </row>
    <row r="777">
      <c r="A777" s="96" t="n">
        <v>40756</v>
      </c>
      <c r="B777" t="n">
        <v>226.106</v>
      </c>
      <c r="C777" t="n">
        <v>246.88</v>
      </c>
      <c r="D777" t="n">
        <v>229.577</v>
      </c>
      <c r="E777" t="n">
        <v>225.862</v>
      </c>
    </row>
    <row r="778">
      <c r="A778" s="96" t="n">
        <v>40787</v>
      </c>
      <c r="B778" t="n">
        <v>226.597</v>
      </c>
      <c r="C778" t="n">
        <v>248.55</v>
      </c>
      <c r="D778" t="n">
        <v>230.561</v>
      </c>
      <c r="E778" t="n">
        <v>226.118</v>
      </c>
    </row>
    <row r="779">
      <c r="A779" s="96" t="n">
        <v>40817</v>
      </c>
      <c r="B779" t="n">
        <v>226.75</v>
      </c>
      <c r="C779" t="n">
        <v>246.655</v>
      </c>
      <c r="D779" t="n">
        <v>230.776</v>
      </c>
      <c r="E779" t="n">
        <v>226.506</v>
      </c>
    </row>
    <row r="780">
      <c r="A780" s="96" t="n">
        <v>40848</v>
      </c>
      <c r="B780" t="n">
        <v>227.169</v>
      </c>
      <c r="C780" t="n">
        <v>247.64</v>
      </c>
      <c r="D780" t="n">
        <v>230.976</v>
      </c>
      <c r="E780" t="n">
        <v>226.899</v>
      </c>
    </row>
    <row r="781">
      <c r="A781" s="96" t="n">
        <v>40878</v>
      </c>
      <c r="B781" t="n">
        <v>227.223</v>
      </c>
      <c r="C781" t="n">
        <v>243.353</v>
      </c>
      <c r="D781" t="n">
        <v>231.392</v>
      </c>
      <c r="E781" t="n">
        <v>227.405</v>
      </c>
    </row>
    <row r="782">
      <c r="A782" s="96" t="n">
        <v>40909</v>
      </c>
      <c r="B782" t="n">
        <v>227.842</v>
      </c>
      <c r="C782" t="n">
        <v>244.876</v>
      </c>
      <c r="D782" t="n">
        <v>232.131</v>
      </c>
      <c r="E782" t="n">
        <v>227.877</v>
      </c>
    </row>
    <row r="783">
      <c r="A783" s="96" t="n">
        <v>40940</v>
      </c>
      <c r="B783" t="n">
        <v>228.329</v>
      </c>
      <c r="C783" t="n">
        <v>248.898</v>
      </c>
      <c r="D783" t="n">
        <v>232.103</v>
      </c>
      <c r="E783" t="n">
        <v>228.034</v>
      </c>
    </row>
    <row r="784">
      <c r="A784" s="96" t="n">
        <v>40969</v>
      </c>
      <c r="B784" t="n">
        <v>228.807</v>
      </c>
      <c r="C784" t="n">
        <v>249.742</v>
      </c>
      <c r="D784" t="n">
        <v>232.502</v>
      </c>
      <c r="E784" t="n">
        <v>228.478</v>
      </c>
    </row>
    <row r="785">
      <c r="A785" s="96" t="n">
        <v>41000</v>
      </c>
      <c r="B785" t="n">
        <v>229.187</v>
      </c>
      <c r="C785" t="n">
        <v>249.677</v>
      </c>
      <c r="D785" t="n">
        <v>232.934</v>
      </c>
      <c r="E785" t="n">
        <v>228.905</v>
      </c>
    </row>
    <row r="786">
      <c r="A786" s="96" t="n">
        <v>41030</v>
      </c>
      <c r="B786" t="n">
        <v>228.713</v>
      </c>
      <c r="C786" t="n">
        <v>241.806</v>
      </c>
      <c r="D786" t="n">
        <v>233.127</v>
      </c>
      <c r="E786" t="n">
        <v>229.224</v>
      </c>
    </row>
    <row r="787">
      <c r="A787" s="96" t="n">
        <v>41061</v>
      </c>
      <c r="B787" t="n">
        <v>228.524</v>
      </c>
      <c r="C787" t="n">
        <v>235.897</v>
      </c>
      <c r="D787" t="n">
        <v>233.624</v>
      </c>
      <c r="E787" t="n">
        <v>229.623</v>
      </c>
    </row>
    <row r="788">
      <c r="A788" s="96" t="n">
        <v>41091</v>
      </c>
      <c r="B788" t="n">
        <v>228.59</v>
      </c>
      <c r="C788" t="n">
        <v>233.568</v>
      </c>
      <c r="D788" t="n">
        <v>233.752</v>
      </c>
      <c r="E788" t="n">
        <v>229.97</v>
      </c>
    </row>
    <row r="789">
      <c r="A789" s="96" t="n">
        <v>41122</v>
      </c>
      <c r="B789" t="n">
        <v>229.918</v>
      </c>
      <c r="C789" t="n">
        <v>244.987</v>
      </c>
      <c r="D789" t="n">
        <v>234.108</v>
      </c>
      <c r="E789" t="n">
        <v>230.233</v>
      </c>
    </row>
    <row r="790">
      <c r="A790" s="96" t="n">
        <v>41153</v>
      </c>
      <c r="B790" t="n">
        <v>231.015</v>
      </c>
      <c r="C790" t="n">
        <v>252.987</v>
      </c>
      <c r="D790" t="n">
        <v>234.286</v>
      </c>
      <c r="E790" t="n">
        <v>230.659</v>
      </c>
    </row>
    <row r="791">
      <c r="A791" s="96" t="n">
        <v>41183</v>
      </c>
      <c r="B791" t="n">
        <v>231.638</v>
      </c>
      <c r="C791" t="n">
        <v>256.017</v>
      </c>
      <c r="D791" t="n">
        <v>234.694</v>
      </c>
      <c r="E791" t="n">
        <v>231.024</v>
      </c>
    </row>
    <row r="792">
      <c r="A792" s="96" t="n">
        <v>41214</v>
      </c>
      <c r="B792" t="n">
        <v>231.249</v>
      </c>
      <c r="C792" t="n">
        <v>248.819</v>
      </c>
      <c r="D792" t="n">
        <v>235.1</v>
      </c>
      <c r="E792" t="n">
        <v>231.33</v>
      </c>
    </row>
    <row r="793">
      <c r="A793" s="96" t="n">
        <v>41244</v>
      </c>
      <c r="B793" t="n">
        <v>231.221</v>
      </c>
      <c r="C793" t="n">
        <v>244.708</v>
      </c>
      <c r="D793" t="n">
        <v>235.521</v>
      </c>
      <c r="E793" t="n">
        <v>231.725</v>
      </c>
    </row>
    <row r="794">
      <c r="A794" s="96" t="n">
        <v>41275</v>
      </c>
      <c r="B794" t="n">
        <v>231.679</v>
      </c>
      <c r="C794" t="n">
        <v>245.025</v>
      </c>
      <c r="D794" t="n">
        <v>235.86</v>
      </c>
      <c r="E794" t="n">
        <v>232.229</v>
      </c>
    </row>
    <row r="795">
      <c r="A795" s="96" t="n">
        <v>41306</v>
      </c>
      <c r="B795" t="n">
        <v>232.937</v>
      </c>
      <c r="C795" t="n">
        <v>255.696</v>
      </c>
      <c r="D795" t="n">
        <v>235.903</v>
      </c>
      <c r="E795" t="n">
        <v>232.569</v>
      </c>
    </row>
    <row r="796">
      <c r="A796" s="96" t="n">
        <v>41334</v>
      </c>
      <c r="B796" t="n">
        <v>232.282</v>
      </c>
      <c r="C796" t="n">
        <v>246.595</v>
      </c>
      <c r="D796" t="n">
        <v>236.13</v>
      </c>
      <c r="E796" t="n">
        <v>232.794</v>
      </c>
    </row>
    <row r="797">
      <c r="A797" s="96" t="n">
        <v>41365</v>
      </c>
      <c r="B797" t="n">
        <v>231.797</v>
      </c>
      <c r="C797" t="n">
        <v>240.473</v>
      </c>
      <c r="D797" t="n">
        <v>236.574</v>
      </c>
      <c r="E797" t="n">
        <v>232.832</v>
      </c>
    </row>
    <row r="798">
      <c r="A798" s="96" t="n">
        <v>41395</v>
      </c>
      <c r="B798" t="n">
        <v>231.893</v>
      </c>
      <c r="C798" t="n">
        <v>240.468</v>
      </c>
      <c r="D798" t="n">
        <v>236.387</v>
      </c>
      <c r="E798" t="n">
        <v>232.996</v>
      </c>
    </row>
    <row r="799">
      <c r="A799" s="96" t="n">
        <v>41426</v>
      </c>
      <c r="B799" t="n">
        <v>232.445</v>
      </c>
      <c r="C799" t="n">
        <v>242.711</v>
      </c>
      <c r="D799" t="n">
        <v>236.912</v>
      </c>
      <c r="E799" t="n">
        <v>233.35</v>
      </c>
    </row>
    <row r="800">
      <c r="A800" s="96" t="n">
        <v>41456</v>
      </c>
      <c r="B800" t="n">
        <v>232.9</v>
      </c>
      <c r="C800" t="n">
        <v>242.986</v>
      </c>
      <c r="D800" t="n">
        <v>237.133</v>
      </c>
      <c r="E800" t="n">
        <v>233.88</v>
      </c>
    </row>
    <row r="801">
      <c r="A801" s="96" t="n">
        <v>41487</v>
      </c>
      <c r="B801" t="n">
        <v>233.456</v>
      </c>
      <c r="C801" t="n">
        <v>244.833</v>
      </c>
      <c r="D801" t="n">
        <v>237.407</v>
      </c>
      <c r="E801" t="n">
        <v>234.336</v>
      </c>
    </row>
    <row r="802">
      <c r="A802" s="96" t="n">
        <v>41518</v>
      </c>
      <c r="B802" t="n">
        <v>233.544</v>
      </c>
      <c r="C802" t="n">
        <v>242.745</v>
      </c>
      <c r="D802" t="n">
        <v>237.464</v>
      </c>
      <c r="E802" t="n">
        <v>234.7</v>
      </c>
    </row>
    <row r="803">
      <c r="A803" s="96" t="n">
        <v>41548</v>
      </c>
      <c r="B803" t="n">
        <v>233.669</v>
      </c>
      <c r="C803" t="n">
        <v>241.954</v>
      </c>
      <c r="D803" t="n">
        <v>237.693</v>
      </c>
      <c r="E803" t="n">
        <v>234.921</v>
      </c>
    </row>
    <row r="804">
      <c r="A804" s="96" t="n">
        <v>41579</v>
      </c>
      <c r="B804" t="n">
        <v>234.1</v>
      </c>
      <c r="C804" t="n">
        <v>242.718</v>
      </c>
      <c r="D804" t="n">
        <v>237.895</v>
      </c>
      <c r="E804" t="n">
        <v>235.359</v>
      </c>
    </row>
    <row r="805">
      <c r="A805" s="96" t="n">
        <v>41609</v>
      </c>
      <c r="B805" t="n">
        <v>234.719</v>
      </c>
      <c r="C805" t="n">
        <v>245.733</v>
      </c>
      <c r="D805" t="n">
        <v>238.133</v>
      </c>
      <c r="E805" t="n">
        <v>235.759</v>
      </c>
    </row>
    <row r="806">
      <c r="A806" s="96" t="n">
        <v>41640</v>
      </c>
      <c r="B806" t="n">
        <v>235.288</v>
      </c>
      <c r="C806" t="n">
        <v>250.34</v>
      </c>
      <c r="D806" t="n">
        <v>238.417</v>
      </c>
      <c r="E806" t="n">
        <v>235.961</v>
      </c>
    </row>
    <row r="807">
      <c r="A807" s="96" t="n">
        <v>41671</v>
      </c>
      <c r="B807" t="n">
        <v>235.547</v>
      </c>
      <c r="C807" t="n">
        <v>249.925</v>
      </c>
      <c r="D807" t="n">
        <v>239.247</v>
      </c>
      <c r="E807" t="n">
        <v>236.185</v>
      </c>
    </row>
    <row r="808">
      <c r="A808" s="96" t="n">
        <v>41699</v>
      </c>
      <c r="B808" t="n">
        <v>236.028</v>
      </c>
      <c r="C808" t="n">
        <v>249.961</v>
      </c>
      <c r="D808" t="n">
        <v>240.24</v>
      </c>
      <c r="E808" t="n">
        <v>236.625</v>
      </c>
    </row>
    <row r="809">
      <c r="A809" s="96" t="n">
        <v>41730</v>
      </c>
      <c r="B809" t="n">
        <v>236.468</v>
      </c>
      <c r="C809" t="n">
        <v>249.864</v>
      </c>
      <c r="D809" t="n">
        <v>240.995</v>
      </c>
      <c r="E809" t="n">
        <v>237.072</v>
      </c>
    </row>
    <row r="810">
      <c r="A810" s="96" t="n">
        <v>41760</v>
      </c>
      <c r="B810" t="n">
        <v>236.918</v>
      </c>
      <c r="C810" t="n">
        <v>249.213</v>
      </c>
      <c r="D810" t="n">
        <v>242.107</v>
      </c>
      <c r="E810" t="n">
        <v>237.529</v>
      </c>
    </row>
    <row r="811">
      <c r="A811" s="96" t="n">
        <v>41791</v>
      </c>
      <c r="B811" t="n">
        <v>237.231</v>
      </c>
      <c r="C811" t="n">
        <v>249.714</v>
      </c>
      <c r="D811" t="n">
        <v>242.345</v>
      </c>
      <c r="E811" t="n">
        <v>237.837</v>
      </c>
    </row>
    <row r="812">
      <c r="A812" s="96" t="n">
        <v>41821</v>
      </c>
      <c r="B812" t="n">
        <v>237.498</v>
      </c>
      <c r="C812" t="n">
        <v>248.744</v>
      </c>
      <c r="D812" t="n">
        <v>242.883</v>
      </c>
      <c r="E812" t="n">
        <v>238.195</v>
      </c>
    </row>
    <row r="813">
      <c r="A813" s="96" t="n">
        <v>41852</v>
      </c>
      <c r="B813" t="n">
        <v>237.46</v>
      </c>
      <c r="C813" t="n">
        <v>245.699</v>
      </c>
      <c r="D813" t="n">
        <v>243.505</v>
      </c>
      <c r="E813" t="n">
        <v>238.405</v>
      </c>
    </row>
    <row r="814">
      <c r="A814" s="96" t="n">
        <v>41883</v>
      </c>
      <c r="B814" t="n">
        <v>237.477</v>
      </c>
      <c r="C814" t="n">
        <v>241.61</v>
      </c>
      <c r="D814" t="n">
        <v>244.148</v>
      </c>
      <c r="E814" t="n">
        <v>238.786</v>
      </c>
    </row>
    <row r="815">
      <c r="A815" s="96" t="n">
        <v>41913</v>
      </c>
      <c r="B815" t="n">
        <v>237.43</v>
      </c>
      <c r="C815" t="n">
        <v>237.061</v>
      </c>
      <c r="D815" t="n">
        <v>244.5</v>
      </c>
      <c r="E815" t="n">
        <v>239.191</v>
      </c>
    </row>
    <row r="816">
      <c r="A816" s="96" t="n">
        <v>41944</v>
      </c>
      <c r="B816" t="n">
        <v>236.983</v>
      </c>
      <c r="C816" t="n">
        <v>229.016</v>
      </c>
      <c r="D816" t="n">
        <v>245.106</v>
      </c>
      <c r="E816" t="n">
        <v>239.458</v>
      </c>
    </row>
    <row r="817">
      <c r="A817" s="96" t="n">
        <v>41974</v>
      </c>
      <c r="B817" t="n">
        <v>236.252</v>
      </c>
      <c r="C817" t="n">
        <v>218.536</v>
      </c>
      <c r="D817" t="n">
        <v>245.84</v>
      </c>
      <c r="E817" t="n">
        <v>239.584</v>
      </c>
    </row>
    <row r="818">
      <c r="A818" s="96" t="n">
        <v>42005</v>
      </c>
      <c r="B818" t="n">
        <v>234.747</v>
      </c>
      <c r="C818" t="n">
        <v>199.926</v>
      </c>
      <c r="D818" t="n">
        <v>245.764</v>
      </c>
      <c r="E818" t="n">
        <v>239.811</v>
      </c>
    </row>
    <row r="819">
      <c r="A819" s="96" t="n">
        <v>42036</v>
      </c>
      <c r="B819" t="n">
        <v>235.342</v>
      </c>
      <c r="C819" t="n">
        <v>203.021</v>
      </c>
      <c r="D819" t="n">
        <v>246.056</v>
      </c>
      <c r="E819" t="n">
        <v>240.172</v>
      </c>
    </row>
    <row r="820">
      <c r="A820" s="96" t="n">
        <v>42064</v>
      </c>
      <c r="B820" t="n">
        <v>235.976</v>
      </c>
      <c r="C820" t="n">
        <v>205.757</v>
      </c>
      <c r="D820" t="n">
        <v>245.685</v>
      </c>
      <c r="E820" t="n">
        <v>240.755</v>
      </c>
    </row>
    <row r="821">
      <c r="A821" s="96" t="n">
        <v>42095</v>
      </c>
      <c r="B821" t="n">
        <v>236.222</v>
      </c>
      <c r="C821" t="n">
        <v>203.577</v>
      </c>
      <c r="D821" t="n">
        <v>245.615</v>
      </c>
      <c r="E821" t="n">
        <v>241.346</v>
      </c>
    </row>
    <row r="822">
      <c r="A822" s="96" t="n">
        <v>42125</v>
      </c>
      <c r="B822" t="n">
        <v>237.001</v>
      </c>
      <c r="C822" t="n">
        <v>208.973</v>
      </c>
      <c r="D822" t="n">
        <v>245.886</v>
      </c>
      <c r="E822" t="n">
        <v>241.688</v>
      </c>
    </row>
    <row r="823">
      <c r="A823" s="96" t="n">
        <v>42156</v>
      </c>
      <c r="B823" t="n">
        <v>237.657</v>
      </c>
      <c r="C823" t="n">
        <v>212.015</v>
      </c>
      <c r="D823" t="n">
        <v>246.511</v>
      </c>
      <c r="E823" t="n">
        <v>242.064</v>
      </c>
    </row>
    <row r="824">
      <c r="A824" s="96" t="n">
        <v>42186</v>
      </c>
      <c r="B824" t="n">
        <v>238.034</v>
      </c>
      <c r="C824" t="n">
        <v>211.623</v>
      </c>
      <c r="D824" t="n">
        <v>246.733</v>
      </c>
      <c r="E824" t="n">
        <v>242.565</v>
      </c>
    </row>
    <row r="825">
      <c r="A825" s="96" t="n">
        <v>42217</v>
      </c>
      <c r="B825" t="n">
        <v>238.033</v>
      </c>
      <c r="C825" t="n">
        <v>208.579</v>
      </c>
      <c r="D825" t="n">
        <v>247.295</v>
      </c>
      <c r="E825" t="n">
        <v>242.817</v>
      </c>
    </row>
    <row r="826">
      <c r="A826" s="96" t="n">
        <v>42248</v>
      </c>
      <c r="B826" t="n">
        <v>237.498</v>
      </c>
      <c r="C826" t="n">
        <v>197.246</v>
      </c>
      <c r="D826" t="n">
        <v>247.984</v>
      </c>
      <c r="E826" t="n">
        <v>243.316</v>
      </c>
    </row>
    <row r="827">
      <c r="A827" s="96" t="n">
        <v>42278</v>
      </c>
      <c r="B827" t="n">
        <v>237.733</v>
      </c>
      <c r="C827" t="n">
        <v>195.616</v>
      </c>
      <c r="D827" t="n">
        <v>248.288</v>
      </c>
      <c r="E827" t="n">
        <v>243.768</v>
      </c>
    </row>
    <row r="828">
      <c r="A828" s="96" t="n">
        <v>42309</v>
      </c>
      <c r="B828" t="n">
        <v>238.017</v>
      </c>
      <c r="C828" t="n">
        <v>195.114</v>
      </c>
      <c r="D828" t="n">
        <v>248.075</v>
      </c>
      <c r="E828" t="n">
        <v>244.241</v>
      </c>
    </row>
    <row r="829">
      <c r="A829" s="96" t="n">
        <v>42339</v>
      </c>
      <c r="B829" t="n">
        <v>237.761</v>
      </c>
      <c r="C829" t="n">
        <v>190.143</v>
      </c>
      <c r="D829" t="n">
        <v>247.761</v>
      </c>
      <c r="E829" t="n">
        <v>244.547</v>
      </c>
    </row>
    <row r="830">
      <c r="A830" s="96" t="n">
        <v>42370</v>
      </c>
      <c r="B830" t="n">
        <v>237.652</v>
      </c>
      <c r="C830" t="n">
        <v>185.235</v>
      </c>
      <c r="D830" t="n">
        <v>247.967</v>
      </c>
      <c r="E830" t="n">
        <v>244.955</v>
      </c>
    </row>
    <row r="831">
      <c r="A831" s="96" t="n">
        <v>42401</v>
      </c>
      <c r="B831" t="n">
        <v>237.336</v>
      </c>
      <c r="C831" t="n">
        <v>176.401</v>
      </c>
      <c r="D831" t="n">
        <v>248.244</v>
      </c>
      <c r="E831" t="n">
        <v>245.51</v>
      </c>
    </row>
    <row r="832">
      <c r="A832" s="96" t="n">
        <v>42430</v>
      </c>
      <c r="B832" t="n">
        <v>238.08</v>
      </c>
      <c r="C832" t="n">
        <v>182.234</v>
      </c>
      <c r="D832" t="n">
        <v>247.699</v>
      </c>
      <c r="E832" t="n">
        <v>245.913</v>
      </c>
    </row>
    <row r="833">
      <c r="A833" s="96" t="n">
        <v>42461</v>
      </c>
      <c r="B833" t="n">
        <v>238.992</v>
      </c>
      <c r="C833" t="n">
        <v>186.713</v>
      </c>
      <c r="D833" t="n">
        <v>247.906</v>
      </c>
      <c r="E833" t="n">
        <v>246.551</v>
      </c>
    </row>
    <row r="834">
      <c r="A834" s="96" t="n">
        <v>42491</v>
      </c>
      <c r="B834" t="n">
        <v>239.557</v>
      </c>
      <c r="C834" t="n">
        <v>188.596</v>
      </c>
      <c r="D834" t="n">
        <v>247.575</v>
      </c>
      <c r="E834" t="n">
        <v>247.137</v>
      </c>
    </row>
    <row r="835">
      <c r="A835" s="96" t="n">
        <v>42522</v>
      </c>
      <c r="B835" t="n">
        <v>240.222</v>
      </c>
      <c r="C835" t="n">
        <v>192.899</v>
      </c>
      <c r="D835" t="n">
        <v>247.42</v>
      </c>
      <c r="E835" t="n">
        <v>247.54</v>
      </c>
    </row>
    <row r="836">
      <c r="A836" s="96" t="n">
        <v>42552</v>
      </c>
      <c r="B836" t="n">
        <v>240.101</v>
      </c>
      <c r="C836" t="n">
        <v>189.046</v>
      </c>
      <c r="D836" t="n">
        <v>247.406</v>
      </c>
      <c r="E836" t="n">
        <v>247.829</v>
      </c>
    </row>
    <row r="837">
      <c r="A837" s="96" t="n">
        <v>42583</v>
      </c>
      <c r="B837" t="n">
        <v>240.545</v>
      </c>
      <c r="C837" t="n">
        <v>188.772</v>
      </c>
      <c r="D837" t="n">
        <v>247.479</v>
      </c>
      <c r="E837" t="n">
        <v>248.423</v>
      </c>
    </row>
    <row r="838">
      <c r="A838" s="96" t="n">
        <v>42614</v>
      </c>
      <c r="B838" t="n">
        <v>241.176</v>
      </c>
      <c r="C838" t="n">
        <v>192.243</v>
      </c>
      <c r="D838" t="n">
        <v>247.528</v>
      </c>
      <c r="E838" t="n">
        <v>248.842</v>
      </c>
    </row>
    <row r="839">
      <c r="A839" s="96" t="n">
        <v>42644</v>
      </c>
      <c r="B839" t="n">
        <v>241.741</v>
      </c>
      <c r="C839" t="n">
        <v>195.979</v>
      </c>
      <c r="D839" t="n">
        <v>247.596</v>
      </c>
      <c r="E839" t="n">
        <v>249.142</v>
      </c>
    </row>
    <row r="840">
      <c r="A840" s="96" t="n">
        <v>42675</v>
      </c>
      <c r="B840" t="n">
        <v>242.026</v>
      </c>
      <c r="C840" t="n">
        <v>196.372</v>
      </c>
      <c r="D840" t="n">
        <v>247.525</v>
      </c>
      <c r="E840" t="n">
        <v>249.481</v>
      </c>
    </row>
    <row r="841">
      <c r="A841" s="96" t="n">
        <v>42705</v>
      </c>
      <c r="B841" t="n">
        <v>242.637</v>
      </c>
      <c r="C841" t="n">
        <v>199.513</v>
      </c>
      <c r="D841" t="n">
        <v>247.53</v>
      </c>
      <c r="E841" t="n">
        <v>249.92</v>
      </c>
    </row>
    <row r="842">
      <c r="A842" s="96" t="n">
        <v>42736</v>
      </c>
      <c r="B842" t="n">
        <v>243.62</v>
      </c>
      <c r="C842" t="n">
        <v>205.496</v>
      </c>
      <c r="D842" t="n">
        <v>247.865</v>
      </c>
      <c r="E842" t="n">
        <v>250.462</v>
      </c>
    </row>
    <row r="843">
      <c r="A843" s="96" t="n">
        <v>42767</v>
      </c>
      <c r="B843" t="n">
        <v>243.872</v>
      </c>
      <c r="C843" t="n">
        <v>203.544</v>
      </c>
      <c r="D843" t="n">
        <v>248.443</v>
      </c>
      <c r="E843" t="n">
        <v>250.903</v>
      </c>
    </row>
    <row r="844">
      <c r="A844" s="96" t="n">
        <v>42795</v>
      </c>
      <c r="B844" t="n">
        <v>243.766</v>
      </c>
      <c r="C844" t="n">
        <v>202.183</v>
      </c>
      <c r="D844" t="n">
        <v>248.926</v>
      </c>
      <c r="E844" t="n">
        <v>250.836</v>
      </c>
    </row>
    <row r="845">
      <c r="A845" s="96" t="n">
        <v>42826</v>
      </c>
      <c r="B845" t="n">
        <v>244.274</v>
      </c>
      <c r="C845" t="n">
        <v>203.792</v>
      </c>
      <c r="D845" t="n">
        <v>249.288</v>
      </c>
      <c r="E845" t="n">
        <v>251.252</v>
      </c>
    </row>
    <row r="846">
      <c r="A846" s="96" t="n">
        <v>42856</v>
      </c>
      <c r="B846" t="n">
        <v>244.069</v>
      </c>
      <c r="C846" t="n">
        <v>198.724</v>
      </c>
      <c r="D846" t="n">
        <v>249.686</v>
      </c>
      <c r="E846" t="n">
        <v>251.488</v>
      </c>
    </row>
    <row r="847">
      <c r="A847" s="96" t="n">
        <v>42887</v>
      </c>
      <c r="B847" t="n">
        <v>244.218</v>
      </c>
      <c r="C847" t="n">
        <v>197.744</v>
      </c>
      <c r="D847" t="n">
        <v>249.538</v>
      </c>
      <c r="E847" t="n">
        <v>251.822</v>
      </c>
    </row>
    <row r="848">
      <c r="A848" s="96" t="n">
        <v>42917</v>
      </c>
      <c r="B848" t="n">
        <v>244.28</v>
      </c>
      <c r="C848" t="n">
        <v>195.729</v>
      </c>
      <c r="D848" t="n">
        <v>250.032</v>
      </c>
      <c r="E848" t="n">
        <v>252.047</v>
      </c>
    </row>
    <row r="849">
      <c r="A849" s="96" t="n">
        <v>42948</v>
      </c>
      <c r="B849" t="n">
        <v>245.205</v>
      </c>
      <c r="C849" t="n">
        <v>201.121</v>
      </c>
      <c r="D849" t="n">
        <v>250.249</v>
      </c>
      <c r="E849" t="n">
        <v>252.597</v>
      </c>
    </row>
    <row r="850">
      <c r="A850" s="96" t="n">
        <v>42979</v>
      </c>
      <c r="B850" t="n">
        <v>246.551</v>
      </c>
      <c r="C850" t="n">
        <v>211.929</v>
      </c>
      <c r="D850" t="n">
        <v>250.678</v>
      </c>
      <c r="E850" t="n">
        <v>253.039</v>
      </c>
    </row>
    <row r="851">
      <c r="A851" s="96" t="n">
        <v>43009</v>
      </c>
      <c r="B851" t="n">
        <v>246.657</v>
      </c>
      <c r="C851" t="n">
        <v>208.427</v>
      </c>
      <c r="D851" t="n">
        <v>250.919</v>
      </c>
      <c r="E851" t="n">
        <v>253.535</v>
      </c>
    </row>
    <row r="852">
      <c r="A852" s="96" t="n">
        <v>43040</v>
      </c>
      <c r="B852" t="n">
        <v>247.378</v>
      </c>
      <c r="C852" t="n">
        <v>214.655</v>
      </c>
      <c r="D852" t="n">
        <v>251.045</v>
      </c>
      <c r="E852" t="n">
        <v>253.744</v>
      </c>
    </row>
    <row r="853">
      <c r="A853" s="96" t="n">
        <v>43070</v>
      </c>
      <c r="B853" t="n">
        <v>247.736</v>
      </c>
      <c r="C853" t="n">
        <v>213.119</v>
      </c>
      <c r="D853" t="n">
        <v>251.479</v>
      </c>
      <c r="E853" t="n">
        <v>254.308</v>
      </c>
    </row>
    <row r="854">
      <c r="A854" s="96" t="n">
        <v>43101</v>
      </c>
      <c r="B854" t="n">
        <v>248.721</v>
      </c>
      <c r="C854" t="n">
        <v>217.273</v>
      </c>
      <c r="D854" t="n">
        <v>251.948</v>
      </c>
      <c r="E854" t="n">
        <v>255.007</v>
      </c>
    </row>
    <row r="855">
      <c r="A855" s="96" t="n">
        <v>43132</v>
      </c>
      <c r="B855" t="n">
        <v>249.3</v>
      </c>
      <c r="C855" t="n">
        <v>219.765</v>
      </c>
      <c r="D855" t="n">
        <v>251.961</v>
      </c>
      <c r="E855" t="n">
        <v>255.472</v>
      </c>
    </row>
    <row r="856">
      <c r="A856" s="96" t="n">
        <v>43160</v>
      </c>
      <c r="B856" t="n">
        <v>249.517</v>
      </c>
      <c r="C856" t="n">
        <v>216.492</v>
      </c>
      <c r="D856" t="n">
        <v>252.082</v>
      </c>
      <c r="E856" t="n">
        <v>256.117</v>
      </c>
    </row>
    <row r="857">
      <c r="A857" s="96" t="n">
        <v>43191</v>
      </c>
      <c r="B857" t="n">
        <v>250.275</v>
      </c>
      <c r="C857" t="n">
        <v>219.424</v>
      </c>
      <c r="D857" t="n">
        <v>252.686</v>
      </c>
      <c r="E857" t="n">
        <v>256.656</v>
      </c>
    </row>
    <row r="858">
      <c r="A858" s="96" t="n">
        <v>43221</v>
      </c>
      <c r="B858" t="n">
        <v>250.786</v>
      </c>
      <c r="C858" t="n">
        <v>220.77</v>
      </c>
      <c r="D858" t="n">
        <v>252.706</v>
      </c>
      <c r="E858" t="n">
        <v>257.157</v>
      </c>
    </row>
    <row r="859">
      <c r="A859" s="96" t="n">
        <v>43252</v>
      </c>
      <c r="B859" t="n">
        <v>251.152</v>
      </c>
      <c r="C859" t="n">
        <v>221.145</v>
      </c>
      <c r="D859" t="n">
        <v>253.068</v>
      </c>
      <c r="E859" t="n">
        <v>257.534</v>
      </c>
    </row>
    <row r="860">
      <c r="A860" s="96" t="n">
        <v>43282</v>
      </c>
      <c r="B860" t="n">
        <v>251.345</v>
      </c>
      <c r="C860" t="n">
        <v>219.168</v>
      </c>
      <c r="D860" t="n">
        <v>253.531</v>
      </c>
      <c r="E860" t="n">
        <v>257.93</v>
      </c>
    </row>
    <row r="861">
      <c r="A861" s="96" t="n">
        <v>43313</v>
      </c>
      <c r="B861" t="n">
        <v>251.735</v>
      </c>
      <c r="C861" t="n">
        <v>221.763</v>
      </c>
      <c r="D861" t="n">
        <v>253.814</v>
      </c>
      <c r="E861" t="n">
        <v>258.08</v>
      </c>
    </row>
    <row r="862">
      <c r="A862" s="96" t="n">
        <v>43344</v>
      </c>
      <c r="B862" t="n">
        <v>252.183</v>
      </c>
      <c r="C862" t="n">
        <v>222.392</v>
      </c>
      <c r="D862" t="n">
        <v>254.201</v>
      </c>
      <c r="E862" t="n">
        <v>258.534</v>
      </c>
    </row>
    <row r="863">
      <c r="A863" s="96" t="n">
        <v>43374</v>
      </c>
      <c r="B863" t="n">
        <v>252.899</v>
      </c>
      <c r="C863" t="n">
        <v>226.735</v>
      </c>
      <c r="D863" t="n">
        <v>254.064</v>
      </c>
      <c r="E863" t="n">
        <v>258.989</v>
      </c>
    </row>
    <row r="864">
      <c r="A864" s="96" t="n">
        <v>43405</v>
      </c>
      <c r="B864" t="n">
        <v>252.822</v>
      </c>
      <c r="C864" t="n">
        <v>221.303</v>
      </c>
      <c r="D864" t="n">
        <v>254.686</v>
      </c>
      <c r="E864" t="n">
        <v>259.415</v>
      </c>
    </row>
    <row r="865">
      <c r="A865" s="96" t="n">
        <v>43435</v>
      </c>
      <c r="B865" t="n">
        <v>252.493</v>
      </c>
      <c r="C865" t="n">
        <v>212.436</v>
      </c>
      <c r="D865" t="n">
        <v>255.529</v>
      </c>
      <c r="E865" t="n">
        <v>259.873</v>
      </c>
    </row>
    <row r="866">
      <c r="A866" s="96" t="n">
        <v>43466</v>
      </c>
      <c r="B866" t="n">
        <v>252.441</v>
      </c>
      <c r="C866" t="n">
        <v>206.324</v>
      </c>
      <c r="D866" t="n">
        <v>256.076</v>
      </c>
      <c r="E866" t="n">
        <v>260.419</v>
      </c>
    </row>
    <row r="867">
      <c r="A867" s="96" t="n">
        <v>43497</v>
      </c>
      <c r="B867" t="n">
        <v>252.969</v>
      </c>
      <c r="C867" t="n">
        <v>208.336</v>
      </c>
      <c r="D867" t="n">
        <v>256.916</v>
      </c>
      <c r="E867" t="n">
        <v>260.722</v>
      </c>
    </row>
    <row r="868">
      <c r="A868" s="96" t="n">
        <v>43525</v>
      </c>
      <c r="B868" t="n">
        <v>254.147</v>
      </c>
      <c r="C868" t="n">
        <v>215.562</v>
      </c>
      <c r="D868" t="n">
        <v>257.285</v>
      </c>
      <c r="E868" t="n">
        <v>261.339</v>
      </c>
    </row>
    <row r="869">
      <c r="A869" s="96" t="n">
        <v>43556</v>
      </c>
      <c r="B869" t="n">
        <v>255.326</v>
      </c>
      <c r="C869" t="n">
        <v>222.974</v>
      </c>
      <c r="D869" t="n">
        <v>257.026</v>
      </c>
      <c r="E869" t="n">
        <v>262.05</v>
      </c>
    </row>
    <row r="870">
      <c r="A870" s="96" t="n">
        <v>43586</v>
      </c>
      <c r="B870" t="n">
        <v>255.371</v>
      </c>
      <c r="C870" t="n">
        <v>219.848</v>
      </c>
      <c r="D870" t="n">
        <v>257.571</v>
      </c>
      <c r="E870" t="n">
        <v>262.384</v>
      </c>
    </row>
    <row r="871">
      <c r="A871" s="96" t="n">
        <v>43617</v>
      </c>
      <c r="B871" t="n">
        <v>255.423</v>
      </c>
      <c r="C871" t="n">
        <v>213.979</v>
      </c>
      <c r="D871" t="n">
        <v>257.707</v>
      </c>
      <c r="E871" t="n">
        <v>263.117</v>
      </c>
    </row>
    <row r="872">
      <c r="A872" s="96" t="n">
        <v>43647</v>
      </c>
      <c r="B872" t="n">
        <v>255.925</v>
      </c>
      <c r="C872" t="n">
        <v>214.95</v>
      </c>
      <c r="D872" t="n">
        <v>257.998</v>
      </c>
      <c r="E872" t="n">
        <v>263.616</v>
      </c>
    </row>
    <row r="873">
      <c r="A873" s="96" t="n">
        <v>43678</v>
      </c>
      <c r="B873" t="n">
        <v>256.118</v>
      </c>
      <c r="C873" t="n">
        <v>212.267</v>
      </c>
      <c r="D873" t="n">
        <v>258.158</v>
      </c>
      <c r="E873" t="n">
        <v>264.151</v>
      </c>
    </row>
    <row r="874">
      <c r="A874" s="96" t="n">
        <v>43709</v>
      </c>
      <c r="B874" t="n">
        <v>256.532</v>
      </c>
      <c r="C874" t="n">
        <v>212.052</v>
      </c>
      <c r="D874" t="n">
        <v>258.74</v>
      </c>
      <c r="E874" t="n">
        <v>264.603</v>
      </c>
    </row>
    <row r="875">
      <c r="A875" s="96" t="n">
        <v>43739</v>
      </c>
      <c r="B875" t="n">
        <v>257.387</v>
      </c>
      <c r="C875" t="n">
        <v>217.186</v>
      </c>
      <c r="D875" t="n">
        <v>259.216</v>
      </c>
      <c r="E875" t="n">
        <v>265.026</v>
      </c>
    </row>
    <row r="876">
      <c r="A876" s="96" t="n">
        <v>43770</v>
      </c>
      <c r="B876" t="n">
        <v>257.989</v>
      </c>
      <c r="C876" t="n">
        <v>219.77</v>
      </c>
      <c r="D876" t="n">
        <v>259.598</v>
      </c>
      <c r="E876" t="n">
        <v>265.427</v>
      </c>
    </row>
    <row r="877">
      <c r="A877" s="96" t="n">
        <v>43800</v>
      </c>
      <c r="B877" t="n">
        <v>258.203</v>
      </c>
      <c r="C877" t="n">
        <v>219.718</v>
      </c>
      <c r="D877" t="n">
        <v>259.97</v>
      </c>
      <c r="E877" t="n">
        <v>265.651</v>
      </c>
    </row>
    <row r="878">
      <c r="A878" s="96" t="n">
        <v>43831</v>
      </c>
      <c r="B878" t="n">
        <v>258.687</v>
      </c>
      <c r="C878" t="n">
        <v>219.117</v>
      </c>
      <c r="D878" t="n">
        <v>260.579</v>
      </c>
      <c r="E878" t="n">
        <v>266.306</v>
      </c>
    </row>
    <row r="879">
      <c r="A879" s="96" t="n">
        <v>43862</v>
      </c>
      <c r="B879" t="n">
        <v>258.824</v>
      </c>
      <c r="C879" t="n">
        <v>213.963</v>
      </c>
      <c r="D879" t="n">
        <v>261.412</v>
      </c>
      <c r="E879" t="n">
        <v>266.876</v>
      </c>
    </row>
    <row r="880">
      <c r="A880" s="96" t="n">
        <v>43891</v>
      </c>
      <c r="B880" t="n">
        <v>257.989</v>
      </c>
      <c r="C880" t="n">
        <v>202.995</v>
      </c>
      <c r="D880" t="n">
        <v>262.132</v>
      </c>
      <c r="E880" t="n">
        <v>266.82</v>
      </c>
    </row>
    <row r="881">
      <c r="A881" s="96" t="n">
        <v>43922</v>
      </c>
      <c r="B881" t="n">
        <v>256.192</v>
      </c>
      <c r="C881" t="n">
        <v>183.788</v>
      </c>
      <c r="D881" t="n">
        <v>265.702</v>
      </c>
      <c r="E881" t="n">
        <v>265.836</v>
      </c>
    </row>
    <row r="882">
      <c r="A882" s="96" t="n">
        <v>43952</v>
      </c>
      <c r="B882" t="n">
        <v>255.942</v>
      </c>
      <c r="C882" t="n">
        <v>179.61</v>
      </c>
      <c r="D882" t="n">
        <v>267.473</v>
      </c>
      <c r="E882" t="n">
        <v>265.637</v>
      </c>
    </row>
    <row r="883">
      <c r="A883" s="96" t="n">
        <v>43983</v>
      </c>
      <c r="B883" t="n">
        <v>257.282</v>
      </c>
      <c r="C883" t="n">
        <v>187.591</v>
      </c>
      <c r="D883" t="n">
        <v>268.841</v>
      </c>
      <c r="E883" t="n">
        <v>266.282</v>
      </c>
    </row>
    <row r="884">
      <c r="A884" s="96" t="n">
        <v>44013</v>
      </c>
      <c r="B884" t="n">
        <v>258.604</v>
      </c>
      <c r="C884" t="n">
        <v>191.566</v>
      </c>
      <c r="D884" t="n">
        <v>268.047</v>
      </c>
      <c r="E884" t="n">
        <v>267.722</v>
      </c>
    </row>
    <row r="885">
      <c r="A885" s="96" t="n">
        <v>44044</v>
      </c>
      <c r="B885" t="n">
        <v>259.511</v>
      </c>
      <c r="C885" t="n">
        <v>193.362</v>
      </c>
      <c r="D885" t="n">
        <v>268.373</v>
      </c>
      <c r="E885" t="n">
        <v>268.654</v>
      </c>
    </row>
    <row r="886">
      <c r="A886" s="96" t="n">
        <v>44075</v>
      </c>
      <c r="B886" t="n">
        <v>260.149</v>
      </c>
      <c r="C886" t="n">
        <v>195.995</v>
      </c>
      <c r="D886" t="n">
        <v>268.621</v>
      </c>
      <c r="E886" t="n">
        <v>269.155</v>
      </c>
    </row>
    <row r="887">
      <c r="A887" s="96" t="n">
        <v>44105</v>
      </c>
      <c r="B887" t="n">
        <v>260.462</v>
      </c>
      <c r="C887" t="n">
        <v>197.157</v>
      </c>
      <c r="D887" t="n">
        <v>269.164</v>
      </c>
      <c r="E887" t="n">
        <v>269.35</v>
      </c>
    </row>
    <row r="888">
      <c r="A888" s="96" t="n">
        <v>44136</v>
      </c>
      <c r="B888" t="n">
        <v>260.927</v>
      </c>
      <c r="C888" t="n">
        <v>198.576</v>
      </c>
      <c r="D888" t="n">
        <v>269.15</v>
      </c>
      <c r="E888" t="n">
        <v>269.819</v>
      </c>
    </row>
    <row r="889">
      <c r="A889" s="96" t="n">
        <v>44166</v>
      </c>
      <c r="B889" t="n">
        <v>261.56</v>
      </c>
      <c r="C889" t="n">
        <v>203.716</v>
      </c>
      <c r="D889" t="n">
        <v>270.015</v>
      </c>
      <c r="E889" t="n">
        <v>269.94</v>
      </c>
    </row>
    <row r="890">
      <c r="A890" s="96" t="n">
        <v>44197</v>
      </c>
      <c r="B890" t="n">
        <v>262.231</v>
      </c>
      <c r="C890" t="n">
        <v>210.822</v>
      </c>
      <c r="D890" t="n">
        <v>270.212</v>
      </c>
      <c r="E890" t="n">
        <v>270.025</v>
      </c>
    </row>
    <row r="891">
      <c r="A891" s="96" t="n">
        <v>44228</v>
      </c>
      <c r="B891" t="n">
        <v>263.161</v>
      </c>
      <c r="C891" t="n">
        <v>218.946</v>
      </c>
      <c r="D891" t="n">
        <v>270.604</v>
      </c>
      <c r="E891" t="n">
        <v>270.299</v>
      </c>
    </row>
    <row r="892">
      <c r="A892" s="96" t="n">
        <v>44256</v>
      </c>
      <c r="B892" t="n">
        <v>264.793</v>
      </c>
      <c r="C892" t="n">
        <v>229.886</v>
      </c>
      <c r="D892" t="n">
        <v>270.946</v>
      </c>
      <c r="E892" t="n">
        <v>271.214</v>
      </c>
    </row>
    <row r="893">
      <c r="A893" s="96" t="n">
        <v>44287</v>
      </c>
      <c r="B893" t="n">
        <v>266.832</v>
      </c>
      <c r="C893" t="n">
        <v>229.658</v>
      </c>
      <c r="D893" t="n">
        <v>271.933</v>
      </c>
      <c r="E893" t="n">
        <v>273.7</v>
      </c>
    </row>
    <row r="894">
      <c r="A894" s="96" t="n">
        <v>44317</v>
      </c>
      <c r="B894" t="n">
        <v>268.551</v>
      </c>
      <c r="C894" t="n">
        <v>229.63</v>
      </c>
      <c r="D894" t="n">
        <v>273.122</v>
      </c>
      <c r="E894" t="n">
        <v>275.718</v>
      </c>
    </row>
    <row r="895">
      <c r="A895" s="96" t="n">
        <v>44348</v>
      </c>
      <c r="B895" t="n">
        <v>270.981</v>
      </c>
      <c r="C895" t="n">
        <v>232.995</v>
      </c>
      <c r="D895" t="n">
        <v>275.183</v>
      </c>
      <c r="E895" t="n">
        <v>278.14</v>
      </c>
    </row>
    <row r="896">
      <c r="A896" s="96" t="n">
        <v>44378</v>
      </c>
      <c r="B896" t="n">
        <v>272.265</v>
      </c>
      <c r="C896" t="n">
        <v>236.796</v>
      </c>
      <c r="D896" t="n">
        <v>277.091</v>
      </c>
      <c r="E896" t="n">
        <v>279.054</v>
      </c>
    </row>
    <row r="897">
      <c r="A897" s="96" t="n">
        <v>44409</v>
      </c>
      <c r="B897" t="n">
        <v>273.012</v>
      </c>
      <c r="C897" t="n">
        <v>241.474</v>
      </c>
      <c r="D897" t="n">
        <v>278.177</v>
      </c>
      <c r="E897" t="n">
        <v>279.338</v>
      </c>
    </row>
    <row r="898">
      <c r="A898" s="96" t="n">
        <v>44440</v>
      </c>
      <c r="B898" t="n">
        <v>274.138</v>
      </c>
      <c r="C898" t="n">
        <v>244.565</v>
      </c>
      <c r="D898" t="n">
        <v>280.608</v>
      </c>
      <c r="E898" t="n">
        <v>280.017</v>
      </c>
    </row>
    <row r="899">
      <c r="A899" s="96" t="n">
        <v>44470</v>
      </c>
      <c r="B899" t="n">
        <v>276.724</v>
      </c>
      <c r="C899" t="n">
        <v>256.227</v>
      </c>
      <c r="D899" t="n">
        <v>282.952</v>
      </c>
      <c r="E899" t="n">
        <v>281.695</v>
      </c>
    </row>
    <row r="900">
      <c r="A900" s="96" t="n">
        <v>44501</v>
      </c>
      <c r="B900" t="n">
        <v>278.88</v>
      </c>
      <c r="C900" t="n">
        <v>265.117</v>
      </c>
      <c r="D900" t="n">
        <v>284.835</v>
      </c>
      <c r="E900" t="n">
        <v>283.201</v>
      </c>
    </row>
    <row r="901">
      <c r="A901" s="96" t="n">
        <v>44531</v>
      </c>
      <c r="B901" t="n">
        <v>280.192</v>
      </c>
      <c r="C901" t="n">
        <v>264.08</v>
      </c>
      <c r="D901" t="n">
        <v>286.255</v>
      </c>
      <c r="E901" t="n">
        <v>284.759</v>
      </c>
    </row>
    <row r="902">
      <c r="A902" s="96" t="n">
        <v>44562</v>
      </c>
      <c r="B902" t="n">
        <v>281.933</v>
      </c>
      <c r="C902" t="n">
        <v>265.929</v>
      </c>
      <c r="D902" t="n">
        <v>288.436</v>
      </c>
      <c r="E902" t="n">
        <v>286.431</v>
      </c>
    </row>
    <row r="903">
      <c r="A903" s="96" t="n">
        <v>44593</v>
      </c>
      <c r="B903" t="n">
        <v>284.182</v>
      </c>
      <c r="C903" t="n">
        <v>275.17</v>
      </c>
      <c r="D903" t="n">
        <v>291.325</v>
      </c>
      <c r="E903" t="n">
        <v>287.878</v>
      </c>
    </row>
    <row r="904">
      <c r="A904" s="96" t="n">
        <v>44621</v>
      </c>
      <c r="B904" t="n">
        <v>287.708</v>
      </c>
      <c r="C904" t="n">
        <v>305.469</v>
      </c>
      <c r="D904" t="n">
        <v>294.119</v>
      </c>
      <c r="E904" t="n">
        <v>288.811</v>
      </c>
    </row>
    <row r="905">
      <c r="A905" s="96" t="n">
        <v>44652</v>
      </c>
      <c r="B905" t="n">
        <v>288.663</v>
      </c>
      <c r="C905" t="n">
        <v>297.233</v>
      </c>
      <c r="D905" t="n">
        <v>296.585</v>
      </c>
      <c r="E905" t="n">
        <v>290.455</v>
      </c>
    </row>
    <row r="906">
      <c r="A906" s="96" t="n">
        <v>44682</v>
      </c>
      <c r="B906" t="n">
        <v>291.474</v>
      </c>
      <c r="C906" t="n">
        <v>308.839</v>
      </c>
      <c r="D906" t="n">
        <v>299.941</v>
      </c>
      <c r="E906" t="n">
        <v>292.289</v>
      </c>
    </row>
    <row r="907">
      <c r="A907" s="96" t="n">
        <v>44713</v>
      </c>
      <c r="B907" t="n">
        <v>295.328</v>
      </c>
      <c r="C907" t="n">
        <v>332.087</v>
      </c>
      <c r="D907" t="n">
        <v>302.805</v>
      </c>
      <c r="E907" t="n">
        <v>294.354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17"/>
  <sheetViews>
    <sheetView zoomScale="130" zoomScaleNormal="130" workbookViewId="0">
      <pane ySplit="1" topLeftCell="A794" activePane="bottomLeft" state="frozen"/>
      <selection pane="bottomLeft" activeCell="N27" sqref="N27"/>
    </sheetView>
  </sheetViews>
  <sheetFormatPr baseColWidth="10" defaultColWidth="9.1640625" defaultRowHeight="15"/>
  <cols>
    <col width="13.1640625" customWidth="1" style="77" min="1" max="1"/>
    <col width="20.33203125" customWidth="1" style="5" min="2" max="2"/>
    <col width="9.1640625" customWidth="1" style="77" min="3" max="4"/>
    <col width="13.33203125" customWidth="1" style="5" min="5" max="5"/>
    <col width="16.33203125" customWidth="1" style="5" min="6" max="6"/>
    <col width="9.1640625" customWidth="1" style="77" min="7" max="14"/>
    <col width="9.1640625" customWidth="1" style="77" min="15" max="16384"/>
  </cols>
  <sheetData>
    <row r="1">
      <c r="A1" t="inlineStr">
        <is>
          <t>DATE</t>
        </is>
      </c>
      <c r="B1" t="inlineStr">
        <is>
          <t>Fed Target</t>
        </is>
      </c>
      <c r="C1" t="inlineStr">
        <is>
          <t>Fed Funds Rate</t>
        </is>
      </c>
    </row>
    <row r="2">
      <c r="A2" s="96" t="n">
        <v>19906</v>
      </c>
      <c r="B2" t="n">
        <v/>
      </c>
      <c r="C2" t="n">
        <v>0.8</v>
      </c>
    </row>
    <row r="3">
      <c r="A3" s="96" t="n">
        <v>19937</v>
      </c>
      <c r="B3" t="n">
        <v/>
      </c>
      <c r="C3" t="n">
        <v>1.22</v>
      </c>
    </row>
    <row r="4">
      <c r="A4" s="96" t="n">
        <v>19968</v>
      </c>
      <c r="B4" t="n">
        <v/>
      </c>
      <c r="C4" t="n">
        <v>1.07</v>
      </c>
    </row>
    <row r="5">
      <c r="A5" s="96" t="n">
        <v>19998</v>
      </c>
      <c r="B5" t="n">
        <v/>
      </c>
      <c r="C5" t="n">
        <v>0.85</v>
      </c>
    </row>
    <row r="6">
      <c r="A6" s="96" t="n">
        <v>20029</v>
      </c>
      <c r="B6" t="n">
        <v/>
      </c>
      <c r="C6" t="n">
        <v>0.83</v>
      </c>
    </row>
    <row r="7">
      <c r="A7" s="96" t="n">
        <v>20059</v>
      </c>
      <c r="B7" t="n">
        <v/>
      </c>
      <c r="C7" t="n">
        <v>1.28</v>
      </c>
    </row>
    <row r="8">
      <c r="A8" s="96" t="n">
        <v>20090</v>
      </c>
      <c r="B8" t="n">
        <v/>
      </c>
      <c r="C8" t="n">
        <v>1.39</v>
      </c>
    </row>
    <row r="9">
      <c r="A9" s="96" t="n">
        <v>20121</v>
      </c>
      <c r="B9" t="n">
        <v/>
      </c>
      <c r="C9" t="n">
        <v>1.29</v>
      </c>
    </row>
    <row r="10">
      <c r="A10" s="96" t="n">
        <v>20149</v>
      </c>
      <c r="B10" t="n">
        <v/>
      </c>
      <c r="C10" t="n">
        <v>1.35</v>
      </c>
    </row>
    <row r="11">
      <c r="A11" s="96" t="n">
        <v>20180</v>
      </c>
      <c r="B11" t="n">
        <v/>
      </c>
      <c r="C11" t="n">
        <v>1.43</v>
      </c>
    </row>
    <row r="12">
      <c r="A12" s="96" t="n">
        <v>20210</v>
      </c>
      <c r="B12" t="n">
        <v/>
      </c>
      <c r="C12" t="n">
        <v>1.43</v>
      </c>
    </row>
    <row r="13">
      <c r="A13" s="96" t="n">
        <v>20241</v>
      </c>
      <c r="B13" t="n">
        <v/>
      </c>
      <c r="C13" t="n">
        <v>1.64</v>
      </c>
    </row>
    <row r="14">
      <c r="A14" s="96" t="n">
        <v>20271</v>
      </c>
      <c r="B14" t="n">
        <v/>
      </c>
      <c r="C14" t="n">
        <v>1.68</v>
      </c>
    </row>
    <row r="15">
      <c r="A15" s="96" t="n">
        <v>20302</v>
      </c>
      <c r="B15" t="n">
        <v/>
      </c>
      <c r="C15" t="n">
        <v>1.96</v>
      </c>
    </row>
    <row r="16">
      <c r="A16" s="96" t="n">
        <v>20333</v>
      </c>
      <c r="B16" t="n">
        <v/>
      </c>
      <c r="C16" t="n">
        <v>2.18</v>
      </c>
    </row>
    <row r="17">
      <c r="A17" s="96" t="n">
        <v>20363</v>
      </c>
      <c r="B17" t="n">
        <v/>
      </c>
      <c r="C17" t="n">
        <v>2.24</v>
      </c>
    </row>
    <row r="18">
      <c r="A18" s="96" t="n">
        <v>20394</v>
      </c>
      <c r="B18" t="n">
        <v/>
      </c>
      <c r="C18" t="n">
        <v>2.35</v>
      </c>
    </row>
    <row r="19">
      <c r="A19" s="96" t="n">
        <v>20424</v>
      </c>
      <c r="B19" t="n">
        <v/>
      </c>
      <c r="C19" t="n">
        <v>2.48</v>
      </c>
    </row>
    <row r="20">
      <c r="A20" s="96" t="n">
        <v>20455</v>
      </c>
      <c r="B20" t="n">
        <v/>
      </c>
      <c r="C20" t="n">
        <v>2.45</v>
      </c>
    </row>
    <row r="21">
      <c r="A21" s="96" t="n">
        <v>20486</v>
      </c>
      <c r="B21" t="n">
        <v/>
      </c>
      <c r="C21" t="n">
        <v>2.5</v>
      </c>
    </row>
    <row r="22">
      <c r="A22" s="96" t="n">
        <v>20515</v>
      </c>
      <c r="B22" t="n">
        <v/>
      </c>
      <c r="C22" t="n">
        <v>2.5</v>
      </c>
    </row>
    <row r="23">
      <c r="A23" s="96" t="n">
        <v>20546</v>
      </c>
      <c r="B23" t="n">
        <v/>
      </c>
      <c r="C23" t="n">
        <v>2.62</v>
      </c>
    </row>
    <row r="24">
      <c r="A24" s="96" t="n">
        <v>20576</v>
      </c>
      <c r="B24" t="n">
        <v/>
      </c>
      <c r="C24" t="n">
        <v>2.75</v>
      </c>
    </row>
    <row r="25">
      <c r="A25" s="96" t="n">
        <v>20607</v>
      </c>
      <c r="B25" t="n">
        <v/>
      </c>
      <c r="C25" t="n">
        <v>2.71</v>
      </c>
    </row>
    <row r="26">
      <c r="A26" s="96" t="n">
        <v>20637</v>
      </c>
      <c r="B26" t="n">
        <v/>
      </c>
      <c r="C26" t="n">
        <v>2.75</v>
      </c>
    </row>
    <row r="27">
      <c r="A27" s="96" t="n">
        <v>20668</v>
      </c>
      <c r="B27" t="n">
        <v/>
      </c>
      <c r="C27" t="n">
        <v>2.73</v>
      </c>
    </row>
    <row r="28">
      <c r="A28" s="96" t="n">
        <v>20699</v>
      </c>
      <c r="B28" t="n">
        <v/>
      </c>
      <c r="C28" t="n">
        <v>2.95</v>
      </c>
    </row>
    <row r="29">
      <c r="A29" s="96" t="n">
        <v>20729</v>
      </c>
      <c r="B29" t="n">
        <v/>
      </c>
      <c r="C29" t="n">
        <v>2.96</v>
      </c>
    </row>
    <row r="30">
      <c r="A30" s="96" t="n">
        <v>20760</v>
      </c>
      <c r="B30" t="n">
        <v/>
      </c>
      <c r="C30" t="n">
        <v>2.88</v>
      </c>
    </row>
    <row r="31">
      <c r="A31" s="96" t="n">
        <v>20790</v>
      </c>
      <c r="B31" t="n">
        <v/>
      </c>
      <c r="C31" t="n">
        <v>2.94</v>
      </c>
    </row>
    <row r="32">
      <c r="A32" s="96" t="n">
        <v>20821</v>
      </c>
      <c r="B32" t="n">
        <v/>
      </c>
      <c r="C32" t="n">
        <v>2.84</v>
      </c>
    </row>
    <row r="33">
      <c r="A33" s="96" t="n">
        <v>20852</v>
      </c>
      <c r="B33" t="n">
        <v/>
      </c>
      <c r="C33" t="n">
        <v>3</v>
      </c>
    </row>
    <row r="34">
      <c r="A34" s="96" t="n">
        <v>20880</v>
      </c>
      <c r="B34" t="n">
        <v/>
      </c>
      <c r="C34" t="n">
        <v>2.96</v>
      </c>
    </row>
    <row r="35">
      <c r="A35" s="96" t="n">
        <v>20911</v>
      </c>
      <c r="B35" t="n">
        <v/>
      </c>
      <c r="C35" t="n">
        <v>3</v>
      </c>
    </row>
    <row r="36">
      <c r="A36" s="96" t="n">
        <v>20941</v>
      </c>
      <c r="B36" t="n">
        <v/>
      </c>
      <c r="C36" t="n">
        <v>3</v>
      </c>
    </row>
    <row r="37">
      <c r="A37" s="96" t="n">
        <v>20972</v>
      </c>
      <c r="B37" t="n">
        <v/>
      </c>
      <c r="C37" t="n">
        <v>3</v>
      </c>
    </row>
    <row r="38">
      <c r="A38" s="96" t="n">
        <v>21002</v>
      </c>
      <c r="B38" t="n">
        <v/>
      </c>
      <c r="C38" t="n">
        <v>2.99</v>
      </c>
    </row>
    <row r="39">
      <c r="A39" s="96" t="n">
        <v>21033</v>
      </c>
      <c r="B39" t="n">
        <v/>
      </c>
      <c r="C39" t="n">
        <v>3.24</v>
      </c>
    </row>
    <row r="40">
      <c r="A40" s="96" t="n">
        <v>21064</v>
      </c>
      <c r="B40" t="n">
        <v/>
      </c>
      <c r="C40" t="n">
        <v>3.47</v>
      </c>
    </row>
    <row r="41">
      <c r="A41" s="96" t="n">
        <v>21094</v>
      </c>
      <c r="B41" t="n">
        <v/>
      </c>
      <c r="C41" t="n">
        <v>3.5</v>
      </c>
    </row>
    <row r="42">
      <c r="A42" s="96" t="n">
        <v>21125</v>
      </c>
      <c r="B42" t="n">
        <v/>
      </c>
      <c r="C42" t="n">
        <v>3.28</v>
      </c>
    </row>
    <row r="43">
      <c r="A43" s="96" t="n">
        <v>21155</v>
      </c>
      <c r="B43" t="n">
        <v/>
      </c>
      <c r="C43" t="n">
        <v>2.98</v>
      </c>
    </row>
    <row r="44">
      <c r="A44" s="96" t="n">
        <v>21186</v>
      </c>
      <c r="B44" t="n">
        <v/>
      </c>
      <c r="C44" t="n">
        <v>2.72</v>
      </c>
    </row>
    <row r="45">
      <c r="A45" s="96" t="n">
        <v>21217</v>
      </c>
      <c r="B45" t="n">
        <v/>
      </c>
      <c r="C45" t="n">
        <v>1.67</v>
      </c>
    </row>
    <row r="46">
      <c r="A46" s="96" t="n">
        <v>21245</v>
      </c>
      <c r="B46" t="n">
        <v/>
      </c>
      <c r="C46" t="n">
        <v>1.2</v>
      </c>
    </row>
    <row r="47">
      <c r="A47" s="96" t="n">
        <v>21276</v>
      </c>
      <c r="B47" t="n">
        <v/>
      </c>
      <c r="C47" t="n">
        <v>1.26</v>
      </c>
    </row>
    <row r="48">
      <c r="A48" s="96" t="n">
        <v>21306</v>
      </c>
      <c r="B48" t="n">
        <v/>
      </c>
      <c r="C48" t="n">
        <v>0.63</v>
      </c>
    </row>
    <row r="49">
      <c r="A49" s="96" t="n">
        <v>21337</v>
      </c>
      <c r="B49" t="n">
        <v/>
      </c>
      <c r="C49" t="n">
        <v>0.93</v>
      </c>
    </row>
    <row r="50">
      <c r="A50" s="96" t="n">
        <v>21367</v>
      </c>
      <c r="B50" t="n">
        <v/>
      </c>
      <c r="C50" t="n">
        <v>0.68</v>
      </c>
    </row>
    <row r="51">
      <c r="A51" s="96" t="n">
        <v>21398</v>
      </c>
      <c r="B51" t="n">
        <v/>
      </c>
      <c r="C51" t="n">
        <v>1.53</v>
      </c>
    </row>
    <row r="52">
      <c r="A52" s="96" t="n">
        <v>21429</v>
      </c>
      <c r="B52" t="n">
        <v/>
      </c>
      <c r="C52" t="n">
        <v>1.76</v>
      </c>
    </row>
    <row r="53">
      <c r="A53" s="96" t="n">
        <v>21459</v>
      </c>
      <c r="B53" t="n">
        <v/>
      </c>
      <c r="C53" t="n">
        <v>1.8</v>
      </c>
    </row>
    <row r="54">
      <c r="A54" s="96" t="n">
        <v>21490</v>
      </c>
      <c r="B54" t="n">
        <v/>
      </c>
      <c r="C54" t="n">
        <v>2.27</v>
      </c>
    </row>
    <row r="55">
      <c r="A55" s="96" t="n">
        <v>21520</v>
      </c>
      <c r="B55" t="n">
        <v/>
      </c>
      <c r="C55" t="n">
        <v>2.42</v>
      </c>
    </row>
    <row r="56">
      <c r="A56" s="96" t="n">
        <v>21551</v>
      </c>
      <c r="B56" t="n">
        <v/>
      </c>
      <c r="C56" t="n">
        <v>2.48</v>
      </c>
    </row>
    <row r="57">
      <c r="A57" s="96" t="n">
        <v>21582</v>
      </c>
      <c r="B57" t="n">
        <v/>
      </c>
      <c r="C57" t="n">
        <v>2.43</v>
      </c>
    </row>
    <row r="58">
      <c r="A58" s="96" t="n">
        <v>21610</v>
      </c>
      <c r="B58" t="n">
        <v/>
      </c>
      <c r="C58" t="n">
        <v>2.8</v>
      </c>
    </row>
    <row r="59">
      <c r="A59" s="96" t="n">
        <v>21641</v>
      </c>
      <c r="B59" t="n">
        <v/>
      </c>
      <c r="C59" t="n">
        <v>2.96</v>
      </c>
    </row>
    <row r="60">
      <c r="A60" s="96" t="n">
        <v>21671</v>
      </c>
      <c r="B60" t="n">
        <v/>
      </c>
      <c r="C60" t="n">
        <v>2.9</v>
      </c>
    </row>
    <row r="61">
      <c r="A61" s="96" t="n">
        <v>21702</v>
      </c>
      <c r="B61" t="n">
        <v/>
      </c>
      <c r="C61" t="n">
        <v>3.39</v>
      </c>
    </row>
    <row r="62">
      <c r="A62" s="96" t="n">
        <v>21732</v>
      </c>
      <c r="B62" t="n">
        <v/>
      </c>
      <c r="C62" t="n">
        <v>3.47</v>
      </c>
    </row>
    <row r="63">
      <c r="A63" s="96" t="n">
        <v>21763</v>
      </c>
      <c r="B63" t="n">
        <v/>
      </c>
      <c r="C63" t="n">
        <v>3.5</v>
      </c>
    </row>
    <row r="64">
      <c r="A64" s="96" t="n">
        <v>21794</v>
      </c>
      <c r="B64" t="n">
        <v/>
      </c>
      <c r="C64" t="n">
        <v>3.76</v>
      </c>
    </row>
    <row r="65">
      <c r="A65" s="96" t="n">
        <v>21824</v>
      </c>
      <c r="B65" t="n">
        <v/>
      </c>
      <c r="C65" t="n">
        <v>3.98</v>
      </c>
    </row>
    <row r="66">
      <c r="A66" s="96" t="n">
        <v>21855</v>
      </c>
      <c r="B66" t="n">
        <v/>
      </c>
      <c r="C66" t="n">
        <v>4</v>
      </c>
    </row>
    <row r="67">
      <c r="A67" s="96" t="n">
        <v>21885</v>
      </c>
      <c r="B67" t="n">
        <v/>
      </c>
      <c r="C67" t="n">
        <v>3.99</v>
      </c>
    </row>
    <row r="68">
      <c r="A68" s="96" t="n">
        <v>21916</v>
      </c>
      <c r="B68" t="n">
        <v/>
      </c>
      <c r="C68" t="n">
        <v>3.99</v>
      </c>
    </row>
    <row r="69">
      <c r="A69" s="96" t="n">
        <v>21947</v>
      </c>
      <c r="B69" t="n">
        <v/>
      </c>
      <c r="C69" t="n">
        <v>3.97</v>
      </c>
    </row>
    <row r="70">
      <c r="A70" s="96" t="n">
        <v>21976</v>
      </c>
      <c r="B70" t="n">
        <v/>
      </c>
      <c r="C70" t="n">
        <v>3.84</v>
      </c>
    </row>
    <row r="71">
      <c r="A71" s="96" t="n">
        <v>22007</v>
      </c>
      <c r="B71" t="n">
        <v/>
      </c>
      <c r="C71" t="n">
        <v>3.92</v>
      </c>
    </row>
    <row r="72">
      <c r="A72" s="96" t="n">
        <v>22037</v>
      </c>
      <c r="B72" t="n">
        <v/>
      </c>
      <c r="C72" t="n">
        <v>3.85</v>
      </c>
    </row>
    <row r="73">
      <c r="A73" s="96" t="n">
        <v>22068</v>
      </c>
      <c r="B73" t="n">
        <v/>
      </c>
      <c r="C73" t="n">
        <v>3.32</v>
      </c>
    </row>
    <row r="74">
      <c r="A74" s="96" t="n">
        <v>22098</v>
      </c>
      <c r="B74" t="n">
        <v/>
      </c>
      <c r="C74" t="n">
        <v>3.23</v>
      </c>
    </row>
    <row r="75">
      <c r="A75" s="96" t="n">
        <v>22129</v>
      </c>
      <c r="B75" t="n">
        <v/>
      </c>
      <c r="C75" t="n">
        <v>2.98</v>
      </c>
    </row>
    <row r="76">
      <c r="A76" s="96" t="n">
        <v>22160</v>
      </c>
      <c r="B76" t="n">
        <v/>
      </c>
      <c r="C76" t="n">
        <v>2.6</v>
      </c>
    </row>
    <row r="77">
      <c r="A77" s="96" t="n">
        <v>22190</v>
      </c>
      <c r="B77" t="n">
        <v/>
      </c>
      <c r="C77" t="n">
        <v>2.47</v>
      </c>
    </row>
    <row r="78">
      <c r="A78" s="96" t="n">
        <v>22221</v>
      </c>
      <c r="B78" t="n">
        <v/>
      </c>
      <c r="C78" t="n">
        <v>2.44</v>
      </c>
    </row>
    <row r="79">
      <c r="A79" s="96" t="n">
        <v>22251</v>
      </c>
      <c r="B79" t="n">
        <v/>
      </c>
      <c r="C79" t="n">
        <v>1.98</v>
      </c>
    </row>
    <row r="80">
      <c r="A80" s="96" t="n">
        <v>22282</v>
      </c>
      <c r="B80" t="n">
        <v/>
      </c>
      <c r="C80" t="n">
        <v>1.45</v>
      </c>
    </row>
    <row r="81">
      <c r="A81" s="96" t="n">
        <v>22313</v>
      </c>
      <c r="B81" t="n">
        <v/>
      </c>
      <c r="C81" t="n">
        <v>2.54</v>
      </c>
    </row>
    <row r="82">
      <c r="A82" s="96" t="n">
        <v>22341</v>
      </c>
      <c r="B82" t="n">
        <v/>
      </c>
      <c r="C82" t="n">
        <v>2.02</v>
      </c>
    </row>
    <row r="83">
      <c r="A83" s="96" t="n">
        <v>22372</v>
      </c>
      <c r="B83" t="n">
        <v/>
      </c>
      <c r="C83" t="n">
        <v>1.49</v>
      </c>
    </row>
    <row r="84">
      <c r="A84" s="96" t="n">
        <v>22402</v>
      </c>
      <c r="B84" t="n">
        <v/>
      </c>
      <c r="C84" t="n">
        <v>1.98</v>
      </c>
    </row>
    <row r="85">
      <c r="A85" s="96" t="n">
        <v>22433</v>
      </c>
      <c r="B85" t="n">
        <v/>
      </c>
      <c r="C85" t="n">
        <v>1.73</v>
      </c>
    </row>
    <row r="86">
      <c r="A86" s="96" t="n">
        <v>22463</v>
      </c>
      <c r="B86" t="n">
        <v/>
      </c>
      <c r="C86" t="n">
        <v>1.17</v>
      </c>
    </row>
    <row r="87">
      <c r="A87" s="96" t="n">
        <v>22494</v>
      </c>
      <c r="B87" t="n">
        <v/>
      </c>
      <c r="C87" t="n">
        <v>2</v>
      </c>
    </row>
    <row r="88">
      <c r="A88" s="96" t="n">
        <v>22525</v>
      </c>
      <c r="B88" t="n">
        <v/>
      </c>
      <c r="C88" t="n">
        <v>1.88</v>
      </c>
    </row>
    <row r="89">
      <c r="A89" s="96" t="n">
        <v>22555</v>
      </c>
      <c r="B89" t="n">
        <v/>
      </c>
      <c r="C89" t="n">
        <v>2.26</v>
      </c>
    </row>
    <row r="90">
      <c r="A90" s="96" t="n">
        <v>22586</v>
      </c>
      <c r="B90" t="n">
        <v/>
      </c>
      <c r="C90" t="n">
        <v>2.61</v>
      </c>
    </row>
    <row r="91">
      <c r="A91" s="96" t="n">
        <v>22616</v>
      </c>
      <c r="B91" t="n">
        <v/>
      </c>
      <c r="C91" t="n">
        <v>2.33</v>
      </c>
    </row>
    <row r="92">
      <c r="A92" s="96" t="n">
        <v>22647</v>
      </c>
      <c r="B92" t="n">
        <v/>
      </c>
      <c r="C92" t="n">
        <v>2.15</v>
      </c>
    </row>
    <row r="93">
      <c r="A93" s="96" t="n">
        <v>22678</v>
      </c>
      <c r="B93" t="n">
        <v/>
      </c>
      <c r="C93" t="n">
        <v>2.37</v>
      </c>
    </row>
    <row r="94">
      <c r="A94" s="96" t="n">
        <v>22706</v>
      </c>
      <c r="B94" t="n">
        <v/>
      </c>
      <c r="C94" t="n">
        <v>2.85</v>
      </c>
    </row>
    <row r="95">
      <c r="A95" s="96" t="n">
        <v>22737</v>
      </c>
      <c r="B95" t="n">
        <v/>
      </c>
      <c r="C95" t="n">
        <v>2.78</v>
      </c>
    </row>
    <row r="96">
      <c r="A96" s="96" t="n">
        <v>22767</v>
      </c>
      <c r="B96" t="n">
        <v/>
      </c>
      <c r="C96" t="n">
        <v>2.36</v>
      </c>
    </row>
    <row r="97">
      <c r="A97" s="96" t="n">
        <v>22798</v>
      </c>
      <c r="B97" t="n">
        <v/>
      </c>
      <c r="C97" t="n">
        <v>2.68</v>
      </c>
    </row>
    <row r="98">
      <c r="A98" s="96" t="n">
        <v>22828</v>
      </c>
      <c r="B98" t="n">
        <v/>
      </c>
      <c r="C98" t="n">
        <v>2.71</v>
      </c>
    </row>
    <row r="99">
      <c r="A99" s="96" t="n">
        <v>22859</v>
      </c>
      <c r="B99" t="n">
        <v/>
      </c>
      <c r="C99" t="n">
        <v>2.93</v>
      </c>
    </row>
    <row r="100">
      <c r="A100" s="96" t="n">
        <v>22890</v>
      </c>
      <c r="B100" t="n">
        <v/>
      </c>
      <c r="C100" t="n">
        <v>2.9</v>
      </c>
    </row>
    <row r="101">
      <c r="A101" s="96" t="n">
        <v>22920</v>
      </c>
      <c r="B101" t="n">
        <v/>
      </c>
      <c r="C101" t="n">
        <v>2.9</v>
      </c>
    </row>
    <row r="102">
      <c r="A102" s="96" t="n">
        <v>22951</v>
      </c>
      <c r="B102" t="n">
        <v/>
      </c>
      <c r="C102" t="n">
        <v>2.94</v>
      </c>
    </row>
    <row r="103">
      <c r="A103" s="96" t="n">
        <v>22981</v>
      </c>
      <c r="B103" t="n">
        <v/>
      </c>
      <c r="C103" t="n">
        <v>2.93</v>
      </c>
    </row>
    <row r="104">
      <c r="A104" s="96" t="n">
        <v>23012</v>
      </c>
      <c r="B104" t="n">
        <v/>
      </c>
      <c r="C104" t="n">
        <v>2.92</v>
      </c>
    </row>
    <row r="105">
      <c r="A105" s="96" t="n">
        <v>23043</v>
      </c>
      <c r="B105" t="n">
        <v/>
      </c>
      <c r="C105" t="n">
        <v>3</v>
      </c>
    </row>
    <row r="106">
      <c r="A106" s="96" t="n">
        <v>23071</v>
      </c>
      <c r="B106" t="n">
        <v/>
      </c>
      <c r="C106" t="n">
        <v>2.98</v>
      </c>
    </row>
    <row r="107">
      <c r="A107" s="96" t="n">
        <v>23102</v>
      </c>
      <c r="B107" t="n">
        <v/>
      </c>
      <c r="C107" t="n">
        <v>2.9</v>
      </c>
    </row>
    <row r="108">
      <c r="A108" s="96" t="n">
        <v>23132</v>
      </c>
      <c r="B108" t="n">
        <v/>
      </c>
      <c r="C108" t="n">
        <v>3</v>
      </c>
    </row>
    <row r="109">
      <c r="A109" s="96" t="n">
        <v>23163</v>
      </c>
      <c r="B109" t="n">
        <v/>
      </c>
      <c r="C109" t="n">
        <v>2.99</v>
      </c>
    </row>
    <row r="110">
      <c r="A110" s="96" t="n">
        <v>23193</v>
      </c>
      <c r="B110" t="n">
        <v/>
      </c>
      <c r="C110" t="n">
        <v>3.02</v>
      </c>
    </row>
    <row r="111">
      <c r="A111" s="96" t="n">
        <v>23224</v>
      </c>
      <c r="B111" t="n">
        <v/>
      </c>
      <c r="C111" t="n">
        <v>3.49</v>
      </c>
    </row>
    <row r="112">
      <c r="A112" s="96" t="n">
        <v>23255</v>
      </c>
      <c r="B112" t="n">
        <v/>
      </c>
      <c r="C112" t="n">
        <v>3.48</v>
      </c>
    </row>
    <row r="113">
      <c r="A113" s="96" t="n">
        <v>23285</v>
      </c>
      <c r="B113" t="n">
        <v/>
      </c>
      <c r="C113" t="n">
        <v>3.5</v>
      </c>
    </row>
    <row r="114">
      <c r="A114" s="96" t="n">
        <v>23316</v>
      </c>
      <c r="B114" t="n">
        <v/>
      </c>
      <c r="C114" t="n">
        <v>3.48</v>
      </c>
    </row>
    <row r="115">
      <c r="A115" s="96" t="n">
        <v>23346</v>
      </c>
      <c r="B115" t="n">
        <v/>
      </c>
      <c r="C115" t="n">
        <v>3.38</v>
      </c>
    </row>
    <row r="116">
      <c r="A116" s="96" t="n">
        <v>23377</v>
      </c>
      <c r="B116" t="n">
        <v/>
      </c>
      <c r="C116" t="n">
        <v>3.48</v>
      </c>
    </row>
    <row r="117">
      <c r="A117" s="96" t="n">
        <v>23408</v>
      </c>
      <c r="B117" t="n">
        <v/>
      </c>
      <c r="C117" t="n">
        <v>3.48</v>
      </c>
    </row>
    <row r="118">
      <c r="A118" s="96" t="n">
        <v>23437</v>
      </c>
      <c r="B118" t="n">
        <v/>
      </c>
      <c r="C118" t="n">
        <v>3.43</v>
      </c>
    </row>
    <row r="119">
      <c r="A119" s="96" t="n">
        <v>23468</v>
      </c>
      <c r="B119" t="n">
        <v/>
      </c>
      <c r="C119" t="n">
        <v>3.47</v>
      </c>
    </row>
    <row r="120">
      <c r="A120" s="96" t="n">
        <v>23498</v>
      </c>
      <c r="B120" t="n">
        <v/>
      </c>
      <c r="C120" t="n">
        <v>3.5</v>
      </c>
    </row>
    <row r="121">
      <c r="A121" s="96" t="n">
        <v>23529</v>
      </c>
      <c r="B121" t="n">
        <v/>
      </c>
      <c r="C121" t="n">
        <v>3.5</v>
      </c>
    </row>
    <row r="122">
      <c r="A122" s="96" t="n">
        <v>23559</v>
      </c>
      <c r="B122" t="n">
        <v/>
      </c>
      <c r="C122" t="n">
        <v>3.42</v>
      </c>
    </row>
    <row r="123">
      <c r="A123" s="96" t="n">
        <v>23590</v>
      </c>
      <c r="B123" t="n">
        <v/>
      </c>
      <c r="C123" t="n">
        <v>3.5</v>
      </c>
    </row>
    <row r="124">
      <c r="A124" s="96" t="n">
        <v>23621</v>
      </c>
      <c r="B124" t="n">
        <v/>
      </c>
      <c r="C124" t="n">
        <v>3.45</v>
      </c>
    </row>
    <row r="125">
      <c r="A125" s="96" t="n">
        <v>23651</v>
      </c>
      <c r="B125" t="n">
        <v/>
      </c>
      <c r="C125" t="n">
        <v>3.36</v>
      </c>
    </row>
    <row r="126">
      <c r="A126" s="96" t="n">
        <v>23682</v>
      </c>
      <c r="B126" t="n">
        <v/>
      </c>
      <c r="C126" t="n">
        <v>3.52</v>
      </c>
    </row>
    <row r="127">
      <c r="A127" s="96" t="n">
        <v>23712</v>
      </c>
      <c r="B127" t="n">
        <v/>
      </c>
      <c r="C127" t="n">
        <v>3.85</v>
      </c>
    </row>
    <row r="128">
      <c r="A128" s="96" t="n">
        <v>23743</v>
      </c>
      <c r="B128" t="n">
        <v/>
      </c>
      <c r="C128" t="n">
        <v>3.9</v>
      </c>
    </row>
    <row r="129">
      <c r="A129" s="96" t="n">
        <v>23774</v>
      </c>
      <c r="B129" t="n">
        <v/>
      </c>
      <c r="C129" t="n">
        <v>3.98</v>
      </c>
    </row>
    <row r="130">
      <c r="A130" s="96" t="n">
        <v>23802</v>
      </c>
      <c r="B130" t="n">
        <v/>
      </c>
      <c r="C130" t="n">
        <v>4.05</v>
      </c>
    </row>
    <row r="131">
      <c r="A131" s="96" t="n">
        <v>23833</v>
      </c>
      <c r="B131" t="n">
        <v/>
      </c>
      <c r="C131" t="n">
        <v>4.09</v>
      </c>
    </row>
    <row r="132">
      <c r="A132" s="96" t="n">
        <v>23863</v>
      </c>
      <c r="B132" t="n">
        <v/>
      </c>
      <c r="C132" t="n">
        <v>4.1</v>
      </c>
    </row>
    <row r="133">
      <c r="A133" s="96" t="n">
        <v>23894</v>
      </c>
      <c r="B133" t="n">
        <v/>
      </c>
      <c r="C133" t="n">
        <v>4.05</v>
      </c>
    </row>
    <row r="134">
      <c r="A134" s="96" t="n">
        <v>23924</v>
      </c>
      <c r="B134" t="n">
        <v/>
      </c>
      <c r="C134" t="n">
        <v>4.09</v>
      </c>
    </row>
    <row r="135">
      <c r="A135" s="96" t="n">
        <v>23955</v>
      </c>
      <c r="B135" t="n">
        <v/>
      </c>
      <c r="C135" t="n">
        <v>4.12</v>
      </c>
    </row>
    <row r="136">
      <c r="A136" s="96" t="n">
        <v>23986</v>
      </c>
      <c r="B136" t="n">
        <v/>
      </c>
      <c r="C136" t="n">
        <v>4.02</v>
      </c>
    </row>
    <row r="137">
      <c r="A137" s="96" t="n">
        <v>24016</v>
      </c>
      <c r="B137" t="n">
        <v/>
      </c>
      <c r="C137" t="n">
        <v>4.08</v>
      </c>
    </row>
    <row r="138">
      <c r="A138" s="96" t="n">
        <v>24047</v>
      </c>
      <c r="B138" t="n">
        <v/>
      </c>
      <c r="C138" t="n">
        <v>4.1</v>
      </c>
    </row>
    <row r="139">
      <c r="A139" s="96" t="n">
        <v>24077</v>
      </c>
      <c r="B139" t="n">
        <v/>
      </c>
      <c r="C139" t="n">
        <v>4.32</v>
      </c>
    </row>
    <row r="140">
      <c r="A140" s="96" t="n">
        <v>24108</v>
      </c>
      <c r="B140" t="n">
        <v/>
      </c>
      <c r="C140" t="n">
        <v>4.42</v>
      </c>
    </row>
    <row r="141">
      <c r="A141" s="96" t="n">
        <v>24139</v>
      </c>
      <c r="B141" t="n">
        <v/>
      </c>
      <c r="C141" t="n">
        <v>4.6</v>
      </c>
    </row>
    <row r="142">
      <c r="A142" s="96" t="n">
        <v>24167</v>
      </c>
      <c r="B142" t="n">
        <v/>
      </c>
      <c r="C142" t="n">
        <v>4.66</v>
      </c>
    </row>
    <row r="143">
      <c r="A143" s="96" t="n">
        <v>24198</v>
      </c>
      <c r="B143" t="n">
        <v/>
      </c>
      <c r="C143" t="n">
        <v>4.67</v>
      </c>
    </row>
    <row r="144">
      <c r="A144" s="96" t="n">
        <v>24228</v>
      </c>
      <c r="B144" t="n">
        <v/>
      </c>
      <c r="C144" t="n">
        <v>4.9</v>
      </c>
    </row>
    <row r="145">
      <c r="A145" s="96" t="n">
        <v>24259</v>
      </c>
      <c r="B145" t="n">
        <v/>
      </c>
      <c r="C145" t="n">
        <v>5.17</v>
      </c>
    </row>
    <row r="146">
      <c r="A146" s="96" t="n">
        <v>24289</v>
      </c>
      <c r="B146" t="n">
        <v/>
      </c>
      <c r="C146" t="n">
        <v>5.3</v>
      </c>
    </row>
    <row r="147">
      <c r="A147" s="96" t="n">
        <v>24320</v>
      </c>
      <c r="B147" t="n">
        <v/>
      </c>
      <c r="C147" t="n">
        <v>5.53</v>
      </c>
    </row>
    <row r="148">
      <c r="A148" s="96" t="n">
        <v>24351</v>
      </c>
      <c r="B148" t="n">
        <v/>
      </c>
      <c r="C148" t="n">
        <v>5.4</v>
      </c>
    </row>
    <row r="149">
      <c r="A149" s="96" t="n">
        <v>24381</v>
      </c>
      <c r="B149" t="n">
        <v/>
      </c>
      <c r="C149" t="n">
        <v>5.53</v>
      </c>
    </row>
    <row r="150">
      <c r="A150" s="96" t="n">
        <v>24412</v>
      </c>
      <c r="B150" t="n">
        <v/>
      </c>
      <c r="C150" t="n">
        <v>5.76</v>
      </c>
    </row>
    <row r="151">
      <c r="A151" s="96" t="n">
        <v>24442</v>
      </c>
      <c r="B151" t="n">
        <v/>
      </c>
      <c r="C151" t="n">
        <v>5.4</v>
      </c>
    </row>
    <row r="152">
      <c r="A152" s="96" t="n">
        <v>24473</v>
      </c>
      <c r="B152" t="n">
        <v/>
      </c>
      <c r="C152" t="n">
        <v>4.94</v>
      </c>
    </row>
    <row r="153">
      <c r="A153" s="96" t="n">
        <v>24504</v>
      </c>
      <c r="B153" t="n">
        <v/>
      </c>
      <c r="C153" t="n">
        <v>5</v>
      </c>
    </row>
    <row r="154">
      <c r="A154" s="96" t="n">
        <v>24532</v>
      </c>
      <c r="B154" t="n">
        <v/>
      </c>
      <c r="C154" t="n">
        <v>4.53</v>
      </c>
    </row>
    <row r="155">
      <c r="A155" s="96" t="n">
        <v>24563</v>
      </c>
      <c r="B155" t="n">
        <v/>
      </c>
      <c r="C155" t="n">
        <v>4.05</v>
      </c>
    </row>
    <row r="156">
      <c r="A156" s="96" t="n">
        <v>24593</v>
      </c>
      <c r="B156" t="n">
        <v/>
      </c>
      <c r="C156" t="n">
        <v>3.94</v>
      </c>
    </row>
    <row r="157">
      <c r="A157" s="96" t="n">
        <v>24624</v>
      </c>
      <c r="B157" t="n">
        <v/>
      </c>
      <c r="C157" t="n">
        <v>3.98</v>
      </c>
    </row>
    <row r="158">
      <c r="A158" s="96" t="n">
        <v>24654</v>
      </c>
      <c r="B158" t="n">
        <v/>
      </c>
      <c r="C158" t="n">
        <v>3.79</v>
      </c>
    </row>
    <row r="159">
      <c r="A159" s="96" t="n">
        <v>24685</v>
      </c>
      <c r="B159" t="n">
        <v/>
      </c>
      <c r="C159" t="n">
        <v>3.9</v>
      </c>
    </row>
    <row r="160">
      <c r="A160" s="96" t="n">
        <v>24716</v>
      </c>
      <c r="B160" t="n">
        <v/>
      </c>
      <c r="C160" t="n">
        <v>3.99</v>
      </c>
    </row>
    <row r="161">
      <c r="A161" s="96" t="n">
        <v>24746</v>
      </c>
      <c r="B161" t="n">
        <v/>
      </c>
      <c r="C161" t="n">
        <v>3.88</v>
      </c>
    </row>
    <row r="162">
      <c r="A162" s="96" t="n">
        <v>24777</v>
      </c>
      <c r="B162" t="n">
        <v/>
      </c>
      <c r="C162" t="n">
        <v>4.13</v>
      </c>
    </row>
    <row r="163">
      <c r="A163" s="96" t="n">
        <v>24807</v>
      </c>
      <c r="B163" t="n">
        <v/>
      </c>
      <c r="C163" t="n">
        <v>4.51</v>
      </c>
    </row>
    <row r="164">
      <c r="A164" s="96" t="n">
        <v>24838</v>
      </c>
      <c r="B164" t="n">
        <v/>
      </c>
      <c r="C164" t="n">
        <v>4.61</v>
      </c>
    </row>
    <row r="165">
      <c r="A165" s="96" t="n">
        <v>24869</v>
      </c>
      <c r="B165" t="n">
        <v/>
      </c>
      <c r="C165" t="n">
        <v>4.71</v>
      </c>
    </row>
    <row r="166">
      <c r="A166" s="96" t="n">
        <v>24898</v>
      </c>
      <c r="B166" t="n">
        <v/>
      </c>
      <c r="C166" t="n">
        <v>5.05</v>
      </c>
    </row>
    <row r="167">
      <c r="A167" s="96" t="n">
        <v>24929</v>
      </c>
      <c r="B167" t="n">
        <v/>
      </c>
      <c r="C167" t="n">
        <v>5.76</v>
      </c>
    </row>
    <row r="168">
      <c r="A168" s="96" t="n">
        <v>24959</v>
      </c>
      <c r="B168" t="n">
        <v/>
      </c>
      <c r="C168" t="n">
        <v>6.12</v>
      </c>
    </row>
    <row r="169">
      <c r="A169" s="96" t="n">
        <v>24990</v>
      </c>
      <c r="B169" t="n">
        <v/>
      </c>
      <c r="C169" t="n">
        <v>6.07</v>
      </c>
    </row>
    <row r="170">
      <c r="A170" s="96" t="n">
        <v>25020</v>
      </c>
      <c r="B170" t="n">
        <v/>
      </c>
      <c r="C170" t="n">
        <v>6.03</v>
      </c>
    </row>
    <row r="171">
      <c r="A171" s="96" t="n">
        <v>25051</v>
      </c>
      <c r="B171" t="n">
        <v/>
      </c>
      <c r="C171" t="n">
        <v>6.03</v>
      </c>
    </row>
    <row r="172">
      <c r="A172" s="96" t="n">
        <v>25082</v>
      </c>
      <c r="B172" t="n">
        <v/>
      </c>
      <c r="C172" t="n">
        <v>5.78</v>
      </c>
    </row>
    <row r="173">
      <c r="A173" s="96" t="n">
        <v>25112</v>
      </c>
      <c r="B173" t="n">
        <v/>
      </c>
      <c r="C173" t="n">
        <v>5.91</v>
      </c>
    </row>
    <row r="174">
      <c r="A174" s="96" t="n">
        <v>25143</v>
      </c>
      <c r="B174" t="n">
        <v/>
      </c>
      <c r="C174" t="n">
        <v>5.82</v>
      </c>
    </row>
    <row r="175">
      <c r="A175" s="96" t="n">
        <v>25173</v>
      </c>
      <c r="B175" t="n">
        <v/>
      </c>
      <c r="C175" t="n">
        <v>6.02</v>
      </c>
    </row>
    <row r="176">
      <c r="A176" s="96" t="n">
        <v>25204</v>
      </c>
      <c r="B176" t="n">
        <v/>
      </c>
      <c r="C176" t="n">
        <v>6.3</v>
      </c>
    </row>
    <row r="177">
      <c r="A177" s="96" t="n">
        <v>25235</v>
      </c>
      <c r="B177" t="n">
        <v/>
      </c>
      <c r="C177" t="n">
        <v>6.61</v>
      </c>
    </row>
    <row r="178">
      <c r="A178" s="96" t="n">
        <v>25263</v>
      </c>
      <c r="B178" t="n">
        <v/>
      </c>
      <c r="C178" t="n">
        <v>6.79</v>
      </c>
    </row>
    <row r="179">
      <c r="A179" s="96" t="n">
        <v>25294</v>
      </c>
      <c r="B179" t="n">
        <v/>
      </c>
      <c r="C179" t="n">
        <v>7.41</v>
      </c>
    </row>
    <row r="180">
      <c r="A180" s="96" t="n">
        <v>25324</v>
      </c>
      <c r="B180" t="n">
        <v/>
      </c>
      <c r="C180" t="n">
        <v>8.67</v>
      </c>
    </row>
    <row r="181">
      <c r="A181" s="96" t="n">
        <v>25355</v>
      </c>
      <c r="B181" t="n">
        <v/>
      </c>
      <c r="C181" t="n">
        <v>8.9</v>
      </c>
    </row>
    <row r="182">
      <c r="A182" s="96" t="n">
        <v>25385</v>
      </c>
      <c r="B182" t="n">
        <v/>
      </c>
      <c r="C182" t="n">
        <v>8.609999999999999</v>
      </c>
    </row>
    <row r="183">
      <c r="A183" s="96" t="n">
        <v>25416</v>
      </c>
      <c r="B183" t="n">
        <v/>
      </c>
      <c r="C183" t="n">
        <v>9.19</v>
      </c>
    </row>
    <row r="184">
      <c r="A184" s="96" t="n">
        <v>25447</v>
      </c>
      <c r="B184" t="n">
        <v/>
      </c>
      <c r="C184" t="n">
        <v>9.15</v>
      </c>
    </row>
    <row r="185">
      <c r="A185" s="96" t="n">
        <v>25477</v>
      </c>
      <c r="B185" t="n">
        <v/>
      </c>
      <c r="C185" t="n">
        <v>9</v>
      </c>
    </row>
    <row r="186">
      <c r="A186" s="96" t="n">
        <v>25508</v>
      </c>
      <c r="B186" t="n">
        <v/>
      </c>
      <c r="C186" t="n">
        <v>8.85</v>
      </c>
    </row>
    <row r="187">
      <c r="A187" s="96" t="n">
        <v>25538</v>
      </c>
      <c r="B187" t="n">
        <v/>
      </c>
      <c r="C187" t="n">
        <v>8.970000000000001</v>
      </c>
    </row>
    <row r="188">
      <c r="A188" s="96" t="n">
        <v>25569</v>
      </c>
      <c r="B188" t="n">
        <v/>
      </c>
      <c r="C188" t="n">
        <v>8.98</v>
      </c>
    </row>
    <row r="189">
      <c r="A189" s="96" t="n">
        <v>25600</v>
      </c>
      <c r="B189" t="n">
        <v/>
      </c>
      <c r="C189" t="n">
        <v>8.98</v>
      </c>
    </row>
    <row r="190">
      <c r="A190" s="96" t="n">
        <v>25628</v>
      </c>
      <c r="B190" t="n">
        <v/>
      </c>
      <c r="C190" t="n">
        <v>7.76</v>
      </c>
    </row>
    <row r="191">
      <c r="A191" s="96" t="n">
        <v>25659</v>
      </c>
      <c r="B191" t="n">
        <v/>
      </c>
      <c r="C191" t="n">
        <v>8.1</v>
      </c>
    </row>
    <row r="192">
      <c r="A192" s="96" t="n">
        <v>25689</v>
      </c>
      <c r="B192" t="n">
        <v/>
      </c>
      <c r="C192" t="n">
        <v>7.95</v>
      </c>
    </row>
    <row r="193">
      <c r="A193" s="96" t="n">
        <v>25720</v>
      </c>
      <c r="B193" t="n">
        <v/>
      </c>
      <c r="C193" t="n">
        <v>7.61</v>
      </c>
    </row>
    <row r="194">
      <c r="A194" s="96" t="n">
        <v>25750</v>
      </c>
      <c r="B194" t="n">
        <v/>
      </c>
      <c r="C194" t="n">
        <v>7.21</v>
      </c>
    </row>
    <row r="195">
      <c r="A195" s="96" t="n">
        <v>25781</v>
      </c>
      <c r="B195" t="n">
        <v/>
      </c>
      <c r="C195" t="n">
        <v>6.62</v>
      </c>
    </row>
    <row r="196">
      <c r="A196" s="96" t="n">
        <v>25812</v>
      </c>
      <c r="B196" t="n">
        <v/>
      </c>
      <c r="C196" t="n">
        <v>6.29</v>
      </c>
    </row>
    <row r="197">
      <c r="A197" s="96" t="n">
        <v>25842</v>
      </c>
      <c r="B197" t="n">
        <v/>
      </c>
      <c r="C197" t="n">
        <v>6.2</v>
      </c>
    </row>
    <row r="198">
      <c r="A198" s="96" t="n">
        <v>25873</v>
      </c>
      <c r="B198" t="n">
        <v/>
      </c>
      <c r="C198" t="n">
        <v>5.6</v>
      </c>
    </row>
    <row r="199">
      <c r="A199" s="96" t="n">
        <v>25903</v>
      </c>
      <c r="B199" t="n">
        <v/>
      </c>
      <c r="C199" t="n">
        <v>4.9</v>
      </c>
    </row>
    <row r="200">
      <c r="A200" s="96" t="n">
        <v>25934</v>
      </c>
      <c r="B200" t="n">
        <v/>
      </c>
      <c r="C200" t="n">
        <v>4.14</v>
      </c>
    </row>
    <row r="201">
      <c r="A201" s="96" t="n">
        <v>25965</v>
      </c>
      <c r="B201" t="n">
        <v/>
      </c>
      <c r="C201" t="n">
        <v>3.72</v>
      </c>
    </row>
    <row r="202">
      <c r="A202" s="96" t="n">
        <v>25993</v>
      </c>
      <c r="B202" t="n">
        <v/>
      </c>
      <c r="C202" t="n">
        <v>3.71</v>
      </c>
    </row>
    <row r="203">
      <c r="A203" s="96" t="n">
        <v>26024</v>
      </c>
      <c r="B203" t="n">
        <v/>
      </c>
      <c r="C203" t="n">
        <v>4.16</v>
      </c>
    </row>
    <row r="204">
      <c r="A204" s="96" t="n">
        <v>26054</v>
      </c>
      <c r="B204" t="n">
        <v/>
      </c>
      <c r="C204" t="n">
        <v>4.63</v>
      </c>
    </row>
    <row r="205">
      <c r="A205" s="96" t="n">
        <v>26085</v>
      </c>
      <c r="B205" t="n">
        <v/>
      </c>
      <c r="C205" t="n">
        <v>4.91</v>
      </c>
    </row>
    <row r="206">
      <c r="A206" s="96" t="n">
        <v>26115</v>
      </c>
      <c r="B206" t="n">
        <v/>
      </c>
      <c r="C206" t="n">
        <v>5.31</v>
      </c>
    </row>
    <row r="207">
      <c r="A207" s="96" t="n">
        <v>26146</v>
      </c>
      <c r="B207" t="n">
        <v/>
      </c>
      <c r="C207" t="n">
        <v>5.57</v>
      </c>
    </row>
    <row r="208">
      <c r="A208" s="96" t="n">
        <v>26177</v>
      </c>
      <c r="B208" t="n">
        <v/>
      </c>
      <c r="C208" t="n">
        <v>5.55</v>
      </c>
    </row>
    <row r="209">
      <c r="A209" s="96" t="n">
        <v>26207</v>
      </c>
      <c r="B209" t="n">
        <v/>
      </c>
      <c r="C209" t="n">
        <v>5.2</v>
      </c>
    </row>
    <row r="210">
      <c r="A210" s="96" t="n">
        <v>26238</v>
      </c>
      <c r="B210" t="n">
        <v/>
      </c>
      <c r="C210" t="n">
        <v>4.91</v>
      </c>
    </row>
    <row r="211">
      <c r="A211" s="96" t="n">
        <v>26268</v>
      </c>
      <c r="B211" t="n">
        <v/>
      </c>
      <c r="C211" t="n">
        <v>4.14</v>
      </c>
    </row>
    <row r="212">
      <c r="A212" s="96" t="n">
        <v>26299</v>
      </c>
      <c r="B212" t="n">
        <v/>
      </c>
      <c r="C212" t="n">
        <v>3.51</v>
      </c>
    </row>
    <row r="213">
      <c r="A213" s="96" t="n">
        <v>26330</v>
      </c>
      <c r="B213" t="n">
        <v/>
      </c>
      <c r="C213" t="n">
        <v>3.3</v>
      </c>
    </row>
    <row r="214">
      <c r="A214" s="96" t="n">
        <v>26359</v>
      </c>
      <c r="B214" t="n">
        <v/>
      </c>
      <c r="C214" t="n">
        <v>3.83</v>
      </c>
    </row>
    <row r="215">
      <c r="A215" s="96" t="n">
        <v>26390</v>
      </c>
      <c r="B215" t="n">
        <v/>
      </c>
      <c r="C215" t="n">
        <v>4.17</v>
      </c>
    </row>
    <row r="216">
      <c r="A216" s="96" t="n">
        <v>26420</v>
      </c>
      <c r="B216" t="n">
        <v/>
      </c>
      <c r="C216" t="n">
        <v>4.27</v>
      </c>
    </row>
    <row r="217">
      <c r="A217" s="96" t="n">
        <v>26451</v>
      </c>
      <c r="B217" t="n">
        <v/>
      </c>
      <c r="C217" t="n">
        <v>4.46</v>
      </c>
    </row>
    <row r="218">
      <c r="A218" s="96" t="n">
        <v>26481</v>
      </c>
      <c r="B218" t="n">
        <v/>
      </c>
      <c r="C218" t="n">
        <v>4.55</v>
      </c>
    </row>
    <row r="219">
      <c r="A219" s="96" t="n">
        <v>26512</v>
      </c>
      <c r="B219" t="n">
        <v/>
      </c>
      <c r="C219" t="n">
        <v>4.81</v>
      </c>
    </row>
    <row r="220">
      <c r="A220" s="96" t="n">
        <v>26543</v>
      </c>
      <c r="B220" t="n">
        <v/>
      </c>
      <c r="C220" t="n">
        <v>4.87</v>
      </c>
    </row>
    <row r="221">
      <c r="A221" s="96" t="n">
        <v>26573</v>
      </c>
      <c r="B221" t="n">
        <v/>
      </c>
      <c r="C221" t="n">
        <v>5.05</v>
      </c>
    </row>
    <row r="222">
      <c r="A222" s="96" t="n">
        <v>26604</v>
      </c>
      <c r="B222" t="n">
        <v/>
      </c>
      <c r="C222" t="n">
        <v>5.06</v>
      </c>
    </row>
    <row r="223">
      <c r="A223" s="96" t="n">
        <v>26634</v>
      </c>
      <c r="B223" t="n">
        <v/>
      </c>
      <c r="C223" t="n">
        <v>5.33</v>
      </c>
    </row>
    <row r="224">
      <c r="A224" s="96" t="n">
        <v>26665</v>
      </c>
      <c r="B224" t="n">
        <v/>
      </c>
      <c r="C224" t="n">
        <v>5.94</v>
      </c>
    </row>
    <row r="225">
      <c r="A225" s="96" t="n">
        <v>26696</v>
      </c>
      <c r="B225" t="n">
        <v/>
      </c>
      <c r="C225" t="n">
        <v>6.58</v>
      </c>
    </row>
    <row r="226">
      <c r="A226" s="96" t="n">
        <v>26724</v>
      </c>
      <c r="B226" t="n">
        <v/>
      </c>
      <c r="C226" t="n">
        <v>7.09</v>
      </c>
    </row>
    <row r="227">
      <c r="A227" s="96" t="n">
        <v>26755</v>
      </c>
      <c r="B227" t="n">
        <v/>
      </c>
      <c r="C227" t="n">
        <v>7.12</v>
      </c>
    </row>
    <row r="228">
      <c r="A228" s="96" t="n">
        <v>26785</v>
      </c>
      <c r="B228" t="n">
        <v/>
      </c>
      <c r="C228" t="n">
        <v>7.84</v>
      </c>
    </row>
    <row r="229">
      <c r="A229" s="96" t="n">
        <v>26816</v>
      </c>
      <c r="B229" t="n">
        <v/>
      </c>
      <c r="C229" t="n">
        <v>8.49</v>
      </c>
    </row>
    <row r="230">
      <c r="A230" s="96" t="n">
        <v>26846</v>
      </c>
      <c r="B230" t="n">
        <v/>
      </c>
      <c r="C230" t="n">
        <v>10.4</v>
      </c>
    </row>
    <row r="231">
      <c r="A231" s="96" t="n">
        <v>26877</v>
      </c>
      <c r="B231" t="n">
        <v/>
      </c>
      <c r="C231" t="n">
        <v>10.5</v>
      </c>
    </row>
    <row r="232">
      <c r="A232" s="96" t="n">
        <v>26908</v>
      </c>
      <c r="B232" t="n">
        <v/>
      </c>
      <c r="C232" t="n">
        <v>10.78</v>
      </c>
    </row>
    <row r="233">
      <c r="A233" s="96" t="n">
        <v>26938</v>
      </c>
      <c r="B233" t="n">
        <v/>
      </c>
      <c r="C233" t="n">
        <v>10.01</v>
      </c>
    </row>
    <row r="234">
      <c r="A234" s="96" t="n">
        <v>26969</v>
      </c>
      <c r="B234" t="n">
        <v/>
      </c>
      <c r="C234" t="n">
        <v>10.03</v>
      </c>
    </row>
    <row r="235">
      <c r="A235" s="96" t="n">
        <v>26999</v>
      </c>
      <c r="B235" t="n">
        <v/>
      </c>
      <c r="C235" t="n">
        <v>9.949999999999999</v>
      </c>
    </row>
    <row r="236">
      <c r="A236" s="96" t="n">
        <v>27030</v>
      </c>
      <c r="B236" t="n">
        <v/>
      </c>
      <c r="C236" t="n">
        <v>9.65</v>
      </c>
    </row>
    <row r="237">
      <c r="A237" s="96" t="n">
        <v>27061</v>
      </c>
      <c r="B237" t="n">
        <v/>
      </c>
      <c r="C237" t="n">
        <v>8.970000000000001</v>
      </c>
    </row>
    <row r="238">
      <c r="A238" s="96" t="n">
        <v>27089</v>
      </c>
      <c r="B238" t="n">
        <v/>
      </c>
      <c r="C238" t="n">
        <v>9.35</v>
      </c>
    </row>
    <row r="239">
      <c r="A239" s="96" t="n">
        <v>27120</v>
      </c>
      <c r="B239" t="n">
        <v/>
      </c>
      <c r="C239" t="n">
        <v>10.51</v>
      </c>
    </row>
    <row r="240">
      <c r="A240" s="96" t="n">
        <v>27150</v>
      </c>
      <c r="B240" t="n">
        <v/>
      </c>
      <c r="C240" t="n">
        <v>11.31</v>
      </c>
    </row>
    <row r="241">
      <c r="A241" s="96" t="n">
        <v>27181</v>
      </c>
      <c r="B241" t="n">
        <v/>
      </c>
      <c r="C241" t="n">
        <v>11.93</v>
      </c>
    </row>
    <row r="242">
      <c r="A242" s="96" t="n">
        <v>27211</v>
      </c>
      <c r="B242" t="n">
        <v/>
      </c>
      <c r="C242" t="n">
        <v>12.92</v>
      </c>
    </row>
    <row r="243">
      <c r="A243" s="96" t="n">
        <v>27242</v>
      </c>
      <c r="B243" t="n">
        <v/>
      </c>
      <c r="C243" t="n">
        <v>12.01</v>
      </c>
    </row>
    <row r="244">
      <c r="A244" s="96" t="n">
        <v>27273</v>
      </c>
      <c r="B244" t="n">
        <v/>
      </c>
      <c r="C244" t="n">
        <v>11.34</v>
      </c>
    </row>
    <row r="245">
      <c r="A245" s="96" t="n">
        <v>27303</v>
      </c>
      <c r="B245" t="n">
        <v/>
      </c>
      <c r="C245" t="n">
        <v>10.06</v>
      </c>
    </row>
    <row r="246">
      <c r="A246" s="96" t="n">
        <v>27334</v>
      </c>
      <c r="B246" t="n">
        <v/>
      </c>
      <c r="C246" t="n">
        <v>9.449999999999999</v>
      </c>
    </row>
    <row r="247">
      <c r="A247" s="96" t="n">
        <v>27364</v>
      </c>
      <c r="B247" t="n">
        <v/>
      </c>
      <c r="C247" t="n">
        <v>8.529999999999999</v>
      </c>
    </row>
    <row r="248">
      <c r="A248" s="96" t="n">
        <v>27395</v>
      </c>
      <c r="B248" t="n">
        <v/>
      </c>
      <c r="C248" t="n">
        <v>7.13</v>
      </c>
    </row>
    <row r="249">
      <c r="A249" s="96" t="n">
        <v>27426</v>
      </c>
      <c r="B249" t="n">
        <v/>
      </c>
      <c r="C249" t="n">
        <v>6.24</v>
      </c>
    </row>
    <row r="250">
      <c r="A250" s="96" t="n">
        <v>27454</v>
      </c>
      <c r="B250" t="n">
        <v/>
      </c>
      <c r="C250" t="n">
        <v>5.54</v>
      </c>
    </row>
    <row r="251">
      <c r="A251" s="96" t="n">
        <v>27485</v>
      </c>
      <c r="B251" t="n">
        <v/>
      </c>
      <c r="C251" t="n">
        <v>5.49</v>
      </c>
    </row>
    <row r="252">
      <c r="A252" s="96" t="n">
        <v>27515</v>
      </c>
      <c r="B252" t="n">
        <v/>
      </c>
      <c r="C252" t="n">
        <v>5.22</v>
      </c>
    </row>
    <row r="253">
      <c r="A253" s="96" t="n">
        <v>27546</v>
      </c>
      <c r="B253" t="n">
        <v/>
      </c>
      <c r="C253" t="n">
        <v>5.55</v>
      </c>
    </row>
    <row r="254">
      <c r="A254" s="96" t="n">
        <v>27576</v>
      </c>
      <c r="B254" t="n">
        <v/>
      </c>
      <c r="C254" t="n">
        <v>6.1</v>
      </c>
    </row>
    <row r="255">
      <c r="A255" s="96" t="n">
        <v>27607</v>
      </c>
      <c r="B255" t="n">
        <v/>
      </c>
      <c r="C255" t="n">
        <v>6.14</v>
      </c>
    </row>
    <row r="256">
      <c r="A256" s="96" t="n">
        <v>27638</v>
      </c>
      <c r="B256" t="n">
        <v/>
      </c>
      <c r="C256" t="n">
        <v>6.24</v>
      </c>
    </row>
    <row r="257">
      <c r="A257" s="96" t="n">
        <v>27668</v>
      </c>
      <c r="B257" t="n">
        <v/>
      </c>
      <c r="C257" t="n">
        <v>5.82</v>
      </c>
    </row>
    <row r="258">
      <c r="A258" s="96" t="n">
        <v>27699</v>
      </c>
      <c r="B258" t="n">
        <v/>
      </c>
      <c r="C258" t="n">
        <v>5.22</v>
      </c>
    </row>
    <row r="259">
      <c r="A259" s="96" t="n">
        <v>27729</v>
      </c>
      <c r="B259" t="n">
        <v/>
      </c>
      <c r="C259" t="n">
        <v>5.2</v>
      </c>
    </row>
    <row r="260">
      <c r="A260" s="96" t="n">
        <v>27760</v>
      </c>
      <c r="B260" t="n">
        <v/>
      </c>
      <c r="C260" t="n">
        <v>4.87</v>
      </c>
    </row>
    <row r="261">
      <c r="A261" s="96" t="n">
        <v>27791</v>
      </c>
      <c r="B261" t="n">
        <v/>
      </c>
      <c r="C261" t="n">
        <v>4.77</v>
      </c>
    </row>
    <row r="262">
      <c r="A262" s="96" t="n">
        <v>27820</v>
      </c>
      <c r="B262" t="n">
        <v/>
      </c>
      <c r="C262" t="n">
        <v>4.84</v>
      </c>
    </row>
    <row r="263">
      <c r="A263" s="96" t="n">
        <v>27851</v>
      </c>
      <c r="B263" t="n">
        <v/>
      </c>
      <c r="C263" t="n">
        <v>4.82</v>
      </c>
    </row>
    <row r="264">
      <c r="A264" s="96" t="n">
        <v>27881</v>
      </c>
      <c r="B264" t="n">
        <v/>
      </c>
      <c r="C264" t="n">
        <v>5.29</v>
      </c>
    </row>
    <row r="265">
      <c r="A265" s="96" t="n">
        <v>27912</v>
      </c>
      <c r="B265" t="n">
        <v/>
      </c>
      <c r="C265" t="n">
        <v>5.48</v>
      </c>
    </row>
    <row r="266">
      <c r="A266" s="96" t="n">
        <v>27942</v>
      </c>
      <c r="B266" t="n">
        <v/>
      </c>
      <c r="C266" t="n">
        <v>5.31</v>
      </c>
    </row>
    <row r="267">
      <c r="A267" s="96" t="n">
        <v>27973</v>
      </c>
      <c r="B267" t="n">
        <v/>
      </c>
      <c r="C267" t="n">
        <v>5.29</v>
      </c>
    </row>
    <row r="268">
      <c r="A268" s="96" t="n">
        <v>28004</v>
      </c>
      <c r="B268" t="n">
        <v/>
      </c>
      <c r="C268" t="n">
        <v>5.25</v>
      </c>
    </row>
    <row r="269">
      <c r="A269" s="96" t="n">
        <v>28034</v>
      </c>
      <c r="B269" t="n">
        <v/>
      </c>
      <c r="C269" t="n">
        <v>5.02</v>
      </c>
    </row>
    <row r="270">
      <c r="A270" s="96" t="n">
        <v>28065</v>
      </c>
      <c r="B270" t="n">
        <v/>
      </c>
      <c r="C270" t="n">
        <v>4.95</v>
      </c>
    </row>
    <row r="271">
      <c r="A271" s="96" t="n">
        <v>28095</v>
      </c>
      <c r="B271" t="n">
        <v/>
      </c>
      <c r="C271" t="n">
        <v>4.65</v>
      </c>
    </row>
    <row r="272">
      <c r="A272" s="96" t="n">
        <v>28126</v>
      </c>
      <c r="B272" t="n">
        <v/>
      </c>
      <c r="C272" t="n">
        <v>4.61</v>
      </c>
    </row>
    <row r="273">
      <c r="A273" s="96" t="n">
        <v>28157</v>
      </c>
      <c r="B273" t="n">
        <v/>
      </c>
      <c r="C273" t="n">
        <v>4.68</v>
      </c>
    </row>
    <row r="274">
      <c r="A274" s="96" t="n">
        <v>28185</v>
      </c>
      <c r="B274" t="n">
        <v/>
      </c>
      <c r="C274" t="n">
        <v>4.69</v>
      </c>
    </row>
    <row r="275">
      <c r="A275" s="96" t="n">
        <v>28216</v>
      </c>
      <c r="B275" t="n">
        <v/>
      </c>
      <c r="C275" t="n">
        <v>4.73</v>
      </c>
    </row>
    <row r="276">
      <c r="A276" s="96" t="n">
        <v>28246</v>
      </c>
      <c r="B276" t="n">
        <v/>
      </c>
      <c r="C276" t="n">
        <v>5.35</v>
      </c>
    </row>
    <row r="277">
      <c r="A277" s="96" t="n">
        <v>28277</v>
      </c>
      <c r="B277" t="n">
        <v/>
      </c>
      <c r="C277" t="n">
        <v>5.39</v>
      </c>
    </row>
    <row r="278">
      <c r="A278" s="96" t="n">
        <v>28307</v>
      </c>
      <c r="B278" t="n">
        <v/>
      </c>
      <c r="C278" t="n">
        <v>5.42</v>
      </c>
    </row>
    <row r="279">
      <c r="A279" s="96" t="n">
        <v>28338</v>
      </c>
      <c r="B279" t="n">
        <v/>
      </c>
      <c r="C279" t="n">
        <v>5.9</v>
      </c>
    </row>
    <row r="280">
      <c r="A280" s="96" t="n">
        <v>28369</v>
      </c>
      <c r="B280" t="n">
        <v/>
      </c>
      <c r="C280" t="n">
        <v>6.14</v>
      </c>
    </row>
    <row r="281">
      <c r="A281" s="96" t="n">
        <v>28399</v>
      </c>
      <c r="B281" t="n">
        <v/>
      </c>
      <c r="C281" t="n">
        <v>6.47</v>
      </c>
    </row>
    <row r="282">
      <c r="A282" s="96" t="n">
        <v>28430</v>
      </c>
      <c r="B282" t="n">
        <v/>
      </c>
      <c r="C282" t="n">
        <v>6.51</v>
      </c>
    </row>
    <row r="283">
      <c r="A283" s="96" t="n">
        <v>28460</v>
      </c>
      <c r="B283" t="n">
        <v/>
      </c>
      <c r="C283" t="n">
        <v>6.56</v>
      </c>
    </row>
    <row r="284">
      <c r="A284" s="96" t="n">
        <v>28491</v>
      </c>
      <c r="B284" t="n">
        <v/>
      </c>
      <c r="C284" t="n">
        <v>6.7</v>
      </c>
    </row>
    <row r="285">
      <c r="A285" s="96" t="n">
        <v>28522</v>
      </c>
      <c r="B285" t="n">
        <v/>
      </c>
      <c r="C285" t="n">
        <v>6.78</v>
      </c>
    </row>
    <row r="286">
      <c r="A286" s="96" t="n">
        <v>28550</v>
      </c>
      <c r="B286" t="n">
        <v/>
      </c>
      <c r="C286" t="n">
        <v>6.79</v>
      </c>
    </row>
    <row r="287">
      <c r="A287" s="96" t="n">
        <v>28581</v>
      </c>
      <c r="B287" t="n">
        <v/>
      </c>
      <c r="C287" t="n">
        <v>6.89</v>
      </c>
    </row>
    <row r="288">
      <c r="A288" s="96" t="n">
        <v>28611</v>
      </c>
      <c r="B288" t="n">
        <v/>
      </c>
      <c r="C288" t="n">
        <v>7.36</v>
      </c>
    </row>
    <row r="289">
      <c r="A289" s="96" t="n">
        <v>28642</v>
      </c>
      <c r="B289" t="n">
        <v/>
      </c>
      <c r="C289" t="n">
        <v>7.6</v>
      </c>
    </row>
    <row r="290">
      <c r="A290" s="96" t="n">
        <v>28672</v>
      </c>
      <c r="B290" t="n">
        <v/>
      </c>
      <c r="C290" t="n">
        <v>7.81</v>
      </c>
    </row>
    <row r="291">
      <c r="A291" s="96" t="n">
        <v>28703</v>
      </c>
      <c r="B291" t="n">
        <v/>
      </c>
      <c r="C291" t="n">
        <v>8.039999999999999</v>
      </c>
    </row>
    <row r="292">
      <c r="A292" s="96" t="n">
        <v>28734</v>
      </c>
      <c r="B292" t="n">
        <v/>
      </c>
      <c r="C292" t="n">
        <v>8.449999999999999</v>
      </c>
    </row>
    <row r="293">
      <c r="A293" s="96" t="n">
        <v>28764</v>
      </c>
      <c r="B293" t="n">
        <v/>
      </c>
      <c r="C293" t="n">
        <v>8.960000000000001</v>
      </c>
    </row>
    <row r="294">
      <c r="A294" s="96" t="n">
        <v>28795</v>
      </c>
      <c r="B294" t="n">
        <v/>
      </c>
      <c r="C294" t="n">
        <v>9.76</v>
      </c>
    </row>
    <row r="295">
      <c r="A295" s="96" t="n">
        <v>28825</v>
      </c>
      <c r="B295" t="n">
        <v/>
      </c>
      <c r="C295" t="n">
        <v>10.03</v>
      </c>
    </row>
    <row r="296">
      <c r="A296" s="96" t="n">
        <v>28856</v>
      </c>
      <c r="B296" t="n">
        <v/>
      </c>
      <c r="C296" t="n">
        <v>10.07</v>
      </c>
    </row>
    <row r="297">
      <c r="A297" s="96" t="n">
        <v>28887</v>
      </c>
      <c r="B297" t="n">
        <v/>
      </c>
      <c r="C297" t="n">
        <v>10.06</v>
      </c>
    </row>
    <row r="298">
      <c r="A298" s="96" t="n">
        <v>28915</v>
      </c>
      <c r="B298" t="n">
        <v/>
      </c>
      <c r="C298" t="n">
        <v>10.09</v>
      </c>
    </row>
    <row r="299">
      <c r="A299" s="96" t="n">
        <v>28946</v>
      </c>
      <c r="B299" t="n">
        <v/>
      </c>
      <c r="C299" t="n">
        <v>10.01</v>
      </c>
    </row>
    <row r="300">
      <c r="A300" s="96" t="n">
        <v>28976</v>
      </c>
      <c r="B300" t="n">
        <v/>
      </c>
      <c r="C300" t="n">
        <v>10.24</v>
      </c>
    </row>
    <row r="301">
      <c r="A301" s="96" t="n">
        <v>29007</v>
      </c>
      <c r="B301" t="n">
        <v/>
      </c>
      <c r="C301" t="n">
        <v>10.29</v>
      </c>
    </row>
    <row r="302">
      <c r="A302" s="96" t="n">
        <v>29037</v>
      </c>
      <c r="B302" t="n">
        <v/>
      </c>
      <c r="C302" t="n">
        <v>10.47</v>
      </c>
    </row>
    <row r="303">
      <c r="A303" s="96" t="n">
        <v>29068</v>
      </c>
      <c r="B303" t="n">
        <v/>
      </c>
      <c r="C303" t="n">
        <v>10.94</v>
      </c>
    </row>
    <row r="304">
      <c r="A304" s="96" t="n">
        <v>29099</v>
      </c>
      <c r="B304" t="n">
        <v/>
      </c>
      <c r="C304" t="n">
        <v>11.43</v>
      </c>
    </row>
    <row r="305">
      <c r="A305" s="96" t="n">
        <v>29129</v>
      </c>
      <c r="B305" t="n">
        <v/>
      </c>
      <c r="C305" t="n">
        <v>13.77</v>
      </c>
    </row>
    <row r="306">
      <c r="A306" s="96" t="n">
        <v>29160</v>
      </c>
      <c r="B306" t="n">
        <v/>
      </c>
      <c r="C306" t="n">
        <v>13.18</v>
      </c>
    </row>
    <row r="307">
      <c r="A307" s="96" t="n">
        <v>29190</v>
      </c>
      <c r="B307" t="n">
        <v/>
      </c>
      <c r="C307" t="n">
        <v>13.78</v>
      </c>
    </row>
    <row r="308">
      <c r="A308" s="96" t="n">
        <v>29221</v>
      </c>
      <c r="B308" t="n">
        <v/>
      </c>
      <c r="C308" t="n">
        <v>13.82</v>
      </c>
    </row>
    <row r="309">
      <c r="A309" s="96" t="n">
        <v>29252</v>
      </c>
      <c r="B309" t="n">
        <v/>
      </c>
      <c r="C309" t="n">
        <v>14.13</v>
      </c>
    </row>
    <row r="310">
      <c r="A310" s="96" t="n">
        <v>29281</v>
      </c>
      <c r="B310" t="n">
        <v/>
      </c>
      <c r="C310" t="n">
        <v>17.19</v>
      </c>
    </row>
    <row r="311">
      <c r="A311" s="96" t="n">
        <v>29312</v>
      </c>
      <c r="B311" t="n">
        <v/>
      </c>
      <c r="C311" t="n">
        <v>17.61</v>
      </c>
    </row>
    <row r="312">
      <c r="A312" s="96" t="n">
        <v>29342</v>
      </c>
      <c r="B312" t="n">
        <v/>
      </c>
      <c r="C312" t="n">
        <v>10.98</v>
      </c>
    </row>
    <row r="313">
      <c r="A313" s="96" t="n">
        <v>29373</v>
      </c>
      <c r="B313" t="n">
        <v/>
      </c>
      <c r="C313" t="n">
        <v>9.470000000000001</v>
      </c>
    </row>
    <row r="314">
      <c r="A314" s="96" t="n">
        <v>29403</v>
      </c>
      <c r="B314" t="n">
        <v/>
      </c>
      <c r="C314" t="n">
        <v>9.029999999999999</v>
      </c>
    </row>
    <row r="315">
      <c r="A315" s="96" t="n">
        <v>29434</v>
      </c>
      <c r="B315" t="n">
        <v/>
      </c>
      <c r="C315" t="n">
        <v>9.609999999999999</v>
      </c>
    </row>
    <row r="316">
      <c r="A316" s="96" t="n">
        <v>29465</v>
      </c>
      <c r="B316" t="n">
        <v/>
      </c>
      <c r="C316" t="n">
        <v>10.87</v>
      </c>
    </row>
    <row r="317">
      <c r="A317" s="96" t="n">
        <v>29495</v>
      </c>
      <c r="B317" t="n">
        <v/>
      </c>
      <c r="C317" t="n">
        <v>12.81</v>
      </c>
    </row>
    <row r="318">
      <c r="A318" s="96" t="n">
        <v>29526</v>
      </c>
      <c r="B318" t="n">
        <v/>
      </c>
      <c r="C318" t="n">
        <v>15.85</v>
      </c>
    </row>
    <row r="319">
      <c r="A319" s="96" t="n">
        <v>29556</v>
      </c>
      <c r="B319" t="n">
        <v/>
      </c>
      <c r="C319" t="n">
        <v>18.9</v>
      </c>
    </row>
    <row r="320">
      <c r="A320" s="96" t="n">
        <v>29587</v>
      </c>
      <c r="B320" t="n">
        <v/>
      </c>
      <c r="C320" t="n">
        <v>19.08</v>
      </c>
    </row>
    <row r="321">
      <c r="A321" s="96" t="n">
        <v>29618</v>
      </c>
      <c r="B321" t="n">
        <v/>
      </c>
      <c r="C321" t="n">
        <v>15.93</v>
      </c>
    </row>
    <row r="322">
      <c r="A322" s="96" t="n">
        <v>29646</v>
      </c>
      <c r="B322" t="n">
        <v/>
      </c>
      <c r="C322" t="n">
        <v>14.7</v>
      </c>
    </row>
    <row r="323">
      <c r="A323" s="96" t="n">
        <v>29677</v>
      </c>
      <c r="B323" t="n">
        <v/>
      </c>
      <c r="C323" t="n">
        <v>15.72</v>
      </c>
    </row>
    <row r="324">
      <c r="A324" s="96" t="n">
        <v>29707</v>
      </c>
      <c r="B324" t="n">
        <v/>
      </c>
      <c r="C324" t="n">
        <v>18.52</v>
      </c>
    </row>
    <row r="325">
      <c r="A325" s="96" t="n">
        <v>29738</v>
      </c>
      <c r="B325" t="n">
        <v/>
      </c>
      <c r="C325" t="n">
        <v>19.1</v>
      </c>
    </row>
    <row r="326">
      <c r="A326" s="96" t="n">
        <v>29768</v>
      </c>
      <c r="B326" t="n">
        <v/>
      </c>
      <c r="C326" t="n">
        <v>19.04</v>
      </c>
    </row>
    <row r="327">
      <c r="A327" s="96" t="n">
        <v>29799</v>
      </c>
      <c r="B327" t="n">
        <v/>
      </c>
      <c r="C327" t="n">
        <v>17.82</v>
      </c>
    </row>
    <row r="328">
      <c r="A328" s="96" t="n">
        <v>29830</v>
      </c>
      <c r="B328" t="n">
        <v/>
      </c>
      <c r="C328" t="n">
        <v>15.87</v>
      </c>
    </row>
    <row r="329">
      <c r="A329" s="96" t="n">
        <v>29860</v>
      </c>
      <c r="B329" t="n">
        <v/>
      </c>
      <c r="C329" t="n">
        <v>15.08</v>
      </c>
    </row>
    <row r="330">
      <c r="A330" s="96" t="n">
        <v>29891</v>
      </c>
      <c r="B330" t="n">
        <v/>
      </c>
      <c r="C330" t="n">
        <v>13.31</v>
      </c>
    </row>
    <row r="331">
      <c r="A331" s="96" t="n">
        <v>29921</v>
      </c>
      <c r="B331" t="n">
        <v/>
      </c>
      <c r="C331" t="n">
        <v>12.37</v>
      </c>
    </row>
    <row r="332">
      <c r="A332" s="96" t="n">
        <v>29952</v>
      </c>
      <c r="B332" t="n">
        <v/>
      </c>
      <c r="C332" t="n">
        <v>13.22</v>
      </c>
    </row>
    <row r="333">
      <c r="A333" s="96" t="n">
        <v>29983</v>
      </c>
      <c r="B333" t="n">
        <v/>
      </c>
      <c r="C333" t="n">
        <v>14.78</v>
      </c>
    </row>
    <row r="334">
      <c r="A334" s="96" t="n">
        <v>30011</v>
      </c>
      <c r="B334" t="n">
        <v/>
      </c>
      <c r="C334" t="n">
        <v>14.68</v>
      </c>
    </row>
    <row r="335">
      <c r="A335" s="96" t="n">
        <v>30042</v>
      </c>
      <c r="B335" t="n">
        <v/>
      </c>
      <c r="C335" t="n">
        <v>14.94</v>
      </c>
    </row>
    <row r="336">
      <c r="A336" s="96" t="n">
        <v>30072</v>
      </c>
      <c r="B336" t="n">
        <v/>
      </c>
      <c r="C336" t="n">
        <v>14.45</v>
      </c>
    </row>
    <row r="337">
      <c r="A337" s="96" t="n">
        <v>30103</v>
      </c>
      <c r="B337" t="n">
        <v/>
      </c>
      <c r="C337" t="n">
        <v>14.15</v>
      </c>
    </row>
    <row r="338">
      <c r="A338" s="96" t="n">
        <v>30133</v>
      </c>
      <c r="B338" t="n">
        <v/>
      </c>
      <c r="C338" t="n">
        <v>12.59</v>
      </c>
    </row>
    <row r="339">
      <c r="A339" s="96" t="n">
        <v>30164</v>
      </c>
      <c r="B339" t="n">
        <v/>
      </c>
      <c r="C339" t="n">
        <v>10.12</v>
      </c>
    </row>
    <row r="340">
      <c r="A340" s="96" t="n">
        <v>30195</v>
      </c>
      <c r="B340" t="n">
        <v/>
      </c>
      <c r="C340" t="n">
        <v>10.31</v>
      </c>
    </row>
    <row r="341">
      <c r="A341" s="96" t="n">
        <v>30225</v>
      </c>
      <c r="B341" t="n">
        <v/>
      </c>
      <c r="C341" t="n">
        <v>9.710000000000001</v>
      </c>
    </row>
    <row r="342">
      <c r="A342" s="96" t="n">
        <v>30256</v>
      </c>
      <c r="B342" t="n">
        <v/>
      </c>
      <c r="C342" t="n">
        <v>9.199999999999999</v>
      </c>
    </row>
    <row r="343">
      <c r="A343" s="96" t="n">
        <v>30286</v>
      </c>
      <c r="B343" t="n">
        <v/>
      </c>
      <c r="C343" t="n">
        <v>8.949999999999999</v>
      </c>
    </row>
    <row r="344">
      <c r="A344" s="96" t="n">
        <v>30317</v>
      </c>
      <c r="B344" t="n">
        <v/>
      </c>
      <c r="C344" t="n">
        <v>8.68</v>
      </c>
    </row>
    <row r="345">
      <c r="A345" s="96" t="n">
        <v>30348</v>
      </c>
      <c r="B345" t="n">
        <v/>
      </c>
      <c r="C345" t="n">
        <v>8.51</v>
      </c>
    </row>
    <row r="346">
      <c r="A346" s="96" t="n">
        <v>30376</v>
      </c>
      <c r="B346" t="n">
        <v/>
      </c>
      <c r="C346" t="n">
        <v>8.77</v>
      </c>
    </row>
    <row r="347">
      <c r="A347" s="96" t="n">
        <v>30407</v>
      </c>
      <c r="B347" t="n">
        <v/>
      </c>
      <c r="C347" t="n">
        <v>8.800000000000001</v>
      </c>
    </row>
    <row r="348">
      <c r="A348" s="96" t="n">
        <v>30437</v>
      </c>
      <c r="B348" t="n">
        <v/>
      </c>
      <c r="C348" t="n">
        <v>8.630000000000001</v>
      </c>
    </row>
    <row r="349">
      <c r="A349" s="96" t="n">
        <v>30468</v>
      </c>
      <c r="B349" t="n">
        <v/>
      </c>
      <c r="C349" t="n">
        <v>8.98</v>
      </c>
    </row>
    <row r="350">
      <c r="A350" s="96" t="n">
        <v>30498</v>
      </c>
      <c r="B350" t="n">
        <v/>
      </c>
      <c r="C350" t="n">
        <v>9.369999999999999</v>
      </c>
    </row>
    <row r="351">
      <c r="A351" s="96" t="n">
        <v>30529</v>
      </c>
      <c r="B351" t="n">
        <v/>
      </c>
      <c r="C351" t="n">
        <v>9.56</v>
      </c>
    </row>
    <row r="352">
      <c r="A352" s="96" t="n">
        <v>30560</v>
      </c>
      <c r="B352" t="n">
        <v/>
      </c>
      <c r="C352" t="n">
        <v>9.449999999999999</v>
      </c>
    </row>
    <row r="353">
      <c r="A353" s="96" t="n">
        <v>30590</v>
      </c>
      <c r="B353" t="n">
        <v/>
      </c>
      <c r="C353" t="n">
        <v>9.48</v>
      </c>
    </row>
    <row r="354">
      <c r="A354" s="96" t="n">
        <v>30621</v>
      </c>
      <c r="B354" t="n">
        <v/>
      </c>
      <c r="C354" t="n">
        <v>9.34</v>
      </c>
    </row>
    <row r="355">
      <c r="A355" s="96" t="n">
        <v>30651</v>
      </c>
      <c r="B355" t="n">
        <v/>
      </c>
      <c r="C355" t="n">
        <v>9.470000000000001</v>
      </c>
    </row>
    <row r="356">
      <c r="A356" s="96" t="n">
        <v>30682</v>
      </c>
      <c r="B356" t="n">
        <v/>
      </c>
      <c r="C356" t="n">
        <v>9.56</v>
      </c>
    </row>
    <row r="357">
      <c r="A357" s="96" t="n">
        <v>30713</v>
      </c>
      <c r="B357" t="n">
        <v/>
      </c>
      <c r="C357" t="n">
        <v>9.59</v>
      </c>
    </row>
    <row r="358">
      <c r="A358" s="96" t="n">
        <v>30742</v>
      </c>
      <c r="B358" t="n">
        <v/>
      </c>
      <c r="C358" t="n">
        <v>9.91</v>
      </c>
    </row>
    <row r="359">
      <c r="A359" s="96" t="n">
        <v>30773</v>
      </c>
      <c r="B359" t="n">
        <v/>
      </c>
      <c r="C359" t="n">
        <v>10.29</v>
      </c>
    </row>
    <row r="360">
      <c r="A360" s="96" t="n">
        <v>30803</v>
      </c>
      <c r="B360" t="n">
        <v/>
      </c>
      <c r="C360" t="n">
        <v>10.32</v>
      </c>
    </row>
    <row r="361">
      <c r="A361" s="96" t="n">
        <v>30834</v>
      </c>
      <c r="B361" t="n">
        <v/>
      </c>
      <c r="C361" t="n">
        <v>11.06</v>
      </c>
    </row>
    <row r="362">
      <c r="A362" s="96" t="n">
        <v>30864</v>
      </c>
      <c r="B362" t="n">
        <v/>
      </c>
      <c r="C362" t="n">
        <v>11.23</v>
      </c>
    </row>
    <row r="363">
      <c r="A363" s="96" t="n">
        <v>30895</v>
      </c>
      <c r="B363" t="n">
        <v/>
      </c>
      <c r="C363" t="n">
        <v>11.64</v>
      </c>
    </row>
    <row r="364">
      <c r="A364" s="96" t="n">
        <v>30926</v>
      </c>
      <c r="B364" t="n">
        <v/>
      </c>
      <c r="C364" t="n">
        <v>11.3</v>
      </c>
    </row>
    <row r="365">
      <c r="A365" s="96" t="n">
        <v>30956</v>
      </c>
      <c r="B365" t="n">
        <v/>
      </c>
      <c r="C365" t="n">
        <v>9.99</v>
      </c>
    </row>
    <row r="366">
      <c r="A366" s="96" t="n">
        <v>30987</v>
      </c>
      <c r="B366" t="n">
        <v/>
      </c>
      <c r="C366" t="n">
        <v>9.43</v>
      </c>
    </row>
    <row r="367">
      <c r="A367" s="96" t="n">
        <v>31017</v>
      </c>
      <c r="B367" t="n">
        <v/>
      </c>
      <c r="C367" t="n">
        <v>8.380000000000001</v>
      </c>
    </row>
    <row r="368">
      <c r="A368" s="96" t="n">
        <v>31048</v>
      </c>
      <c r="B368" t="n">
        <v/>
      </c>
      <c r="C368" t="n">
        <v>8.35</v>
      </c>
    </row>
    <row r="369">
      <c r="A369" s="96" t="n">
        <v>31079</v>
      </c>
      <c r="B369" t="n">
        <v/>
      </c>
      <c r="C369" t="n">
        <v>8.5</v>
      </c>
    </row>
    <row r="370">
      <c r="A370" s="96" t="n">
        <v>31107</v>
      </c>
      <c r="B370" t="n">
        <v/>
      </c>
      <c r="C370" t="n">
        <v>8.58</v>
      </c>
    </row>
    <row r="371">
      <c r="A371" s="96" t="n">
        <v>31138</v>
      </c>
      <c r="B371" t="n">
        <v/>
      </c>
      <c r="C371" t="n">
        <v>8.27</v>
      </c>
    </row>
    <row r="372">
      <c r="A372" s="96" t="n">
        <v>31168</v>
      </c>
      <c r="B372" t="n">
        <v/>
      </c>
      <c r="C372" t="n">
        <v>7.97</v>
      </c>
    </row>
    <row r="373">
      <c r="A373" s="96" t="n">
        <v>31199</v>
      </c>
      <c r="B373" t="n">
        <v/>
      </c>
      <c r="C373" t="n">
        <v>7.53</v>
      </c>
    </row>
    <row r="374">
      <c r="A374" s="96" t="n">
        <v>31229</v>
      </c>
      <c r="B374" t="n">
        <v/>
      </c>
      <c r="C374" t="n">
        <v>7.88</v>
      </c>
    </row>
    <row r="375">
      <c r="A375" s="96" t="n">
        <v>31260</v>
      </c>
      <c r="B375" t="n">
        <v/>
      </c>
      <c r="C375" t="n">
        <v>7.9</v>
      </c>
    </row>
    <row r="376">
      <c r="A376" s="96" t="n">
        <v>31291</v>
      </c>
      <c r="B376" t="n">
        <v/>
      </c>
      <c r="C376" t="n">
        <v>7.92</v>
      </c>
    </row>
    <row r="377">
      <c r="A377" s="96" t="n">
        <v>31321</v>
      </c>
      <c r="B377" t="n">
        <v/>
      </c>
      <c r="C377" t="n">
        <v>7.99</v>
      </c>
    </row>
    <row r="378">
      <c r="A378" s="96" t="n">
        <v>31352</v>
      </c>
      <c r="B378" t="n">
        <v/>
      </c>
      <c r="C378" t="n">
        <v>8.050000000000001</v>
      </c>
    </row>
    <row r="379">
      <c r="A379" s="96" t="n">
        <v>31382</v>
      </c>
      <c r="B379" t="n">
        <v/>
      </c>
      <c r="C379" t="n">
        <v>8.27</v>
      </c>
    </row>
    <row r="380">
      <c r="A380" s="96" t="n">
        <v>31413</v>
      </c>
      <c r="B380" t="n">
        <v/>
      </c>
      <c r="C380" t="n">
        <v>8.140000000000001</v>
      </c>
    </row>
    <row r="381">
      <c r="A381" s="96" t="n">
        <v>31444</v>
      </c>
      <c r="B381" t="n">
        <v/>
      </c>
      <c r="C381" t="n">
        <v>7.86</v>
      </c>
    </row>
    <row r="382">
      <c r="A382" s="96" t="n">
        <v>31472</v>
      </c>
      <c r="B382" t="n">
        <v/>
      </c>
      <c r="C382" t="n">
        <v>7.48</v>
      </c>
    </row>
    <row r="383">
      <c r="A383" s="96" t="n">
        <v>31503</v>
      </c>
      <c r="B383" t="n">
        <v/>
      </c>
      <c r="C383" t="n">
        <v>6.99</v>
      </c>
    </row>
    <row r="384">
      <c r="A384" s="96" t="n">
        <v>31533</v>
      </c>
      <c r="B384" t="n">
        <v/>
      </c>
      <c r="C384" t="n">
        <v>6.85</v>
      </c>
    </row>
    <row r="385">
      <c r="A385" s="96" t="n">
        <v>31564</v>
      </c>
      <c r="B385" t="n">
        <v/>
      </c>
      <c r="C385" t="n">
        <v>6.92</v>
      </c>
    </row>
    <row r="386">
      <c r="A386" s="96" t="n">
        <v>31594</v>
      </c>
      <c r="B386" t="n">
        <v/>
      </c>
      <c r="C386" t="n">
        <v>6.56</v>
      </c>
    </row>
    <row r="387">
      <c r="A387" s="96" t="n">
        <v>31625</v>
      </c>
      <c r="B387" t="n">
        <v/>
      </c>
      <c r="C387" t="n">
        <v>6.17</v>
      </c>
    </row>
    <row r="388">
      <c r="A388" s="96" t="n">
        <v>31656</v>
      </c>
      <c r="B388" t="n">
        <v/>
      </c>
      <c r="C388" t="n">
        <v>5.89</v>
      </c>
    </row>
    <row r="389">
      <c r="A389" s="96" t="n">
        <v>31686</v>
      </c>
      <c r="B389" t="n">
        <v/>
      </c>
      <c r="C389" t="n">
        <v>5.85</v>
      </c>
    </row>
    <row r="390">
      <c r="A390" s="96" t="n">
        <v>31717</v>
      </c>
      <c r="B390" t="n">
        <v/>
      </c>
      <c r="C390" t="n">
        <v>6.04</v>
      </c>
    </row>
    <row r="391">
      <c r="A391" s="96" t="n">
        <v>31747</v>
      </c>
      <c r="B391" t="n">
        <v/>
      </c>
      <c r="C391" t="n">
        <v>6.91</v>
      </c>
    </row>
    <row r="392">
      <c r="A392" s="96" t="n">
        <v>31778</v>
      </c>
      <c r="B392" t="n">
        <v/>
      </c>
      <c r="C392" t="n">
        <v>6.43</v>
      </c>
    </row>
    <row r="393">
      <c r="A393" s="96" t="n">
        <v>31809</v>
      </c>
      <c r="B393" t="n">
        <v/>
      </c>
      <c r="C393" t="n">
        <v>6.1</v>
      </c>
    </row>
    <row r="394">
      <c r="A394" s="96" t="n">
        <v>31837</v>
      </c>
      <c r="B394" t="n">
        <v/>
      </c>
      <c r="C394" t="n">
        <v>6.13</v>
      </c>
    </row>
    <row r="395">
      <c r="A395" s="96" t="n">
        <v>31868</v>
      </c>
      <c r="B395" t="n">
        <v/>
      </c>
      <c r="C395" t="n">
        <v>6.37</v>
      </c>
    </row>
    <row r="396">
      <c r="A396" s="96" t="n">
        <v>31898</v>
      </c>
      <c r="B396" t="n">
        <v/>
      </c>
      <c r="C396" t="n">
        <v>6.85</v>
      </c>
    </row>
    <row r="397">
      <c r="A397" s="96" t="n">
        <v>31929</v>
      </c>
      <c r="B397" t="n">
        <v/>
      </c>
      <c r="C397" t="n">
        <v>6.73</v>
      </c>
    </row>
    <row r="398">
      <c r="A398" s="96" t="n">
        <v>31959</v>
      </c>
      <c r="B398" t="n">
        <v/>
      </c>
      <c r="C398" t="n">
        <v>6.58</v>
      </c>
    </row>
    <row r="399">
      <c r="A399" s="96" t="n">
        <v>31990</v>
      </c>
      <c r="B399" t="n">
        <v/>
      </c>
      <c r="C399" t="n">
        <v>6.73</v>
      </c>
    </row>
    <row r="400">
      <c r="A400" s="96" t="n">
        <v>32021</v>
      </c>
      <c r="B400" t="n">
        <v/>
      </c>
      <c r="C400" t="n">
        <v>7.22</v>
      </c>
    </row>
    <row r="401">
      <c r="A401" s="96" t="n">
        <v>32051</v>
      </c>
      <c r="B401" t="n">
        <v/>
      </c>
      <c r="C401" t="n">
        <v>7.29</v>
      </c>
    </row>
    <row r="402">
      <c r="A402" s="96" t="n">
        <v>32082</v>
      </c>
      <c r="B402" t="n">
        <v/>
      </c>
      <c r="C402" t="n">
        <v>6.69</v>
      </c>
    </row>
    <row r="403">
      <c r="A403" s="96" t="n">
        <v>32112</v>
      </c>
      <c r="B403" t="n">
        <v/>
      </c>
      <c r="C403" t="n">
        <v>6.77</v>
      </c>
    </row>
    <row r="404">
      <c r="A404" s="96" t="n">
        <v>32143</v>
      </c>
      <c r="B404" t="n">
        <v/>
      </c>
      <c r="C404" t="n">
        <v>6.83</v>
      </c>
    </row>
    <row r="405">
      <c r="A405" s="96" t="n">
        <v>32174</v>
      </c>
      <c r="B405" t="n">
        <v/>
      </c>
      <c r="C405" t="n">
        <v>6.58</v>
      </c>
    </row>
    <row r="406">
      <c r="A406" s="96" t="n">
        <v>32203</v>
      </c>
      <c r="B406" t="n">
        <v/>
      </c>
      <c r="C406" t="n">
        <v>6.58</v>
      </c>
    </row>
    <row r="407">
      <c r="A407" s="96" t="n">
        <v>32234</v>
      </c>
      <c r="B407" t="n">
        <v/>
      </c>
      <c r="C407" t="n">
        <v>6.87</v>
      </c>
    </row>
    <row r="408">
      <c r="A408" s="96" t="n">
        <v>32264</v>
      </c>
      <c r="B408" t="n">
        <v/>
      </c>
      <c r="C408" t="n">
        <v>7.09</v>
      </c>
    </row>
    <row r="409">
      <c r="A409" s="96" t="n">
        <v>32295</v>
      </c>
      <c r="B409" t="n">
        <v/>
      </c>
      <c r="C409" t="n">
        <v>7.51</v>
      </c>
    </row>
    <row r="410">
      <c r="A410" s="96" t="n">
        <v>32325</v>
      </c>
      <c r="B410" t="n">
        <v/>
      </c>
      <c r="C410" t="n">
        <v>7.75</v>
      </c>
    </row>
    <row r="411">
      <c r="A411" s="96" t="n">
        <v>32356</v>
      </c>
      <c r="B411" t="n">
        <v/>
      </c>
      <c r="C411" t="n">
        <v>8.01</v>
      </c>
    </row>
    <row r="412">
      <c r="A412" s="96" t="n">
        <v>32387</v>
      </c>
      <c r="B412" t="n">
        <v/>
      </c>
      <c r="C412" t="n">
        <v>8.19</v>
      </c>
    </row>
    <row r="413">
      <c r="A413" s="96" t="n">
        <v>32417</v>
      </c>
      <c r="B413" t="n">
        <v/>
      </c>
      <c r="C413" t="n">
        <v>8.300000000000001</v>
      </c>
    </row>
    <row r="414">
      <c r="A414" s="96" t="n">
        <v>32448</v>
      </c>
      <c r="B414" t="n">
        <v/>
      </c>
      <c r="C414" t="n">
        <v>8.35</v>
      </c>
    </row>
    <row r="415">
      <c r="A415" s="96" t="n">
        <v>32478</v>
      </c>
      <c r="B415" t="n">
        <v/>
      </c>
      <c r="C415" t="n">
        <v>8.76</v>
      </c>
    </row>
    <row r="416">
      <c r="A416" s="96" t="n">
        <v>32509</v>
      </c>
      <c r="B416" t="n">
        <v/>
      </c>
      <c r="C416" t="n">
        <v>9.119999999999999</v>
      </c>
    </row>
    <row r="417">
      <c r="A417" s="96" t="n">
        <v>32540</v>
      </c>
      <c r="B417" t="n">
        <v/>
      </c>
      <c r="C417" t="n">
        <v>9.359999999999999</v>
      </c>
    </row>
    <row r="418">
      <c r="A418" s="96" t="n">
        <v>32568</v>
      </c>
      <c r="B418" t="n">
        <v/>
      </c>
      <c r="C418" t="n">
        <v>9.85</v>
      </c>
    </row>
    <row r="419">
      <c r="A419" s="96" t="n">
        <v>32599</v>
      </c>
      <c r="B419" t="n">
        <v/>
      </c>
      <c r="C419" t="n">
        <v>9.84</v>
      </c>
    </row>
    <row r="420">
      <c r="A420" s="96" t="n">
        <v>32629</v>
      </c>
      <c r="B420" t="n">
        <v/>
      </c>
      <c r="C420" t="n">
        <v>9.81</v>
      </c>
    </row>
    <row r="421">
      <c r="A421" s="96" t="n">
        <v>32660</v>
      </c>
      <c r="B421" t="n">
        <v/>
      </c>
      <c r="C421" t="n">
        <v>9.529999999999999</v>
      </c>
    </row>
    <row r="422">
      <c r="A422" s="96" t="n">
        <v>32690</v>
      </c>
      <c r="B422" t="n">
        <v/>
      </c>
      <c r="C422" t="n">
        <v>9.24</v>
      </c>
    </row>
    <row r="423">
      <c r="A423" s="96" t="n">
        <v>32721</v>
      </c>
      <c r="B423" t="n">
        <v/>
      </c>
      <c r="C423" t="n">
        <v>8.99</v>
      </c>
    </row>
    <row r="424">
      <c r="A424" s="96" t="n">
        <v>32752</v>
      </c>
      <c r="B424" t="n">
        <v/>
      </c>
      <c r="C424" t="n">
        <v>9.02</v>
      </c>
    </row>
    <row r="425">
      <c r="A425" s="96" t="n">
        <v>32782</v>
      </c>
      <c r="B425" t="n">
        <v/>
      </c>
      <c r="C425" t="n">
        <v>8.84</v>
      </c>
    </row>
    <row r="426">
      <c r="A426" s="96" t="n">
        <v>32813</v>
      </c>
      <c r="B426" t="n">
        <v/>
      </c>
      <c r="C426" t="n">
        <v>8.550000000000001</v>
      </c>
    </row>
    <row r="427">
      <c r="A427" s="96" t="n">
        <v>32843</v>
      </c>
      <c r="B427" t="n">
        <v/>
      </c>
      <c r="C427" t="n">
        <v>8.449999999999999</v>
      </c>
    </row>
    <row r="428">
      <c r="A428" s="96" t="n">
        <v>32874</v>
      </c>
      <c r="B428" t="n">
        <v/>
      </c>
      <c r="C428" t="n">
        <v>8.23</v>
      </c>
    </row>
    <row r="429">
      <c r="A429" s="96" t="n">
        <v>32905</v>
      </c>
      <c r="B429" t="n">
        <v/>
      </c>
      <c r="C429" t="n">
        <v>8.24</v>
      </c>
    </row>
    <row r="430">
      <c r="A430" s="96" t="n">
        <v>32933</v>
      </c>
      <c r="B430" t="n">
        <v/>
      </c>
      <c r="C430" t="n">
        <v>8.279999999999999</v>
      </c>
    </row>
    <row r="431">
      <c r="A431" s="96" t="n">
        <v>32964</v>
      </c>
      <c r="B431" t="n">
        <v/>
      </c>
      <c r="C431" t="n">
        <v>8.26</v>
      </c>
    </row>
    <row r="432">
      <c r="A432" s="96" t="n">
        <v>32994</v>
      </c>
      <c r="B432" t="n">
        <v/>
      </c>
      <c r="C432" t="n">
        <v>8.18</v>
      </c>
    </row>
    <row r="433">
      <c r="A433" s="96" t="n">
        <v>33025</v>
      </c>
      <c r="B433" t="n">
        <v/>
      </c>
      <c r="C433" t="n">
        <v>8.289999999999999</v>
      </c>
    </row>
    <row r="434">
      <c r="A434" s="96" t="n">
        <v>33055</v>
      </c>
      <c r="B434" t="n">
        <v/>
      </c>
      <c r="C434" t="n">
        <v>8.15</v>
      </c>
    </row>
    <row r="435">
      <c r="A435" s="96" t="n">
        <v>33086</v>
      </c>
      <c r="B435" t="n">
        <v/>
      </c>
      <c r="C435" t="n">
        <v>8.130000000000001</v>
      </c>
    </row>
    <row r="436">
      <c r="A436" s="96" t="n">
        <v>33117</v>
      </c>
      <c r="B436" t="n">
        <v/>
      </c>
      <c r="C436" t="n">
        <v>8.199999999999999</v>
      </c>
    </row>
    <row r="437">
      <c r="A437" s="96" t="n">
        <v>33147</v>
      </c>
      <c r="B437" t="n">
        <v/>
      </c>
      <c r="C437" t="n">
        <v>8.109999999999999</v>
      </c>
    </row>
    <row r="438">
      <c r="A438" s="96" t="n">
        <v>33178</v>
      </c>
      <c r="B438" t="n">
        <v/>
      </c>
      <c r="C438" t="n">
        <v>7.81</v>
      </c>
    </row>
    <row r="439">
      <c r="A439" s="96" t="n">
        <v>33208</v>
      </c>
      <c r="B439" t="n">
        <v/>
      </c>
      <c r="C439" t="n">
        <v>7.31</v>
      </c>
    </row>
    <row r="440">
      <c r="A440" s="96" t="n">
        <v>33239</v>
      </c>
      <c r="B440" t="n">
        <v/>
      </c>
      <c r="C440" t="n">
        <v>6.91</v>
      </c>
    </row>
    <row r="441">
      <c r="A441" s="96" t="n">
        <v>33270</v>
      </c>
      <c r="B441" t="n">
        <v/>
      </c>
      <c r="C441" t="n">
        <v>6.25</v>
      </c>
    </row>
    <row r="442">
      <c r="A442" s="96" t="n">
        <v>33298</v>
      </c>
      <c r="B442" t="n">
        <v/>
      </c>
      <c r="C442" t="n">
        <v>6.12</v>
      </c>
    </row>
    <row r="443">
      <c r="A443" s="96" t="n">
        <v>33329</v>
      </c>
      <c r="B443" t="n">
        <v/>
      </c>
      <c r="C443" t="n">
        <v>5.91</v>
      </c>
    </row>
    <row r="444">
      <c r="A444" s="96" t="n">
        <v>33359</v>
      </c>
      <c r="B444" t="n">
        <v/>
      </c>
      <c r="C444" t="n">
        <v>5.78</v>
      </c>
    </row>
    <row r="445">
      <c r="A445" s="96" t="n">
        <v>33390</v>
      </c>
      <c r="B445" t="n">
        <v/>
      </c>
      <c r="C445" t="n">
        <v>5.9</v>
      </c>
    </row>
    <row r="446">
      <c r="A446" s="96" t="n">
        <v>33420</v>
      </c>
      <c r="B446" t="n">
        <v/>
      </c>
      <c r="C446" t="n">
        <v>5.82</v>
      </c>
    </row>
    <row r="447">
      <c r="A447" s="96" t="n">
        <v>33451</v>
      </c>
      <c r="B447" t="n">
        <v/>
      </c>
      <c r="C447" t="n">
        <v>5.66</v>
      </c>
    </row>
    <row r="448">
      <c r="A448" s="96" t="n">
        <v>33482</v>
      </c>
      <c r="B448" t="n">
        <v/>
      </c>
      <c r="C448" t="n">
        <v>5.45</v>
      </c>
    </row>
    <row r="449">
      <c r="A449" s="96" t="n">
        <v>33512</v>
      </c>
      <c r="B449" t="n">
        <v/>
      </c>
      <c r="C449" t="n">
        <v>5.21</v>
      </c>
    </row>
    <row r="450">
      <c r="A450" s="96" t="n">
        <v>33543</v>
      </c>
      <c r="B450" t="n">
        <v/>
      </c>
      <c r="C450" t="n">
        <v>4.81</v>
      </c>
    </row>
    <row r="451">
      <c r="A451" s="96" t="n">
        <v>33573</v>
      </c>
      <c r="B451" t="n">
        <v/>
      </c>
      <c r="C451" t="n">
        <v>4.43</v>
      </c>
    </row>
    <row r="452">
      <c r="A452" s="96" t="n">
        <v>33604</v>
      </c>
      <c r="B452" t="n">
        <v/>
      </c>
      <c r="C452" t="n">
        <v>4.03</v>
      </c>
    </row>
    <row r="453">
      <c r="A453" s="96" t="n">
        <v>33635</v>
      </c>
      <c r="B453" t="n">
        <v/>
      </c>
      <c r="C453" t="n">
        <v>4.06</v>
      </c>
    </row>
    <row r="454">
      <c r="A454" s="96" t="n">
        <v>33664</v>
      </c>
      <c r="B454" t="n">
        <v/>
      </c>
      <c r="C454" t="n">
        <v>3.98</v>
      </c>
    </row>
    <row r="455">
      <c r="A455" s="96" t="n">
        <v>33695</v>
      </c>
      <c r="B455" t="n">
        <v/>
      </c>
      <c r="C455" t="n">
        <v>3.73</v>
      </c>
    </row>
    <row r="456">
      <c r="A456" s="96" t="n">
        <v>33725</v>
      </c>
      <c r="B456" t="n">
        <v/>
      </c>
      <c r="C456" t="n">
        <v>3.82</v>
      </c>
    </row>
    <row r="457">
      <c r="A457" s="96" t="n">
        <v>33756</v>
      </c>
      <c r="B457" t="n">
        <v/>
      </c>
      <c r="C457" t="n">
        <v>3.76</v>
      </c>
    </row>
    <row r="458">
      <c r="A458" s="96" t="n">
        <v>33786</v>
      </c>
      <c r="B458" t="n">
        <v/>
      </c>
      <c r="C458" t="n">
        <v>3.25</v>
      </c>
    </row>
    <row r="459">
      <c r="A459" s="96" t="n">
        <v>33817</v>
      </c>
      <c r="B459" t="n">
        <v/>
      </c>
      <c r="C459" t="n">
        <v>3.3</v>
      </c>
    </row>
    <row r="460">
      <c r="A460" s="96" t="n">
        <v>33848</v>
      </c>
      <c r="B460" t="n">
        <v/>
      </c>
      <c r="C460" t="n">
        <v>3.22</v>
      </c>
    </row>
    <row r="461">
      <c r="A461" s="96" t="n">
        <v>33878</v>
      </c>
      <c r="B461" t="n">
        <v/>
      </c>
      <c r="C461" t="n">
        <v>3.1</v>
      </c>
    </row>
    <row r="462">
      <c r="A462" s="96" t="n">
        <v>33909</v>
      </c>
      <c r="B462" t="n">
        <v/>
      </c>
      <c r="C462" t="n">
        <v>3.09</v>
      </c>
    </row>
    <row r="463">
      <c r="A463" s="96" t="n">
        <v>33939</v>
      </c>
      <c r="B463" t="n">
        <v/>
      </c>
      <c r="C463" t="n">
        <v>2.92</v>
      </c>
    </row>
    <row r="464">
      <c r="A464" s="96" t="n">
        <v>33970</v>
      </c>
      <c r="B464" t="n">
        <v/>
      </c>
      <c r="C464" t="n">
        <v>3.02</v>
      </c>
    </row>
    <row r="465">
      <c r="A465" s="96" t="n">
        <v>34001</v>
      </c>
      <c r="B465" t="n">
        <v/>
      </c>
      <c r="C465" t="n">
        <v>3.03</v>
      </c>
    </row>
    <row r="466">
      <c r="A466" s="96" t="n">
        <v>34029</v>
      </c>
      <c r="B466" t="n">
        <v/>
      </c>
      <c r="C466" t="n">
        <v>3.07</v>
      </c>
    </row>
    <row r="467">
      <c r="A467" s="96" t="n">
        <v>34060</v>
      </c>
      <c r="B467" t="n">
        <v/>
      </c>
      <c r="C467" t="n">
        <v>2.96</v>
      </c>
    </row>
    <row r="468">
      <c r="A468" s="96" t="n">
        <v>34090</v>
      </c>
      <c r="B468" t="n">
        <v/>
      </c>
      <c r="C468" t="n">
        <v>3</v>
      </c>
    </row>
    <row r="469">
      <c r="A469" s="96" t="n">
        <v>34121</v>
      </c>
      <c r="B469" t="n">
        <v/>
      </c>
      <c r="C469" t="n">
        <v>3.04</v>
      </c>
    </row>
    <row r="470">
      <c r="A470" s="96" t="n">
        <v>34151</v>
      </c>
      <c r="B470" t="n">
        <v/>
      </c>
      <c r="C470" t="n">
        <v>3.06</v>
      </c>
    </row>
    <row r="471">
      <c r="A471" s="96" t="n">
        <v>34182</v>
      </c>
      <c r="B471" t="n">
        <v/>
      </c>
      <c r="C471" t="n">
        <v>3.03</v>
      </c>
    </row>
    <row r="472">
      <c r="A472" s="96" t="n">
        <v>34213</v>
      </c>
      <c r="B472" t="n">
        <v/>
      </c>
      <c r="C472" t="n">
        <v>3.09</v>
      </c>
    </row>
    <row r="473">
      <c r="A473" s="96" t="n">
        <v>34243</v>
      </c>
      <c r="B473" t="n">
        <v/>
      </c>
      <c r="C473" t="n">
        <v>2.99</v>
      </c>
    </row>
    <row r="474">
      <c r="A474" s="96" t="n">
        <v>34274</v>
      </c>
      <c r="B474" t="n">
        <v/>
      </c>
      <c r="C474" t="n">
        <v>3.02</v>
      </c>
    </row>
    <row r="475">
      <c r="A475" s="96" t="n">
        <v>34304</v>
      </c>
      <c r="B475" t="n">
        <v/>
      </c>
      <c r="C475" t="n">
        <v>2.96</v>
      </c>
    </row>
    <row r="476">
      <c r="A476" s="96" t="n">
        <v>34335</v>
      </c>
      <c r="B476" t="n">
        <v/>
      </c>
      <c r="C476" t="n">
        <v>3.05</v>
      </c>
    </row>
    <row r="477">
      <c r="A477" s="96" t="n">
        <v>34366</v>
      </c>
      <c r="B477" t="n">
        <v/>
      </c>
      <c r="C477" t="n">
        <v>3.25</v>
      </c>
    </row>
    <row r="478">
      <c r="A478" s="96" t="n">
        <v>34394</v>
      </c>
      <c r="B478" t="n">
        <v/>
      </c>
      <c r="C478" t="n">
        <v>3.34</v>
      </c>
    </row>
    <row r="479">
      <c r="A479" s="96" t="n">
        <v>34425</v>
      </c>
      <c r="B479" t="n">
        <v/>
      </c>
      <c r="C479" t="n">
        <v>3.56</v>
      </c>
    </row>
    <row r="480">
      <c r="A480" s="96" t="n">
        <v>34455</v>
      </c>
      <c r="B480" t="n">
        <v/>
      </c>
      <c r="C480" t="n">
        <v>4.01</v>
      </c>
    </row>
    <row r="481">
      <c r="A481" s="96" t="n">
        <v>34486</v>
      </c>
      <c r="B481" t="n">
        <v/>
      </c>
      <c r="C481" t="n">
        <v>4.25</v>
      </c>
    </row>
    <row r="482">
      <c r="A482" s="96" t="n">
        <v>34516</v>
      </c>
      <c r="B482" t="n">
        <v/>
      </c>
      <c r="C482" t="n">
        <v>4.26</v>
      </c>
    </row>
    <row r="483">
      <c r="A483" s="96" t="n">
        <v>34547</v>
      </c>
      <c r="B483" t="n">
        <v/>
      </c>
      <c r="C483" t="n">
        <v>4.47</v>
      </c>
    </row>
    <row r="484">
      <c r="A484" s="96" t="n">
        <v>34578</v>
      </c>
      <c r="B484" t="n">
        <v/>
      </c>
      <c r="C484" t="n">
        <v>4.73</v>
      </c>
    </row>
    <row r="485">
      <c r="A485" s="96" t="n">
        <v>34608</v>
      </c>
      <c r="B485" t="n">
        <v/>
      </c>
      <c r="C485" t="n">
        <v>4.76</v>
      </c>
    </row>
    <row r="486">
      <c r="A486" s="96" t="n">
        <v>34639</v>
      </c>
      <c r="B486" t="n">
        <v/>
      </c>
      <c r="C486" t="n">
        <v>5.29</v>
      </c>
    </row>
    <row r="487">
      <c r="A487" s="96" t="n">
        <v>34669</v>
      </c>
      <c r="B487" t="n">
        <v/>
      </c>
      <c r="C487" t="n">
        <v>5.45</v>
      </c>
    </row>
    <row r="488">
      <c r="A488" s="96" t="n">
        <v>34700</v>
      </c>
      <c r="B488" t="n">
        <v/>
      </c>
      <c r="C488" t="n">
        <v>5.53</v>
      </c>
    </row>
    <row r="489">
      <c r="A489" s="96" t="n">
        <v>34731</v>
      </c>
      <c r="B489" t="n">
        <v/>
      </c>
      <c r="C489" t="n">
        <v>5.92</v>
      </c>
    </row>
    <row r="490">
      <c r="A490" s="96" t="n">
        <v>34759</v>
      </c>
      <c r="B490" t="n">
        <v/>
      </c>
      <c r="C490" t="n">
        <v>5.98</v>
      </c>
    </row>
    <row r="491">
      <c r="A491" s="96" t="n">
        <v>34790</v>
      </c>
      <c r="B491" t="n">
        <v/>
      </c>
      <c r="C491" t="n">
        <v>6.05</v>
      </c>
    </row>
    <row r="492">
      <c r="A492" s="96" t="n">
        <v>34820</v>
      </c>
      <c r="B492" t="n">
        <v/>
      </c>
      <c r="C492" t="n">
        <v>6.01</v>
      </c>
    </row>
    <row r="493">
      <c r="A493" s="96" t="n">
        <v>34851</v>
      </c>
      <c r="B493" t="n">
        <v/>
      </c>
      <c r="C493" t="n">
        <v>6</v>
      </c>
    </row>
    <row r="494">
      <c r="A494" s="96" t="n">
        <v>34881</v>
      </c>
      <c r="B494" t="n">
        <v/>
      </c>
      <c r="C494" t="n">
        <v>5.85</v>
      </c>
    </row>
    <row r="495">
      <c r="A495" s="96" t="n">
        <v>34912</v>
      </c>
      <c r="B495" t="n">
        <v/>
      </c>
      <c r="C495" t="n">
        <v>5.74</v>
      </c>
    </row>
    <row r="496">
      <c r="A496" s="96" t="n">
        <v>34943</v>
      </c>
      <c r="B496" t="n">
        <v/>
      </c>
      <c r="C496" t="n">
        <v>5.8</v>
      </c>
    </row>
    <row r="497">
      <c r="A497" s="96" t="n">
        <v>34973</v>
      </c>
      <c r="B497" t="n">
        <v/>
      </c>
      <c r="C497" t="n">
        <v>5.76</v>
      </c>
    </row>
    <row r="498">
      <c r="A498" s="96" t="n">
        <v>35004</v>
      </c>
      <c r="B498" t="n">
        <v/>
      </c>
      <c r="C498" t="n">
        <v>5.8</v>
      </c>
    </row>
    <row r="499">
      <c r="A499" s="96" t="n">
        <v>35034</v>
      </c>
      <c r="B499" t="n">
        <v/>
      </c>
      <c r="C499" t="n">
        <v>5.6</v>
      </c>
    </row>
    <row r="500">
      <c r="A500" s="96" t="n">
        <v>35065</v>
      </c>
      <c r="B500" t="n">
        <v/>
      </c>
      <c r="C500" t="n">
        <v>5.56</v>
      </c>
    </row>
    <row r="501">
      <c r="A501" s="96" t="n">
        <v>35096</v>
      </c>
      <c r="B501" t="n">
        <v/>
      </c>
      <c r="C501" t="n">
        <v>5.22</v>
      </c>
    </row>
    <row r="502">
      <c r="A502" s="96" t="n">
        <v>35125</v>
      </c>
      <c r="B502" t="n">
        <v/>
      </c>
      <c r="C502" t="n">
        <v>5.31</v>
      </c>
    </row>
    <row r="503">
      <c r="A503" s="96" t="n">
        <v>35156</v>
      </c>
      <c r="B503" t="n">
        <v/>
      </c>
      <c r="C503" t="n">
        <v>5.22</v>
      </c>
    </row>
    <row r="504">
      <c r="A504" s="96" t="n">
        <v>35186</v>
      </c>
      <c r="B504" t="n">
        <v/>
      </c>
      <c r="C504" t="n">
        <v>5.24</v>
      </c>
    </row>
    <row r="505">
      <c r="A505" s="96" t="n">
        <v>35217</v>
      </c>
      <c r="B505" t="n">
        <v/>
      </c>
      <c r="C505" t="n">
        <v>5.27</v>
      </c>
    </row>
    <row r="506">
      <c r="A506" s="96" t="n">
        <v>35247</v>
      </c>
      <c r="B506" t="n">
        <v/>
      </c>
      <c r="C506" t="n">
        <v>5.4</v>
      </c>
    </row>
    <row r="507">
      <c r="A507" s="96" t="n">
        <v>35278</v>
      </c>
      <c r="B507" t="n">
        <v/>
      </c>
      <c r="C507" t="n">
        <v>5.22</v>
      </c>
    </row>
    <row r="508">
      <c r="A508" s="96" t="n">
        <v>35309</v>
      </c>
      <c r="B508" t="n">
        <v/>
      </c>
      <c r="C508" t="n">
        <v>5.3</v>
      </c>
    </row>
    <row r="509">
      <c r="A509" s="96" t="n">
        <v>35339</v>
      </c>
      <c r="B509" t="n">
        <v/>
      </c>
      <c r="C509" t="n">
        <v>5.24</v>
      </c>
    </row>
    <row r="510">
      <c r="A510" s="96" t="n">
        <v>35370</v>
      </c>
      <c r="B510" t="n">
        <v/>
      </c>
      <c r="C510" t="n">
        <v>5.31</v>
      </c>
    </row>
    <row r="511">
      <c r="A511" s="96" t="n">
        <v>35400</v>
      </c>
      <c r="B511" t="n">
        <v/>
      </c>
      <c r="C511" t="n">
        <v>5.29</v>
      </c>
    </row>
    <row r="512">
      <c r="A512" s="96" t="n">
        <v>35431</v>
      </c>
      <c r="B512" t="n">
        <v/>
      </c>
      <c r="C512" t="n">
        <v>5.25</v>
      </c>
    </row>
    <row r="513">
      <c r="A513" s="96" t="n">
        <v>35462</v>
      </c>
      <c r="B513" t="n">
        <v/>
      </c>
      <c r="C513" t="n">
        <v>5.19</v>
      </c>
    </row>
    <row r="514">
      <c r="A514" s="96" t="n">
        <v>35490</v>
      </c>
      <c r="B514" t="n">
        <v/>
      </c>
      <c r="C514" t="n">
        <v>5.39</v>
      </c>
    </row>
    <row r="515">
      <c r="A515" s="96" t="n">
        <v>35521</v>
      </c>
      <c r="B515" t="n">
        <v/>
      </c>
      <c r="C515" t="n">
        <v>5.51</v>
      </c>
    </row>
    <row r="516">
      <c r="A516" s="96" t="n">
        <v>35551</v>
      </c>
      <c r="B516" t="n">
        <v/>
      </c>
      <c r="C516" t="n">
        <v>5.5</v>
      </c>
    </row>
    <row r="517">
      <c r="A517" s="96" t="n">
        <v>35582</v>
      </c>
      <c r="B517" t="n">
        <v/>
      </c>
      <c r="C517" t="n">
        <v>5.56</v>
      </c>
    </row>
    <row r="518">
      <c r="A518" s="96" t="n">
        <v>35612</v>
      </c>
      <c r="B518" t="n">
        <v/>
      </c>
      <c r="C518" t="n">
        <v>5.52</v>
      </c>
    </row>
    <row r="519">
      <c r="A519" s="96" t="n">
        <v>35643</v>
      </c>
      <c r="B519" t="n">
        <v/>
      </c>
      <c r="C519" t="n">
        <v>5.54</v>
      </c>
    </row>
    <row r="520">
      <c r="A520" s="96" t="n">
        <v>35674</v>
      </c>
      <c r="B520" t="n">
        <v/>
      </c>
      <c r="C520" t="n">
        <v>5.54</v>
      </c>
    </row>
    <row r="521">
      <c r="A521" s="96" t="n">
        <v>35704</v>
      </c>
      <c r="B521" t="n">
        <v/>
      </c>
      <c r="C521" t="n">
        <v>5.5</v>
      </c>
    </row>
    <row r="522">
      <c r="A522" s="96" t="n">
        <v>35735</v>
      </c>
      <c r="B522" t="n">
        <v/>
      </c>
      <c r="C522" t="n">
        <v>5.52</v>
      </c>
    </row>
    <row r="523">
      <c r="A523" s="96" t="n">
        <v>35765</v>
      </c>
      <c r="B523" t="n">
        <v/>
      </c>
      <c r="C523" t="n">
        <v>5.5</v>
      </c>
    </row>
    <row r="524">
      <c r="A524" s="96" t="n">
        <v>35796</v>
      </c>
      <c r="B524" t="n">
        <v/>
      </c>
      <c r="C524" t="n">
        <v>5.56</v>
      </c>
    </row>
    <row r="525">
      <c r="A525" s="96" t="n">
        <v>35827</v>
      </c>
      <c r="B525" t="n">
        <v/>
      </c>
      <c r="C525" t="n">
        <v>5.51</v>
      </c>
    </row>
    <row r="526">
      <c r="A526" s="96" t="n">
        <v>35855</v>
      </c>
      <c r="B526" t="n">
        <v/>
      </c>
      <c r="C526" t="n">
        <v>5.49</v>
      </c>
    </row>
    <row r="527">
      <c r="A527" s="96" t="n">
        <v>35886</v>
      </c>
      <c r="B527" t="n">
        <v/>
      </c>
      <c r="C527" t="n">
        <v>5.45</v>
      </c>
    </row>
    <row r="528">
      <c r="A528" s="96" t="n">
        <v>35916</v>
      </c>
      <c r="B528" t="n">
        <v/>
      </c>
      <c r="C528" t="n">
        <v>5.49</v>
      </c>
    </row>
    <row r="529">
      <c r="A529" s="96" t="n">
        <v>35947</v>
      </c>
      <c r="B529" t="n">
        <v/>
      </c>
      <c r="C529" t="n">
        <v>5.56</v>
      </c>
    </row>
    <row r="530">
      <c r="A530" s="96" t="n">
        <v>35977</v>
      </c>
      <c r="B530" t="n">
        <v/>
      </c>
      <c r="C530" t="n">
        <v>5.54</v>
      </c>
    </row>
    <row r="531">
      <c r="A531" s="96" t="n">
        <v>36008</v>
      </c>
      <c r="B531" t="n">
        <v/>
      </c>
      <c r="C531" t="n">
        <v>5.55</v>
      </c>
    </row>
    <row r="532">
      <c r="A532" s="96" t="n">
        <v>36039</v>
      </c>
      <c r="B532" t="n">
        <v/>
      </c>
      <c r="C532" t="n">
        <v>5.51</v>
      </c>
    </row>
    <row r="533">
      <c r="A533" s="96" t="n">
        <v>36069</v>
      </c>
      <c r="B533" t="n">
        <v/>
      </c>
      <c r="C533" t="n">
        <v>5.07</v>
      </c>
    </row>
    <row r="534">
      <c r="A534" s="96" t="n">
        <v>36100</v>
      </c>
      <c r="B534" t="n">
        <v/>
      </c>
      <c r="C534" t="n">
        <v>4.83</v>
      </c>
    </row>
    <row r="535">
      <c r="A535" s="96" t="n">
        <v>36130</v>
      </c>
      <c r="B535" t="n">
        <v/>
      </c>
      <c r="C535" t="n">
        <v>4.68</v>
      </c>
    </row>
    <row r="536">
      <c r="A536" s="96" t="n">
        <v>36161</v>
      </c>
      <c r="B536" t="n">
        <v/>
      </c>
      <c r="C536" t="n">
        <v>4.63</v>
      </c>
    </row>
    <row r="537">
      <c r="A537" s="96" t="n">
        <v>36192</v>
      </c>
      <c r="B537" t="n">
        <v/>
      </c>
      <c r="C537" t="n">
        <v>4.76</v>
      </c>
    </row>
    <row r="538">
      <c r="A538" s="96" t="n">
        <v>36220</v>
      </c>
      <c r="B538" t="n">
        <v/>
      </c>
      <c r="C538" t="n">
        <v>4.81</v>
      </c>
    </row>
    <row r="539">
      <c r="A539" s="96" t="n">
        <v>36251</v>
      </c>
      <c r="B539" t="n">
        <v/>
      </c>
      <c r="C539" t="n">
        <v>4.74</v>
      </c>
    </row>
    <row r="540">
      <c r="A540" s="96" t="n">
        <v>36281</v>
      </c>
      <c r="B540" t="n">
        <v/>
      </c>
      <c r="C540" t="n">
        <v>4.74</v>
      </c>
    </row>
    <row r="541">
      <c r="A541" s="96" t="n">
        <v>36312</v>
      </c>
      <c r="B541" t="n">
        <v/>
      </c>
      <c r="C541" t="n">
        <v>4.76</v>
      </c>
    </row>
    <row r="542">
      <c r="A542" s="96" t="n">
        <v>36342</v>
      </c>
      <c r="B542" t="n">
        <v/>
      </c>
      <c r="C542" t="n">
        <v>4.99</v>
      </c>
    </row>
    <row r="543">
      <c r="A543" s="96" t="n">
        <v>36373</v>
      </c>
      <c r="B543" t="n">
        <v/>
      </c>
      <c r="C543" t="n">
        <v>5.07</v>
      </c>
    </row>
    <row r="544">
      <c r="A544" s="96" t="n">
        <v>36404</v>
      </c>
      <c r="B544" t="n">
        <v/>
      </c>
      <c r="C544" t="n">
        <v>5.22</v>
      </c>
    </row>
    <row r="545">
      <c r="A545" s="96" t="n">
        <v>36434</v>
      </c>
      <c r="B545" t="n">
        <v/>
      </c>
      <c r="C545" t="n">
        <v>5.2</v>
      </c>
    </row>
    <row r="546">
      <c r="A546" s="96" t="n">
        <v>36465</v>
      </c>
      <c r="B546" t="n">
        <v/>
      </c>
      <c r="C546" t="n">
        <v>5.42</v>
      </c>
    </row>
    <row r="547">
      <c r="A547" s="96" t="n">
        <v>36495</v>
      </c>
      <c r="B547" t="n">
        <v/>
      </c>
      <c r="C547" t="n">
        <v>5.3</v>
      </c>
    </row>
    <row r="548">
      <c r="A548" s="96" t="n">
        <v>36526</v>
      </c>
      <c r="B548" t="n">
        <v/>
      </c>
      <c r="C548" t="n">
        <v>5.45</v>
      </c>
    </row>
    <row r="549">
      <c r="A549" s="96" t="n">
        <v>36557</v>
      </c>
      <c r="B549" t="n">
        <v/>
      </c>
      <c r="C549" t="n">
        <v>5.73</v>
      </c>
    </row>
    <row r="550">
      <c r="A550" s="96" t="n">
        <v>36586</v>
      </c>
      <c r="B550" t="n">
        <v/>
      </c>
      <c r="C550" t="n">
        <v>5.85</v>
      </c>
    </row>
    <row r="551">
      <c r="A551" s="96" t="n">
        <v>36617</v>
      </c>
      <c r="B551" t="n">
        <v/>
      </c>
      <c r="C551" t="n">
        <v>6.02</v>
      </c>
    </row>
    <row r="552">
      <c r="A552" s="96" t="n">
        <v>36647</v>
      </c>
      <c r="B552" t="n">
        <v/>
      </c>
      <c r="C552" t="n">
        <v>6.27</v>
      </c>
    </row>
    <row r="553">
      <c r="A553" s="96" t="n">
        <v>36678</v>
      </c>
      <c r="B553" t="n">
        <v/>
      </c>
      <c r="C553" t="n">
        <v>6.53</v>
      </c>
    </row>
    <row r="554">
      <c r="A554" s="96" t="n">
        <v>36708</v>
      </c>
      <c r="B554" t="n">
        <v>6.5</v>
      </c>
      <c r="C554" t="n">
        <v>6.54</v>
      </c>
    </row>
    <row r="555">
      <c r="A555" s="96" t="n">
        <v>36739</v>
      </c>
      <c r="B555" t="n">
        <v>6.5</v>
      </c>
      <c r="C555" t="n">
        <v>6.5</v>
      </c>
    </row>
    <row r="556">
      <c r="A556" s="96" t="n">
        <v>36770</v>
      </c>
      <c r="B556" t="n">
        <v>6.5</v>
      </c>
      <c r="C556" t="n">
        <v>6.52</v>
      </c>
    </row>
    <row r="557">
      <c r="A557" s="96" t="n">
        <v>36800</v>
      </c>
      <c r="B557" t="n">
        <v>6.5</v>
      </c>
      <c r="C557" t="n">
        <v>6.51</v>
      </c>
    </row>
    <row r="558">
      <c r="A558" s="96" t="n">
        <v>36831</v>
      </c>
      <c r="B558" t="n">
        <v>6.5</v>
      </c>
      <c r="C558" t="n">
        <v>6.51</v>
      </c>
    </row>
    <row r="559">
      <c r="A559" s="96" t="n">
        <v>36861</v>
      </c>
      <c r="B559" t="n">
        <v>6.5</v>
      </c>
      <c r="C559" t="n">
        <v>6.4</v>
      </c>
    </row>
    <row r="560">
      <c r="A560" s="96" t="n">
        <v>36892</v>
      </c>
      <c r="B560" t="n">
        <v>5.5</v>
      </c>
      <c r="C560" t="n">
        <v>5.98</v>
      </c>
    </row>
    <row r="561">
      <c r="A561" s="96" t="n">
        <v>36923</v>
      </c>
      <c r="B561" t="n">
        <v>5.5</v>
      </c>
      <c r="C561" t="n">
        <v>5.49</v>
      </c>
    </row>
    <row r="562">
      <c r="A562" s="96" t="n">
        <v>36951</v>
      </c>
      <c r="B562" t="n">
        <v>5</v>
      </c>
      <c r="C562" t="n">
        <v>5.31</v>
      </c>
    </row>
    <row r="563">
      <c r="A563" s="96" t="n">
        <v>36982</v>
      </c>
      <c r="B563" t="n">
        <v>4.5</v>
      </c>
      <c r="C563" t="n">
        <v>4.8</v>
      </c>
    </row>
    <row r="564">
      <c r="A564" s="96" t="n">
        <v>37012</v>
      </c>
      <c r="B564" t="n">
        <v>4</v>
      </c>
      <c r="C564" t="n">
        <v>4.21</v>
      </c>
    </row>
    <row r="565">
      <c r="A565" s="96" t="n">
        <v>37043</v>
      </c>
      <c r="B565" t="n">
        <v>3.75</v>
      </c>
      <c r="C565" t="n">
        <v>3.97</v>
      </c>
    </row>
    <row r="566">
      <c r="A566" s="96" t="n">
        <v>37073</v>
      </c>
      <c r="B566" t="n">
        <v>3.75</v>
      </c>
      <c r="C566" t="n">
        <v>3.77</v>
      </c>
    </row>
    <row r="567">
      <c r="A567" s="96" t="n">
        <v>37104</v>
      </c>
      <c r="B567" t="n">
        <v>3.5</v>
      </c>
      <c r="C567" t="n">
        <v>3.65</v>
      </c>
    </row>
    <row r="568">
      <c r="A568" s="96" t="n">
        <v>37135</v>
      </c>
      <c r="B568" t="n">
        <v>3</v>
      </c>
      <c r="C568" t="n">
        <v>3.07</v>
      </c>
    </row>
    <row r="569">
      <c r="A569" s="96" t="n">
        <v>37165</v>
      </c>
      <c r="B569" t="n">
        <v>2.5</v>
      </c>
      <c r="C569" t="n">
        <v>2.49</v>
      </c>
    </row>
    <row r="570">
      <c r="A570" s="96" t="n">
        <v>37196</v>
      </c>
      <c r="B570" t="n">
        <v>2</v>
      </c>
      <c r="C570" t="n">
        <v>2.09</v>
      </c>
    </row>
    <row r="571">
      <c r="A571" s="96" t="n">
        <v>37226</v>
      </c>
      <c r="B571" t="n">
        <v>1.75</v>
      </c>
      <c r="C571" t="n">
        <v>1.82</v>
      </c>
    </row>
    <row r="572">
      <c r="A572" s="96" t="n">
        <v>37257</v>
      </c>
      <c r="B572" t="n">
        <v>1.75</v>
      </c>
      <c r="C572" t="n">
        <v>1.73</v>
      </c>
    </row>
    <row r="573">
      <c r="A573" s="96" t="n">
        <v>37288</v>
      </c>
      <c r="B573" t="n">
        <v>1.75</v>
      </c>
      <c r="C573" t="n">
        <v>1.74</v>
      </c>
    </row>
    <row r="574">
      <c r="A574" s="96" t="n">
        <v>37316</v>
      </c>
      <c r="B574" t="n">
        <v>1.75</v>
      </c>
      <c r="C574" t="n">
        <v>1.73</v>
      </c>
    </row>
    <row r="575">
      <c r="A575" s="96" t="n">
        <v>37347</v>
      </c>
      <c r="B575" t="n">
        <v>1.75</v>
      </c>
      <c r="C575" t="n">
        <v>1.75</v>
      </c>
    </row>
    <row r="576">
      <c r="A576" s="96" t="n">
        <v>37377</v>
      </c>
      <c r="B576" t="n">
        <v>1.75</v>
      </c>
      <c r="C576" t="n">
        <v>1.75</v>
      </c>
    </row>
    <row r="577">
      <c r="A577" s="96" t="n">
        <v>37408</v>
      </c>
      <c r="B577" t="n">
        <v>1.75</v>
      </c>
      <c r="C577" t="n">
        <v>1.75</v>
      </c>
    </row>
    <row r="578">
      <c r="A578" s="96" t="n">
        <v>37438</v>
      </c>
      <c r="B578" t="n">
        <v>1.75</v>
      </c>
      <c r="C578" t="n">
        <v>1.73</v>
      </c>
    </row>
    <row r="579">
      <c r="A579" s="96" t="n">
        <v>37469</v>
      </c>
      <c r="B579" t="n">
        <v>1.75</v>
      </c>
      <c r="C579" t="n">
        <v>1.74</v>
      </c>
    </row>
    <row r="580">
      <c r="A580" s="96" t="n">
        <v>37500</v>
      </c>
      <c r="B580" t="n">
        <v>1.75</v>
      </c>
      <c r="C580" t="n">
        <v>1.75</v>
      </c>
    </row>
    <row r="581">
      <c r="A581" s="96" t="n">
        <v>37530</v>
      </c>
      <c r="B581" t="n">
        <v>1.75</v>
      </c>
      <c r="C581" t="n">
        <v>1.75</v>
      </c>
    </row>
    <row r="582">
      <c r="A582" s="96" t="n">
        <v>37561</v>
      </c>
      <c r="B582" t="n">
        <v>1.25</v>
      </c>
      <c r="C582" t="n">
        <v>1.34</v>
      </c>
    </row>
    <row r="583">
      <c r="A583" s="96" t="n">
        <v>37591</v>
      </c>
      <c r="B583" t="n">
        <v>1.25</v>
      </c>
      <c r="C583" t="n">
        <v>1.24</v>
      </c>
    </row>
    <row r="584">
      <c r="A584" s="96" t="n">
        <v>37622</v>
      </c>
      <c r="B584" t="n">
        <v>1.25</v>
      </c>
      <c r="C584" t="n">
        <v>1.24</v>
      </c>
    </row>
    <row r="585">
      <c r="A585" s="96" t="n">
        <v>37653</v>
      </c>
      <c r="B585" t="n">
        <v>1.25</v>
      </c>
      <c r="C585" t="n">
        <v>1.26</v>
      </c>
    </row>
    <row r="586">
      <c r="A586" s="96" t="n">
        <v>37681</v>
      </c>
      <c r="B586" t="n">
        <v>1.25</v>
      </c>
      <c r="C586" t="n">
        <v>1.25</v>
      </c>
    </row>
    <row r="587">
      <c r="A587" s="96" t="n">
        <v>37712</v>
      </c>
      <c r="B587" t="n">
        <v>1.25</v>
      </c>
      <c r="C587" t="n">
        <v>1.26</v>
      </c>
    </row>
    <row r="588">
      <c r="A588" s="96" t="n">
        <v>37742</v>
      </c>
      <c r="B588" t="n">
        <v>1.25</v>
      </c>
      <c r="C588" t="n">
        <v>1.26</v>
      </c>
    </row>
    <row r="589">
      <c r="A589" s="96" t="n">
        <v>37773</v>
      </c>
      <c r="B589" t="n">
        <v>1</v>
      </c>
      <c r="C589" t="n">
        <v>1.22</v>
      </c>
    </row>
    <row r="590">
      <c r="A590" s="96" t="n">
        <v>37803</v>
      </c>
      <c r="B590" t="n">
        <v>1</v>
      </c>
      <c r="C590" t="n">
        <v>1.01</v>
      </c>
    </row>
    <row r="591">
      <c r="A591" s="96" t="n">
        <v>37834</v>
      </c>
      <c r="B591" t="n">
        <v>1</v>
      </c>
      <c r="C591" t="n">
        <v>1.03</v>
      </c>
    </row>
    <row r="592">
      <c r="A592" s="96" t="n">
        <v>37865</v>
      </c>
      <c r="B592" t="n">
        <v>1</v>
      </c>
      <c r="C592" t="n">
        <v>1.01</v>
      </c>
    </row>
    <row r="593">
      <c r="A593" s="96" t="n">
        <v>37895</v>
      </c>
      <c r="B593" t="n">
        <v>1</v>
      </c>
      <c r="C593" t="n">
        <v>1.01</v>
      </c>
    </row>
    <row r="594">
      <c r="A594" s="96" t="n">
        <v>37926</v>
      </c>
      <c r="B594" t="n">
        <v>1</v>
      </c>
      <c r="C594" t="n">
        <v>1</v>
      </c>
    </row>
    <row r="595">
      <c r="A595" s="96" t="n">
        <v>37956</v>
      </c>
      <c r="B595" t="n">
        <v>1</v>
      </c>
      <c r="C595" t="n">
        <v>0.98</v>
      </c>
    </row>
    <row r="596">
      <c r="A596" s="96" t="n">
        <v>37987</v>
      </c>
      <c r="B596" t="n">
        <v>1</v>
      </c>
      <c r="C596" t="n">
        <v>1</v>
      </c>
    </row>
    <row r="597">
      <c r="A597" s="96" t="n">
        <v>38018</v>
      </c>
      <c r="B597" t="n">
        <v>1</v>
      </c>
      <c r="C597" t="n">
        <v>1.01</v>
      </c>
    </row>
    <row r="598">
      <c r="A598" s="96" t="n">
        <v>38047</v>
      </c>
      <c r="B598" t="n">
        <v>1</v>
      </c>
      <c r="C598" t="n">
        <v>1</v>
      </c>
    </row>
    <row r="599">
      <c r="A599" s="96" t="n">
        <v>38078</v>
      </c>
      <c r="B599" t="n">
        <v>1</v>
      </c>
      <c r="C599" t="n">
        <v>1</v>
      </c>
    </row>
    <row r="600">
      <c r="A600" s="96" t="n">
        <v>38108</v>
      </c>
      <c r="B600" t="n">
        <v>1</v>
      </c>
      <c r="C600" t="n">
        <v>1</v>
      </c>
    </row>
    <row r="601">
      <c r="A601" s="96" t="n">
        <v>38139</v>
      </c>
      <c r="B601" t="n">
        <v>1.25</v>
      </c>
      <c r="C601" t="n">
        <v>1.03</v>
      </c>
    </row>
    <row r="602">
      <c r="A602" s="96" t="n">
        <v>38169</v>
      </c>
      <c r="B602" t="n">
        <v>1.25</v>
      </c>
      <c r="C602" t="n">
        <v>1.26</v>
      </c>
    </row>
    <row r="603">
      <c r="A603" s="96" t="n">
        <v>38200</v>
      </c>
      <c r="B603" t="n">
        <v>1.5</v>
      </c>
      <c r="C603" t="n">
        <v>1.43</v>
      </c>
    </row>
    <row r="604">
      <c r="A604" s="96" t="n">
        <v>38231</v>
      </c>
      <c r="B604" t="n">
        <v>1.75</v>
      </c>
      <c r="C604" t="n">
        <v>1.61</v>
      </c>
    </row>
    <row r="605">
      <c r="A605" s="96" t="n">
        <v>38261</v>
      </c>
      <c r="B605" t="n">
        <v>1.75</v>
      </c>
      <c r="C605" t="n">
        <v>1.76</v>
      </c>
    </row>
    <row r="606">
      <c r="A606" s="96" t="n">
        <v>38292</v>
      </c>
      <c r="B606" t="n">
        <v>2</v>
      </c>
      <c r="C606" t="n">
        <v>1.93</v>
      </c>
    </row>
    <row r="607">
      <c r="A607" s="96" t="n">
        <v>38322</v>
      </c>
      <c r="B607" t="n">
        <v>2.25</v>
      </c>
      <c r="C607" t="n">
        <v>2.16</v>
      </c>
    </row>
    <row r="608">
      <c r="A608" s="96" t="n">
        <v>38353</v>
      </c>
      <c r="B608" t="n">
        <v>2.25</v>
      </c>
      <c r="C608" t="n">
        <v>2.28</v>
      </c>
    </row>
    <row r="609">
      <c r="A609" s="96" t="n">
        <v>38384</v>
      </c>
      <c r="B609" t="n">
        <v>2.5</v>
      </c>
      <c r="C609" t="n">
        <v>2.5</v>
      </c>
    </row>
    <row r="610">
      <c r="A610" s="96" t="n">
        <v>38412</v>
      </c>
      <c r="B610" t="n">
        <v>2.75</v>
      </c>
      <c r="C610" t="n">
        <v>2.63</v>
      </c>
    </row>
    <row r="611">
      <c r="A611" s="96" t="n">
        <v>38443</v>
      </c>
      <c r="B611" t="n">
        <v>2.75</v>
      </c>
      <c r="C611" t="n">
        <v>2.79</v>
      </c>
    </row>
    <row r="612">
      <c r="A612" s="96" t="n">
        <v>38473</v>
      </c>
      <c r="B612" t="n">
        <v>3</v>
      </c>
      <c r="C612" t="n">
        <v>3</v>
      </c>
    </row>
    <row r="613">
      <c r="A613" s="96" t="n">
        <v>38504</v>
      </c>
      <c r="B613" t="n">
        <v>3.25</v>
      </c>
      <c r="C613" t="n">
        <v>3.04</v>
      </c>
    </row>
    <row r="614">
      <c r="A614" s="96" t="n">
        <v>38534</v>
      </c>
      <c r="B614" t="n">
        <v>3.25</v>
      </c>
      <c r="C614" t="n">
        <v>3.26</v>
      </c>
    </row>
    <row r="615">
      <c r="A615" s="96" t="n">
        <v>38565</v>
      </c>
      <c r="B615" t="n">
        <v>3.5</v>
      </c>
      <c r="C615" t="n">
        <v>3.5</v>
      </c>
    </row>
    <row r="616">
      <c r="A616" s="96" t="n">
        <v>38596</v>
      </c>
      <c r="B616" t="n">
        <v>3.75</v>
      </c>
      <c r="C616" t="n">
        <v>3.62</v>
      </c>
    </row>
    <row r="617">
      <c r="A617" s="96" t="n">
        <v>38626</v>
      </c>
      <c r="B617" t="n">
        <v>3.75</v>
      </c>
      <c r="C617" t="n">
        <v>3.78</v>
      </c>
    </row>
    <row r="618">
      <c r="A618" s="96" t="n">
        <v>38657</v>
      </c>
      <c r="B618" t="n">
        <v>4</v>
      </c>
      <c r="C618" t="n">
        <v>4</v>
      </c>
    </row>
    <row r="619">
      <c r="A619" s="96" t="n">
        <v>38687</v>
      </c>
      <c r="B619" t="n">
        <v>4.25</v>
      </c>
      <c r="C619" t="n">
        <v>4.16</v>
      </c>
    </row>
    <row r="620">
      <c r="A620" s="96" t="n">
        <v>38718</v>
      </c>
      <c r="B620" t="n">
        <v>4.5</v>
      </c>
      <c r="C620" t="n">
        <v>4.29</v>
      </c>
    </row>
    <row r="621">
      <c r="A621" s="96" t="n">
        <v>38749</v>
      </c>
      <c r="B621" t="n">
        <v>4.5</v>
      </c>
      <c r="C621" t="n">
        <v>4.49</v>
      </c>
    </row>
    <row r="622">
      <c r="A622" s="96" t="n">
        <v>38777</v>
      </c>
      <c r="B622" t="n">
        <v>4.75</v>
      </c>
      <c r="C622" t="n">
        <v>4.59</v>
      </c>
    </row>
    <row r="623">
      <c r="A623" s="96" t="n">
        <v>38808</v>
      </c>
      <c r="B623" t="n">
        <v>4.75</v>
      </c>
      <c r="C623" t="n">
        <v>4.79</v>
      </c>
    </row>
    <row r="624">
      <c r="A624" s="96" t="n">
        <v>38838</v>
      </c>
      <c r="B624" t="n">
        <v>5</v>
      </c>
      <c r="C624" t="n">
        <v>4.94</v>
      </c>
    </row>
    <row r="625">
      <c r="A625" s="96" t="n">
        <v>38869</v>
      </c>
      <c r="B625" t="n">
        <v>5.25</v>
      </c>
      <c r="C625" t="n">
        <v>4.99</v>
      </c>
    </row>
    <row r="626">
      <c r="A626" s="96" t="n">
        <v>38899</v>
      </c>
      <c r="B626" t="n">
        <v>5.25</v>
      </c>
      <c r="C626" t="n">
        <v>5.24</v>
      </c>
    </row>
    <row r="627">
      <c r="A627" s="96" t="n">
        <v>38930</v>
      </c>
      <c r="B627" t="n">
        <v>5.25</v>
      </c>
      <c r="C627" t="n">
        <v>5.25</v>
      </c>
    </row>
    <row r="628">
      <c r="A628" s="96" t="n">
        <v>38961</v>
      </c>
      <c r="B628" t="n">
        <v>5.25</v>
      </c>
      <c r="C628" t="n">
        <v>5.25</v>
      </c>
    </row>
    <row r="629">
      <c r="A629" s="96" t="n">
        <v>38991</v>
      </c>
      <c r="B629" t="n">
        <v>5.25</v>
      </c>
      <c r="C629" t="n">
        <v>5.25</v>
      </c>
    </row>
    <row r="630">
      <c r="A630" s="96" t="n">
        <v>39022</v>
      </c>
      <c r="B630" t="n">
        <v>5.25</v>
      </c>
      <c r="C630" t="n">
        <v>5.25</v>
      </c>
    </row>
    <row r="631">
      <c r="A631" s="96" t="n">
        <v>39052</v>
      </c>
      <c r="B631" t="n">
        <v>5.25</v>
      </c>
      <c r="C631" t="n">
        <v>5.24</v>
      </c>
    </row>
    <row r="632">
      <c r="A632" s="96" t="n">
        <v>39083</v>
      </c>
      <c r="B632" t="n">
        <v>5.25</v>
      </c>
      <c r="C632" t="n">
        <v>5.25</v>
      </c>
    </row>
    <row r="633">
      <c r="A633" s="96" t="n">
        <v>39114</v>
      </c>
      <c r="B633" t="n">
        <v>5.25</v>
      </c>
      <c r="C633" t="n">
        <v>5.26</v>
      </c>
    </row>
    <row r="634">
      <c r="A634" s="96" t="n">
        <v>39142</v>
      </c>
      <c r="B634" t="n">
        <v>5.25</v>
      </c>
      <c r="C634" t="n">
        <v>5.26</v>
      </c>
    </row>
    <row r="635">
      <c r="A635" s="96" t="n">
        <v>39173</v>
      </c>
      <c r="B635" t="n">
        <v>5.25</v>
      </c>
      <c r="C635" t="n">
        <v>5.25</v>
      </c>
    </row>
    <row r="636">
      <c r="A636" s="96" t="n">
        <v>39203</v>
      </c>
      <c r="B636" t="n">
        <v>5.25</v>
      </c>
      <c r="C636" t="n">
        <v>5.25</v>
      </c>
    </row>
    <row r="637">
      <c r="A637" s="96" t="n">
        <v>39234</v>
      </c>
      <c r="B637" t="n">
        <v>5.25</v>
      </c>
      <c r="C637" t="n">
        <v>5.25</v>
      </c>
    </row>
    <row r="638">
      <c r="A638" s="96" t="n">
        <v>39264</v>
      </c>
      <c r="B638" t="n">
        <v>5.25</v>
      </c>
      <c r="C638" t="n">
        <v>5.26</v>
      </c>
    </row>
    <row r="639">
      <c r="A639" s="96" t="n">
        <v>39295</v>
      </c>
      <c r="B639" t="n">
        <v>5.25</v>
      </c>
      <c r="C639" t="n">
        <v>5.02</v>
      </c>
    </row>
    <row r="640">
      <c r="A640" s="96" t="n">
        <v>39326</v>
      </c>
      <c r="B640" t="n">
        <v>4.75</v>
      </c>
      <c r="C640" t="n">
        <v>4.94</v>
      </c>
    </row>
    <row r="641">
      <c r="A641" s="96" t="n">
        <v>39356</v>
      </c>
      <c r="B641" t="n">
        <v>4.5</v>
      </c>
      <c r="C641" t="n">
        <v>4.76</v>
      </c>
    </row>
    <row r="642">
      <c r="A642" s="96" t="n">
        <v>39387</v>
      </c>
      <c r="B642" t="n">
        <v>4.5</v>
      </c>
      <c r="C642" t="n">
        <v>4.49</v>
      </c>
    </row>
    <row r="643">
      <c r="A643" s="96" t="n">
        <v>39417</v>
      </c>
      <c r="B643" t="n">
        <v>4.25</v>
      </c>
      <c r="C643" t="n">
        <v>4.24</v>
      </c>
    </row>
    <row r="644">
      <c r="A644" s="96" t="n">
        <v>39448</v>
      </c>
      <c r="B644" t="n">
        <v>3</v>
      </c>
      <c r="C644" t="n">
        <v>3.94</v>
      </c>
    </row>
    <row r="645">
      <c r="A645" s="96" t="n">
        <v>39479</v>
      </c>
      <c r="B645" t="n">
        <v>3</v>
      </c>
      <c r="C645" t="n">
        <v>2.98</v>
      </c>
    </row>
    <row r="646">
      <c r="A646" s="96" t="n">
        <v>39508</v>
      </c>
      <c r="B646" t="n">
        <v>2.25</v>
      </c>
      <c r="C646" t="n">
        <v>2.61</v>
      </c>
    </row>
    <row r="647">
      <c r="A647" s="96" t="n">
        <v>39539</v>
      </c>
      <c r="B647" t="n">
        <v>2</v>
      </c>
      <c r="C647" t="n">
        <v>2.28</v>
      </c>
    </row>
    <row r="648">
      <c r="A648" s="96" t="n">
        <v>39569</v>
      </c>
      <c r="B648" t="n">
        <v>2</v>
      </c>
      <c r="C648" t="n">
        <v>1.98</v>
      </c>
    </row>
    <row r="649">
      <c r="A649" s="96" t="n">
        <v>39600</v>
      </c>
      <c r="B649" t="n">
        <v>2</v>
      </c>
      <c r="C649" t="n">
        <v>2</v>
      </c>
    </row>
    <row r="650">
      <c r="A650" s="96" t="n">
        <v>39630</v>
      </c>
      <c r="B650" t="n">
        <v>2</v>
      </c>
      <c r="C650" t="n">
        <v>2.01</v>
      </c>
    </row>
    <row r="651">
      <c r="A651" s="96" t="n">
        <v>39661</v>
      </c>
      <c r="B651" t="n">
        <v>2</v>
      </c>
      <c r="C651" t="n">
        <v>2</v>
      </c>
    </row>
    <row r="652">
      <c r="A652" s="96" t="n">
        <v>39692</v>
      </c>
      <c r="B652" t="n">
        <v>2</v>
      </c>
      <c r="C652" t="n">
        <v>1.81</v>
      </c>
    </row>
    <row r="653">
      <c r="A653" s="96" t="n">
        <v>39722</v>
      </c>
      <c r="B653" t="n">
        <v>1</v>
      </c>
      <c r="C653" t="n">
        <v>0.97</v>
      </c>
    </row>
    <row r="654">
      <c r="A654" s="96" t="n">
        <v>39753</v>
      </c>
      <c r="B654" t="n">
        <v>1</v>
      </c>
      <c r="C654" t="n">
        <v>0.39</v>
      </c>
    </row>
    <row r="655">
      <c r="A655" s="96" t="n">
        <v>39783</v>
      </c>
      <c r="B655" t="n">
        <v>0.25</v>
      </c>
      <c r="C655" t="n">
        <v>0.16</v>
      </c>
    </row>
    <row r="656">
      <c r="A656" s="96" t="n">
        <v>39814</v>
      </c>
      <c r="B656" t="n">
        <v>0.25</v>
      </c>
      <c r="C656" t="n">
        <v>0.15</v>
      </c>
    </row>
    <row r="657">
      <c r="A657" s="96" t="n">
        <v>39845</v>
      </c>
      <c r="B657" t="n">
        <v>0.25</v>
      </c>
      <c r="C657" t="n">
        <v>0.22</v>
      </c>
    </row>
    <row r="658">
      <c r="A658" s="96" t="n">
        <v>39873</v>
      </c>
      <c r="B658" t="n">
        <v>0.25</v>
      </c>
      <c r="C658" t="n">
        <v>0.18</v>
      </c>
    </row>
    <row r="659">
      <c r="A659" s="96" t="n">
        <v>39904</v>
      </c>
      <c r="B659" t="n">
        <v>0.25</v>
      </c>
      <c r="C659" t="n">
        <v>0.15</v>
      </c>
    </row>
    <row r="660">
      <c r="A660" s="96" t="n">
        <v>39934</v>
      </c>
      <c r="B660" t="n">
        <v>0.25</v>
      </c>
      <c r="C660" t="n">
        <v>0.18</v>
      </c>
    </row>
    <row r="661">
      <c r="A661" s="96" t="n">
        <v>39965</v>
      </c>
      <c r="B661" t="n">
        <v>0.25</v>
      </c>
      <c r="C661" t="n">
        <v>0.21</v>
      </c>
    </row>
    <row r="662">
      <c r="A662" s="96" t="n">
        <v>39995</v>
      </c>
      <c r="B662" t="n">
        <v>0.25</v>
      </c>
      <c r="C662" t="n">
        <v>0.16</v>
      </c>
    </row>
    <row r="663">
      <c r="A663" s="96" t="n">
        <v>40026</v>
      </c>
      <c r="B663" t="n">
        <v>0.25</v>
      </c>
      <c r="C663" t="n">
        <v>0.16</v>
      </c>
    </row>
    <row r="664">
      <c r="A664" s="96" t="n">
        <v>40057</v>
      </c>
      <c r="B664" t="n">
        <v>0.25</v>
      </c>
      <c r="C664" t="n">
        <v>0.15</v>
      </c>
    </row>
    <row r="665">
      <c r="A665" s="96" t="n">
        <v>40087</v>
      </c>
      <c r="B665" t="n">
        <v>0.25</v>
      </c>
      <c r="C665" t="n">
        <v>0.12</v>
      </c>
    </row>
    <row r="666">
      <c r="A666" s="96" t="n">
        <v>40118</v>
      </c>
      <c r="B666" t="n">
        <v>0.25</v>
      </c>
      <c r="C666" t="n">
        <v>0.12</v>
      </c>
    </row>
    <row r="667">
      <c r="A667" s="96" t="n">
        <v>40148</v>
      </c>
      <c r="B667" t="n">
        <v>0.25</v>
      </c>
      <c r="C667" t="n">
        <v>0.12</v>
      </c>
    </row>
    <row r="668">
      <c r="A668" s="96" t="n">
        <v>40179</v>
      </c>
      <c r="B668" t="n">
        <v>0.25</v>
      </c>
      <c r="C668" t="n">
        <v>0.11</v>
      </c>
    </row>
    <row r="669">
      <c r="A669" s="96" t="n">
        <v>40210</v>
      </c>
      <c r="B669" t="n">
        <v>0.25</v>
      </c>
      <c r="C669" t="n">
        <v>0.13</v>
      </c>
    </row>
    <row r="670">
      <c r="A670" s="96" t="n">
        <v>40238</v>
      </c>
      <c r="B670" t="n">
        <v>0.25</v>
      </c>
      <c r="C670" t="n">
        <v>0.16</v>
      </c>
    </row>
    <row r="671">
      <c r="A671" s="96" t="n">
        <v>40269</v>
      </c>
      <c r="B671" t="n">
        <v>0.25</v>
      </c>
      <c r="C671" t="n">
        <v>0.2</v>
      </c>
    </row>
    <row r="672">
      <c r="A672" s="96" t="n">
        <v>40299</v>
      </c>
      <c r="B672" t="n">
        <v>0.25</v>
      </c>
      <c r="C672" t="n">
        <v>0.2</v>
      </c>
    </row>
    <row r="673">
      <c r="A673" s="96" t="n">
        <v>40330</v>
      </c>
      <c r="B673" t="n">
        <v>0.25</v>
      </c>
      <c r="C673" t="n">
        <v>0.18</v>
      </c>
    </row>
    <row r="674">
      <c r="A674" s="96" t="n">
        <v>40360</v>
      </c>
      <c r="B674" t="n">
        <v>0.25</v>
      </c>
      <c r="C674" t="n">
        <v>0.18</v>
      </c>
    </row>
    <row r="675">
      <c r="A675" s="96" t="n">
        <v>40391</v>
      </c>
      <c r="B675" t="n">
        <v>0.25</v>
      </c>
      <c r="C675" t="n">
        <v>0.19</v>
      </c>
    </row>
    <row r="676">
      <c r="A676" s="96" t="n">
        <v>40422</v>
      </c>
      <c r="B676" t="n">
        <v>0.25</v>
      </c>
      <c r="C676" t="n">
        <v>0.19</v>
      </c>
    </row>
    <row r="677">
      <c r="A677" s="96" t="n">
        <v>40452</v>
      </c>
      <c r="B677" t="n">
        <v>0.25</v>
      </c>
      <c r="C677" t="n">
        <v>0.19</v>
      </c>
    </row>
    <row r="678">
      <c r="A678" s="96" t="n">
        <v>40483</v>
      </c>
      <c r="B678" t="n">
        <v>0.25</v>
      </c>
      <c r="C678" t="n">
        <v>0.19</v>
      </c>
    </row>
    <row r="679">
      <c r="A679" s="96" t="n">
        <v>40513</v>
      </c>
      <c r="B679" t="n">
        <v>0.25</v>
      </c>
      <c r="C679" t="n">
        <v>0.18</v>
      </c>
    </row>
    <row r="680">
      <c r="A680" s="96" t="n">
        <v>40544</v>
      </c>
      <c r="B680" t="n">
        <v>0.25</v>
      </c>
      <c r="C680" t="n">
        <v>0.17</v>
      </c>
    </row>
    <row r="681">
      <c r="A681" s="96" t="n">
        <v>40575</v>
      </c>
      <c r="B681" t="n">
        <v>0.25</v>
      </c>
      <c r="C681" t="n">
        <v>0.16</v>
      </c>
    </row>
    <row r="682">
      <c r="A682" s="96" t="n">
        <v>40603</v>
      </c>
      <c r="B682" t="n">
        <v>0.25</v>
      </c>
      <c r="C682" t="n">
        <v>0.14</v>
      </c>
    </row>
    <row r="683">
      <c r="A683" s="96" t="n">
        <v>40634</v>
      </c>
      <c r="B683" t="n">
        <v>0.25</v>
      </c>
      <c r="C683" t="n">
        <v>0.1</v>
      </c>
    </row>
    <row r="684">
      <c r="A684" s="96" t="n">
        <v>40664</v>
      </c>
      <c r="B684" t="n">
        <v>0.25</v>
      </c>
      <c r="C684" t="n">
        <v>0.09</v>
      </c>
    </row>
    <row r="685">
      <c r="A685" s="96" t="n">
        <v>40695</v>
      </c>
      <c r="B685" t="n">
        <v>0.25</v>
      </c>
      <c r="C685" t="n">
        <v>0.09</v>
      </c>
    </row>
    <row r="686">
      <c r="A686" s="96" t="n">
        <v>40725</v>
      </c>
      <c r="B686" t="n">
        <v>0.25</v>
      </c>
      <c r="C686" t="n">
        <v>0.07000000000000001</v>
      </c>
    </row>
    <row r="687">
      <c r="A687" s="96" t="n">
        <v>40756</v>
      </c>
      <c r="B687" t="n">
        <v>0.25</v>
      </c>
      <c r="C687" t="n">
        <v>0.1</v>
      </c>
    </row>
    <row r="688">
      <c r="A688" s="96" t="n">
        <v>40787</v>
      </c>
      <c r="B688" t="n">
        <v>0.25</v>
      </c>
      <c r="C688" t="n">
        <v>0.08</v>
      </c>
    </row>
    <row r="689">
      <c r="A689" s="96" t="n">
        <v>40817</v>
      </c>
      <c r="B689" t="n">
        <v>0.25</v>
      </c>
      <c r="C689" t="n">
        <v>0.07000000000000001</v>
      </c>
    </row>
    <row r="690">
      <c r="A690" s="96" t="n">
        <v>40848</v>
      </c>
      <c r="B690" t="n">
        <v>0.25</v>
      </c>
      <c r="C690" t="n">
        <v>0.08</v>
      </c>
    </row>
    <row r="691">
      <c r="A691" s="96" t="n">
        <v>40878</v>
      </c>
      <c r="B691" t="n">
        <v>0.25</v>
      </c>
      <c r="C691" t="n">
        <v>0.07000000000000001</v>
      </c>
    </row>
    <row r="692">
      <c r="A692" s="96" t="n">
        <v>40909</v>
      </c>
      <c r="B692" t="n">
        <v>0.25</v>
      </c>
      <c r="C692" t="n">
        <v>0.08</v>
      </c>
    </row>
    <row r="693">
      <c r="A693" s="96" t="n">
        <v>40940</v>
      </c>
      <c r="B693" t="n">
        <v>0.25</v>
      </c>
      <c r="C693" t="n">
        <v>0.1</v>
      </c>
    </row>
    <row r="694">
      <c r="A694" s="96" t="n">
        <v>40969</v>
      </c>
      <c r="B694" t="n">
        <v>0.25</v>
      </c>
      <c r="C694" t="n">
        <v>0.13</v>
      </c>
    </row>
    <row r="695">
      <c r="A695" s="96" t="n">
        <v>41000</v>
      </c>
      <c r="B695" t="n">
        <v>0.25</v>
      </c>
      <c r="C695" t="n">
        <v>0.14</v>
      </c>
    </row>
    <row r="696">
      <c r="A696" s="96" t="n">
        <v>41030</v>
      </c>
      <c r="B696" t="n">
        <v>0.25</v>
      </c>
      <c r="C696" t="n">
        <v>0.16</v>
      </c>
    </row>
    <row r="697">
      <c r="A697" s="96" t="n">
        <v>41061</v>
      </c>
      <c r="B697" t="n">
        <v>0.25</v>
      </c>
      <c r="C697" t="n">
        <v>0.16</v>
      </c>
    </row>
    <row r="698">
      <c r="A698" s="96" t="n">
        <v>41091</v>
      </c>
      <c r="B698" t="n">
        <v>0.25</v>
      </c>
      <c r="C698" t="n">
        <v>0.16</v>
      </c>
    </row>
    <row r="699">
      <c r="A699" s="96" t="n">
        <v>41122</v>
      </c>
      <c r="B699" t="n">
        <v>0.25</v>
      </c>
      <c r="C699" t="n">
        <v>0.13</v>
      </c>
    </row>
    <row r="700">
      <c r="A700" s="96" t="n">
        <v>41153</v>
      </c>
      <c r="B700" t="n">
        <v>0.25</v>
      </c>
      <c r="C700" t="n">
        <v>0.14</v>
      </c>
    </row>
    <row r="701">
      <c r="A701" s="96" t="n">
        <v>41183</v>
      </c>
      <c r="B701" t="n">
        <v>0.25</v>
      </c>
      <c r="C701" t="n">
        <v>0.16</v>
      </c>
    </row>
    <row r="702">
      <c r="A702" s="96" t="n">
        <v>41214</v>
      </c>
      <c r="B702" t="n">
        <v>0.25</v>
      </c>
      <c r="C702" t="n">
        <v>0.16</v>
      </c>
    </row>
    <row r="703">
      <c r="A703" s="96" t="n">
        <v>41244</v>
      </c>
      <c r="B703" t="n">
        <v>0.25</v>
      </c>
      <c r="C703" t="n">
        <v>0.16</v>
      </c>
    </row>
    <row r="704">
      <c r="A704" s="96" t="n">
        <v>41275</v>
      </c>
      <c r="B704" t="n">
        <v>0.25</v>
      </c>
      <c r="C704" t="n">
        <v>0.14</v>
      </c>
    </row>
    <row r="705">
      <c r="A705" s="96" t="n">
        <v>41306</v>
      </c>
      <c r="B705" t="n">
        <v>0.25</v>
      </c>
      <c r="C705" t="n">
        <v>0.15</v>
      </c>
    </row>
    <row r="706">
      <c r="A706" s="96" t="n">
        <v>41334</v>
      </c>
      <c r="B706" t="n">
        <v>0.25</v>
      </c>
      <c r="C706" t="n">
        <v>0.14</v>
      </c>
    </row>
    <row r="707">
      <c r="A707" s="96" t="n">
        <v>41365</v>
      </c>
      <c r="B707" t="n">
        <v>0.25</v>
      </c>
      <c r="C707" t="n">
        <v>0.15</v>
      </c>
    </row>
    <row r="708">
      <c r="A708" s="96" t="n">
        <v>41395</v>
      </c>
      <c r="B708" t="n">
        <v>0.25</v>
      </c>
      <c r="C708" t="n">
        <v>0.11</v>
      </c>
    </row>
    <row r="709">
      <c r="A709" s="96" t="n">
        <v>41426</v>
      </c>
      <c r="B709" t="n">
        <v>0.25</v>
      </c>
      <c r="C709" t="n">
        <v>0.09</v>
      </c>
    </row>
    <row r="710">
      <c r="A710" s="96" t="n">
        <v>41456</v>
      </c>
      <c r="B710" t="n">
        <v>0.25</v>
      </c>
      <c r="C710" t="n">
        <v>0.09</v>
      </c>
    </row>
    <row r="711">
      <c r="A711" s="96" t="n">
        <v>41487</v>
      </c>
      <c r="B711" t="n">
        <v>0.25</v>
      </c>
      <c r="C711" t="n">
        <v>0.08</v>
      </c>
    </row>
    <row r="712">
      <c r="A712" s="96" t="n">
        <v>41518</v>
      </c>
      <c r="B712" t="n">
        <v>0.25</v>
      </c>
      <c r="C712" t="n">
        <v>0.08</v>
      </c>
    </row>
    <row r="713">
      <c r="A713" s="96" t="n">
        <v>41548</v>
      </c>
      <c r="B713" t="n">
        <v>0.25</v>
      </c>
      <c r="C713" t="n">
        <v>0.09</v>
      </c>
    </row>
    <row r="714">
      <c r="A714" s="96" t="n">
        <v>41579</v>
      </c>
      <c r="B714" t="n">
        <v>0.25</v>
      </c>
      <c r="C714" t="n">
        <v>0.08</v>
      </c>
    </row>
    <row r="715">
      <c r="A715" s="96" t="n">
        <v>41609</v>
      </c>
      <c r="B715" t="n">
        <v>0.25</v>
      </c>
      <c r="C715" t="n">
        <v>0.09</v>
      </c>
    </row>
    <row r="716">
      <c r="A716" s="96" t="n">
        <v>41640</v>
      </c>
      <c r="B716" t="n">
        <v>0.25</v>
      </c>
      <c r="C716" t="n">
        <v>0.07000000000000001</v>
      </c>
    </row>
    <row r="717">
      <c r="A717" s="96" t="n">
        <v>41671</v>
      </c>
      <c r="B717" t="n">
        <v>0.25</v>
      </c>
      <c r="C717" t="n">
        <v>0.07000000000000001</v>
      </c>
    </row>
    <row r="718">
      <c r="A718" s="96" t="n">
        <v>41699</v>
      </c>
      <c r="B718" t="n">
        <v>0.25</v>
      </c>
      <c r="C718" t="n">
        <v>0.08</v>
      </c>
    </row>
    <row r="719">
      <c r="A719" s="96" t="n">
        <v>41730</v>
      </c>
      <c r="B719" t="n">
        <v>0.25</v>
      </c>
      <c r="C719" t="n">
        <v>0.09</v>
      </c>
    </row>
    <row r="720">
      <c r="A720" s="96" t="n">
        <v>41760</v>
      </c>
      <c r="B720" t="n">
        <v>0.25</v>
      </c>
      <c r="C720" t="n">
        <v>0.09</v>
      </c>
    </row>
    <row r="721">
      <c r="A721" s="96" t="n">
        <v>41791</v>
      </c>
      <c r="B721" t="n">
        <v>0.25</v>
      </c>
      <c r="C721" t="n">
        <v>0.1</v>
      </c>
    </row>
    <row r="722">
      <c r="A722" s="96" t="n">
        <v>41821</v>
      </c>
      <c r="B722" t="n">
        <v>0.25</v>
      </c>
      <c r="C722" t="n">
        <v>0.09</v>
      </c>
    </row>
    <row r="723">
      <c r="A723" s="96" t="n">
        <v>41852</v>
      </c>
      <c r="B723" t="n">
        <v>0.25</v>
      </c>
      <c r="C723" t="n">
        <v>0.09</v>
      </c>
    </row>
    <row r="724">
      <c r="A724" s="96" t="n">
        <v>41883</v>
      </c>
      <c r="B724" t="n">
        <v>0.25</v>
      </c>
      <c r="C724" t="n">
        <v>0.09</v>
      </c>
    </row>
    <row r="725">
      <c r="A725" s="96" t="n">
        <v>41913</v>
      </c>
      <c r="B725" t="n">
        <v>0.25</v>
      </c>
      <c r="C725" t="n">
        <v>0.09</v>
      </c>
    </row>
    <row r="726">
      <c r="A726" s="96" t="n">
        <v>41944</v>
      </c>
      <c r="B726" t="n">
        <v>0.25</v>
      </c>
      <c r="C726" t="n">
        <v>0.09</v>
      </c>
    </row>
    <row r="727">
      <c r="A727" s="96" t="n">
        <v>41974</v>
      </c>
      <c r="B727" t="n">
        <v>0.25</v>
      </c>
      <c r="C727" t="n">
        <v>0.12</v>
      </c>
    </row>
    <row r="728">
      <c r="A728" s="96" t="n">
        <v>42005</v>
      </c>
      <c r="B728" t="n">
        <v>0.25</v>
      </c>
      <c r="C728" t="n">
        <v>0.11</v>
      </c>
    </row>
    <row r="729">
      <c r="A729" s="96" t="n">
        <v>42036</v>
      </c>
      <c r="B729" t="n">
        <v>0.25</v>
      </c>
      <c r="C729" t="n">
        <v>0.11</v>
      </c>
    </row>
    <row r="730">
      <c r="A730" s="96" t="n">
        <v>42064</v>
      </c>
      <c r="B730" t="n">
        <v>0.25</v>
      </c>
      <c r="C730" t="n">
        <v>0.11</v>
      </c>
    </row>
    <row r="731">
      <c r="A731" s="96" t="n">
        <v>42095</v>
      </c>
      <c r="B731" t="n">
        <v>0.25</v>
      </c>
      <c r="C731" t="n">
        <v>0.12</v>
      </c>
    </row>
    <row r="732">
      <c r="A732" s="96" t="n">
        <v>42125</v>
      </c>
      <c r="B732" t="n">
        <v>0.25</v>
      </c>
      <c r="C732" t="n">
        <v>0.12</v>
      </c>
    </row>
    <row r="733">
      <c r="A733" s="96" t="n">
        <v>42156</v>
      </c>
      <c r="B733" t="n">
        <v>0.25</v>
      </c>
      <c r="C733" t="n">
        <v>0.13</v>
      </c>
    </row>
    <row r="734">
      <c r="A734" s="96" t="n">
        <v>42186</v>
      </c>
      <c r="B734" t="n">
        <v>0.25</v>
      </c>
      <c r="C734" t="n">
        <v>0.13</v>
      </c>
    </row>
    <row r="735">
      <c r="A735" s="96" t="n">
        <v>42217</v>
      </c>
      <c r="B735" t="n">
        <v>0.25</v>
      </c>
      <c r="C735" t="n">
        <v>0.14</v>
      </c>
    </row>
    <row r="736">
      <c r="A736" s="96" t="n">
        <v>42248</v>
      </c>
      <c r="B736" t="n">
        <v>0.25</v>
      </c>
      <c r="C736" t="n">
        <v>0.14</v>
      </c>
    </row>
    <row r="737">
      <c r="A737" s="96" t="n">
        <v>42278</v>
      </c>
      <c r="B737" t="n">
        <v>0.25</v>
      </c>
      <c r="C737" t="n">
        <v>0.12</v>
      </c>
    </row>
    <row r="738">
      <c r="A738" s="96" t="n">
        <v>42309</v>
      </c>
      <c r="B738" t="n">
        <v>0.25</v>
      </c>
      <c r="C738" t="n">
        <v>0.12</v>
      </c>
    </row>
    <row r="739">
      <c r="A739" s="96" t="n">
        <v>42339</v>
      </c>
      <c r="B739" t="n">
        <v>0.5</v>
      </c>
      <c r="C739" t="n">
        <v>0.24</v>
      </c>
    </row>
    <row r="740">
      <c r="A740" s="96" t="n">
        <v>42370</v>
      </c>
      <c r="B740" t="n">
        <v>0.5</v>
      </c>
      <c r="C740" t="n">
        <v>0.34</v>
      </c>
    </row>
    <row r="741">
      <c r="A741" s="96" t="n">
        <v>42401</v>
      </c>
      <c r="B741" t="n">
        <v>0.5</v>
      </c>
      <c r="C741" t="n">
        <v>0.38</v>
      </c>
    </row>
    <row r="742">
      <c r="A742" s="96" t="n">
        <v>42430</v>
      </c>
      <c r="B742" t="n">
        <v>0.5</v>
      </c>
      <c r="C742" t="n">
        <v>0.36</v>
      </c>
    </row>
    <row r="743">
      <c r="A743" s="96" t="n">
        <v>42461</v>
      </c>
      <c r="B743" t="n">
        <v>0.5</v>
      </c>
      <c r="C743" t="n">
        <v>0.37</v>
      </c>
    </row>
    <row r="744">
      <c r="A744" s="96" t="n">
        <v>42491</v>
      </c>
      <c r="B744" t="n">
        <v>0.5</v>
      </c>
      <c r="C744" t="n">
        <v>0.37</v>
      </c>
    </row>
    <row r="745">
      <c r="A745" s="96" t="n">
        <v>42522</v>
      </c>
      <c r="B745" t="n">
        <v>0.5</v>
      </c>
      <c r="C745" t="n">
        <v>0.38</v>
      </c>
    </row>
    <row r="746">
      <c r="A746" s="96" t="n">
        <v>42552</v>
      </c>
      <c r="B746" t="n">
        <v>0.5</v>
      </c>
      <c r="C746" t="n">
        <v>0.39</v>
      </c>
    </row>
    <row r="747">
      <c r="A747" s="96" t="n">
        <v>42583</v>
      </c>
      <c r="B747" t="n">
        <v>0.5</v>
      </c>
      <c r="C747" t="n">
        <v>0.4</v>
      </c>
    </row>
    <row r="748">
      <c r="A748" s="96" t="n">
        <v>42614</v>
      </c>
      <c r="B748" t="n">
        <v>0.5</v>
      </c>
      <c r="C748" t="n">
        <v>0.4</v>
      </c>
    </row>
    <row r="749">
      <c r="A749" s="96" t="n">
        <v>42644</v>
      </c>
      <c r="B749" t="n">
        <v>0.5</v>
      </c>
      <c r="C749" t="n">
        <v>0.4</v>
      </c>
    </row>
    <row r="750">
      <c r="A750" s="96" t="n">
        <v>42675</v>
      </c>
      <c r="B750" t="n">
        <v>0.5</v>
      </c>
      <c r="C750" t="n">
        <v>0.41</v>
      </c>
    </row>
    <row r="751">
      <c r="A751" s="96" t="n">
        <v>42705</v>
      </c>
      <c r="B751" t="n">
        <v>0.75</v>
      </c>
      <c r="C751" t="n">
        <v>0.54</v>
      </c>
    </row>
    <row r="752">
      <c r="A752" s="96" t="n">
        <v>42736</v>
      </c>
      <c r="B752" t="n">
        <v>0.75</v>
      </c>
      <c r="C752" t="n">
        <v>0.65</v>
      </c>
    </row>
    <row r="753">
      <c r="A753" s="96" t="n">
        <v>42767</v>
      </c>
      <c r="B753" t="n">
        <v>0.75</v>
      </c>
      <c r="C753" t="n">
        <v>0.66</v>
      </c>
    </row>
    <row r="754">
      <c r="A754" s="96" t="n">
        <v>42795</v>
      </c>
      <c r="B754" t="n">
        <v>1</v>
      </c>
      <c r="C754" t="n">
        <v>0.79</v>
      </c>
    </row>
    <row r="755">
      <c r="A755" s="96" t="n">
        <v>42826</v>
      </c>
      <c r="B755" t="n">
        <v>1</v>
      </c>
      <c r="C755" t="n">
        <v>0.9</v>
      </c>
    </row>
    <row r="756">
      <c r="A756" s="96" t="n">
        <v>42856</v>
      </c>
      <c r="B756" t="n">
        <v>1</v>
      </c>
      <c r="C756" t="n">
        <v>0.91</v>
      </c>
    </row>
    <row r="757">
      <c r="A757" s="96" t="n">
        <v>42887</v>
      </c>
      <c r="B757" t="n">
        <v>1.25</v>
      </c>
      <c r="C757" t="n">
        <v>1.04</v>
      </c>
    </row>
    <row r="758">
      <c r="A758" s="96" t="n">
        <v>42917</v>
      </c>
      <c r="B758" t="n">
        <v>1.25</v>
      </c>
      <c r="C758" t="n">
        <v>1.15</v>
      </c>
    </row>
    <row r="759">
      <c r="A759" s="96" t="n">
        <v>42948</v>
      </c>
      <c r="B759" t="n">
        <v>1.25</v>
      </c>
      <c r="C759" t="n">
        <v>1.16</v>
      </c>
    </row>
    <row r="760">
      <c r="A760" s="96" t="n">
        <v>42979</v>
      </c>
      <c r="B760" t="n">
        <v>1.25</v>
      </c>
      <c r="C760" t="n">
        <v>1.15</v>
      </c>
    </row>
    <row r="761">
      <c r="A761" s="96" t="n">
        <v>43009</v>
      </c>
      <c r="B761" t="n">
        <v>1.25</v>
      </c>
      <c r="C761" t="n">
        <v>1.15</v>
      </c>
    </row>
    <row r="762">
      <c r="A762" s="96" t="n">
        <v>43040</v>
      </c>
      <c r="B762" t="n">
        <v>1.25</v>
      </c>
      <c r="C762" t="n">
        <v>1.16</v>
      </c>
    </row>
    <row r="763">
      <c r="A763" s="96" t="n">
        <v>43070</v>
      </c>
      <c r="B763" t="n">
        <v>1.5</v>
      </c>
      <c r="C763" t="n">
        <v>1.3</v>
      </c>
    </row>
    <row r="764">
      <c r="A764" s="96" t="n">
        <v>43101</v>
      </c>
      <c r="B764" t="n">
        <v>1.5</v>
      </c>
      <c r="C764" t="n">
        <v>1.41</v>
      </c>
    </row>
    <row r="765">
      <c r="A765" s="96" t="n">
        <v>43132</v>
      </c>
      <c r="B765" t="n">
        <v>1.5</v>
      </c>
      <c r="C765" t="n">
        <v>1.42</v>
      </c>
    </row>
    <row r="766">
      <c r="A766" s="96" t="n">
        <v>43160</v>
      </c>
      <c r="B766" t="n">
        <v>1.75</v>
      </c>
      <c r="C766" t="n">
        <v>1.51</v>
      </c>
    </row>
    <row r="767">
      <c r="A767" s="96" t="n">
        <v>43191</v>
      </c>
      <c r="B767" t="n">
        <v>1.75</v>
      </c>
      <c r="C767" t="n">
        <v>1.69</v>
      </c>
    </row>
    <row r="768">
      <c r="A768" s="96" t="n">
        <v>43221</v>
      </c>
      <c r="B768" t="n">
        <v>1.75</v>
      </c>
      <c r="C768" t="n">
        <v>1.7</v>
      </c>
    </row>
    <row r="769">
      <c r="A769" s="96" t="n">
        <v>43252</v>
      </c>
      <c r="B769" t="n">
        <v>2</v>
      </c>
      <c r="C769" t="n">
        <v>1.82</v>
      </c>
    </row>
    <row r="770">
      <c r="A770" s="96" t="n">
        <v>43282</v>
      </c>
      <c r="B770" t="n">
        <v>2</v>
      </c>
      <c r="C770" t="n">
        <v>1.91</v>
      </c>
    </row>
    <row r="771">
      <c r="A771" s="96" t="n">
        <v>43313</v>
      </c>
      <c r="B771" t="n">
        <v>2</v>
      </c>
      <c r="C771" t="n">
        <v>1.91</v>
      </c>
    </row>
    <row r="772">
      <c r="A772" s="96" t="n">
        <v>43344</v>
      </c>
      <c r="B772" t="n">
        <v>2.25</v>
      </c>
      <c r="C772" t="n">
        <v>1.95</v>
      </c>
    </row>
    <row r="773">
      <c r="A773" s="96" t="n">
        <v>43374</v>
      </c>
      <c r="B773" t="n">
        <v>2.25</v>
      </c>
      <c r="C773" t="n">
        <v>2.19</v>
      </c>
    </row>
    <row r="774">
      <c r="A774" s="96" t="n">
        <v>43405</v>
      </c>
      <c r="B774" t="n">
        <v>2.25</v>
      </c>
      <c r="C774" t="n">
        <v>2.2</v>
      </c>
    </row>
    <row r="775">
      <c r="A775" s="96" t="n">
        <v>43435</v>
      </c>
      <c r="B775" t="n">
        <v>2.5</v>
      </c>
      <c r="C775" t="n">
        <v>2.27</v>
      </c>
    </row>
    <row r="776">
      <c r="A776" s="96" t="n">
        <v>43466</v>
      </c>
      <c r="B776" t="n">
        <v>2.5</v>
      </c>
      <c r="C776" t="n">
        <v>2.4</v>
      </c>
    </row>
    <row r="777">
      <c r="A777" s="96" t="n">
        <v>43497</v>
      </c>
      <c r="B777" t="n">
        <v>2.5</v>
      </c>
      <c r="C777" t="n">
        <v>2.4</v>
      </c>
    </row>
    <row r="778">
      <c r="A778" s="96" t="n">
        <v>43525</v>
      </c>
      <c r="B778" t="n">
        <v>2.5</v>
      </c>
      <c r="C778" t="n">
        <v>2.41</v>
      </c>
    </row>
    <row r="779">
      <c r="A779" s="96" t="n">
        <v>43556</v>
      </c>
      <c r="B779" t="n">
        <v>2.5</v>
      </c>
      <c r="C779" t="n">
        <v>2.42</v>
      </c>
    </row>
    <row r="780">
      <c r="A780" s="96" t="n">
        <v>43586</v>
      </c>
      <c r="B780" t="n">
        <v>2.5</v>
      </c>
      <c r="C780" t="n">
        <v>2.39</v>
      </c>
    </row>
    <row r="781">
      <c r="A781" s="96" t="n">
        <v>43617</v>
      </c>
      <c r="B781" t="n">
        <v>2.5</v>
      </c>
      <c r="C781" t="n">
        <v>2.38</v>
      </c>
    </row>
    <row r="782">
      <c r="A782" s="96" t="n">
        <v>43647</v>
      </c>
      <c r="B782" t="n">
        <v>2.5</v>
      </c>
      <c r="C782" t="n">
        <v>2.4</v>
      </c>
    </row>
    <row r="783">
      <c r="A783" s="96" t="n">
        <v>43678</v>
      </c>
      <c r="B783" t="n">
        <v>2.25</v>
      </c>
      <c r="C783" t="n">
        <v>2.13</v>
      </c>
    </row>
    <row r="784">
      <c r="A784" s="96" t="n">
        <v>43709</v>
      </c>
      <c r="B784" t="n">
        <v>2</v>
      </c>
      <c r="C784" t="n">
        <v>2.04</v>
      </c>
    </row>
    <row r="785">
      <c r="A785" s="96" t="n">
        <v>43739</v>
      </c>
      <c r="B785" t="n">
        <v>1.75</v>
      </c>
      <c r="C785" t="n">
        <v>1.83</v>
      </c>
    </row>
    <row r="786">
      <c r="A786" s="96" t="n">
        <v>43770</v>
      </c>
      <c r="B786" t="n">
        <v>1.75</v>
      </c>
      <c r="C786" t="n">
        <v>1.55</v>
      </c>
    </row>
    <row r="787">
      <c r="A787" s="96" t="n">
        <v>43800</v>
      </c>
      <c r="B787" t="n">
        <v>1.75</v>
      </c>
      <c r="C787" t="n">
        <v>1.55</v>
      </c>
    </row>
    <row r="788">
      <c r="A788" s="96" t="n">
        <v>43831</v>
      </c>
      <c r="B788" t="n">
        <v>1.75</v>
      </c>
      <c r="C788" t="n">
        <v>1.55</v>
      </c>
    </row>
    <row r="789">
      <c r="A789" s="96" t="n">
        <v>43862</v>
      </c>
      <c r="B789" t="n">
        <v>1.75</v>
      </c>
      <c r="C789" t="n">
        <v>1.58</v>
      </c>
    </row>
    <row r="790">
      <c r="A790" s="96" t="n">
        <v>43891</v>
      </c>
      <c r="B790" t="n">
        <v>0.25</v>
      </c>
      <c r="C790" t="n">
        <v>0.65</v>
      </c>
    </row>
    <row r="791">
      <c r="A791" s="96" t="n">
        <v>43922</v>
      </c>
      <c r="B791" t="n">
        <v>0.25</v>
      </c>
      <c r="C791" t="n">
        <v>0.05</v>
      </c>
    </row>
    <row r="792">
      <c r="A792" s="96" t="n">
        <v>43952</v>
      </c>
      <c r="B792" t="n">
        <v>0.25</v>
      </c>
      <c r="C792" t="n">
        <v>0.05</v>
      </c>
    </row>
    <row r="793">
      <c r="A793" s="96" t="n">
        <v>43983</v>
      </c>
      <c r="B793" t="n">
        <v>0.25</v>
      </c>
      <c r="C793" t="n">
        <v>0.08</v>
      </c>
    </row>
    <row r="794">
      <c r="A794" s="96" t="n">
        <v>44013</v>
      </c>
      <c r="B794" t="n">
        <v>0.25</v>
      </c>
      <c r="C794" t="n">
        <v>0.09</v>
      </c>
    </row>
    <row r="795">
      <c r="A795" s="96" t="n">
        <v>44044</v>
      </c>
      <c r="B795" t="n">
        <v>0.25</v>
      </c>
      <c r="C795" t="n">
        <v>0.1</v>
      </c>
    </row>
    <row r="796">
      <c r="A796" s="96" t="n">
        <v>44075</v>
      </c>
      <c r="B796" t="n">
        <v>0.25</v>
      </c>
      <c r="C796" t="n">
        <v>0.09</v>
      </c>
    </row>
    <row r="797">
      <c r="A797" s="96" t="n">
        <v>44105</v>
      </c>
      <c r="B797" t="n">
        <v>0.25</v>
      </c>
      <c r="C797" t="n">
        <v>0.09</v>
      </c>
    </row>
    <row r="798">
      <c r="A798" s="96" t="n">
        <v>44136</v>
      </c>
      <c r="B798" t="n">
        <v>0.25</v>
      </c>
      <c r="C798" t="n">
        <v>0.09</v>
      </c>
    </row>
    <row r="799">
      <c r="A799" s="96" t="n">
        <v>44166</v>
      </c>
      <c r="B799" t="n">
        <v>0.25</v>
      </c>
      <c r="C799" t="n">
        <v>0.09</v>
      </c>
    </row>
    <row r="800">
      <c r="A800" s="96" t="n">
        <v>44197</v>
      </c>
      <c r="B800" t="n">
        <v>0.25</v>
      </c>
      <c r="C800" t="n">
        <v>0.09</v>
      </c>
    </row>
    <row r="801">
      <c r="A801" s="96" t="n">
        <v>44228</v>
      </c>
      <c r="B801" t="n">
        <v>0.25</v>
      </c>
      <c r="C801" t="n">
        <v>0.08</v>
      </c>
    </row>
    <row r="802">
      <c r="A802" s="96" t="n">
        <v>44256</v>
      </c>
      <c r="B802" t="n">
        <v>0.25</v>
      </c>
      <c r="C802" t="n">
        <v>0.07000000000000001</v>
      </c>
    </row>
    <row r="803">
      <c r="A803" s="96" t="n">
        <v>44287</v>
      </c>
      <c r="B803" t="n">
        <v>0.25</v>
      </c>
      <c r="C803" t="n">
        <v>0.07000000000000001</v>
      </c>
    </row>
    <row r="804">
      <c r="A804" s="96" t="n">
        <v>44317</v>
      </c>
      <c r="B804" t="n">
        <v>0.25</v>
      </c>
      <c r="C804" t="n">
        <v>0.06</v>
      </c>
    </row>
    <row r="805">
      <c r="A805" s="96" t="n">
        <v>44348</v>
      </c>
      <c r="B805" t="n">
        <v>0.25</v>
      </c>
      <c r="C805" t="n">
        <v>0.08</v>
      </c>
    </row>
    <row r="806">
      <c r="A806" s="96" t="n">
        <v>44378</v>
      </c>
      <c r="B806" t="n">
        <v>0.25</v>
      </c>
      <c r="C806" t="n">
        <v>0.1</v>
      </c>
    </row>
    <row r="807">
      <c r="A807" s="96" t="n">
        <v>44409</v>
      </c>
      <c r="B807" t="n">
        <v>0.25</v>
      </c>
      <c r="C807" t="n">
        <v>0.09</v>
      </c>
    </row>
    <row r="808">
      <c r="A808" s="96" t="n">
        <v>44440</v>
      </c>
      <c r="B808" t="n">
        <v>0.25</v>
      </c>
      <c r="C808" t="n">
        <v>0.08</v>
      </c>
    </row>
    <row r="809">
      <c r="A809" s="96" t="n">
        <v>44470</v>
      </c>
      <c r="B809" t="n">
        <v>0.25</v>
      </c>
      <c r="C809" t="n">
        <v>0.08</v>
      </c>
    </row>
    <row r="810">
      <c r="A810" s="96" t="n">
        <v>44501</v>
      </c>
      <c r="B810" t="n">
        <v>0.25</v>
      </c>
      <c r="C810" t="n">
        <v>0.08</v>
      </c>
    </row>
    <row r="811">
      <c r="A811" s="96" t="n">
        <v>44531</v>
      </c>
      <c r="B811" t="n">
        <v>0.25</v>
      </c>
      <c r="C811" t="n">
        <v>0.08</v>
      </c>
    </row>
    <row r="812">
      <c r="A812" s="96" t="n">
        <v>44562</v>
      </c>
      <c r="B812" t="n">
        <v>0.25</v>
      </c>
      <c r="C812" t="n">
        <v>0.08</v>
      </c>
    </row>
    <row r="813">
      <c r="A813" s="96" t="n">
        <v>44593</v>
      </c>
      <c r="B813" t="n">
        <v>0.25</v>
      </c>
      <c r="C813" t="n">
        <v>0.08</v>
      </c>
    </row>
    <row r="814">
      <c r="A814" s="96" t="n">
        <v>44621</v>
      </c>
      <c r="B814" t="n">
        <v>0.5</v>
      </c>
      <c r="C814" t="n">
        <v>0.2</v>
      </c>
    </row>
    <row r="815">
      <c r="A815" s="96" t="n">
        <v>44652</v>
      </c>
      <c r="B815" t="n">
        <v>0.5</v>
      </c>
      <c r="C815" t="n">
        <v>0.33</v>
      </c>
    </row>
    <row r="816">
      <c r="A816" s="96" t="n">
        <v>44682</v>
      </c>
      <c r="B816" t="n">
        <v>1</v>
      </c>
      <c r="C816" t="n">
        <v>0.77</v>
      </c>
    </row>
    <row r="817">
      <c r="A817" s="96" t="n">
        <v>44713</v>
      </c>
      <c r="B817" t="n">
        <v>1.75</v>
      </c>
      <c r="C817" t="n">
        <v>1.21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83"/>
  <sheetViews>
    <sheetView topLeftCell="C1" zoomScale="130" zoomScaleNormal="130" workbookViewId="0">
      <pane ySplit="4" topLeftCell="A884" activePane="bottomLeft" state="frozen"/>
      <selection pane="bottomLeft" activeCell="I903" sqref="I903"/>
    </sheetView>
  </sheetViews>
  <sheetFormatPr baseColWidth="10" defaultColWidth="8.83203125" defaultRowHeight="15"/>
  <cols>
    <col width="7.6640625" customWidth="1" style="1" min="1" max="1"/>
    <col width="15.83203125" customWidth="1" style="62" min="2" max="2"/>
    <col width="18.1640625" customWidth="1" style="1" min="3" max="3"/>
    <col width="16.6640625" customWidth="1" style="1" min="4" max="4"/>
    <col width="11" customWidth="1" style="4" min="5" max="5"/>
    <col width="12.6640625" customWidth="1" style="4" min="6" max="6"/>
    <col width="9.1640625" customWidth="1" style="77" min="7" max="26"/>
    <col width="7.6640625" customWidth="1" style="77" min="27" max="30"/>
    <col width="9.1640625" customWidth="1" style="77" min="31" max="328"/>
  </cols>
  <sheetData>
    <row r="1" customFormat="1" s="77">
      <c r="A1" s="7" t="inlineStr">
        <is>
          <t>CPIAUCSL</t>
        </is>
      </c>
      <c r="B1" s="63" t="inlineStr">
        <is>
          <t>Consumer Price Index for All Urban Consumers: All Items (CPIAUCSL), Index 1982-84=100, Monthly, Seasonally Adjusted</t>
        </is>
      </c>
      <c r="C1" s="2" t="n"/>
      <c r="D1" s="2" t="n"/>
      <c r="E1" s="5" t="n"/>
      <c r="F1" s="5" t="n"/>
    </row>
    <row r="2" customFormat="1" s="77">
      <c r="A2" s="2" t="n"/>
      <c r="B2" s="64" t="n"/>
      <c r="C2" s="2" t="n"/>
      <c r="D2" s="2" t="n"/>
      <c r="E2" s="5" t="n"/>
      <c r="F2" s="5" t="n"/>
    </row>
    <row r="3" ht="16" customFormat="1" customHeight="1" s="77" thickBot="1">
      <c r="A3" s="8" t="n"/>
      <c r="B3" s="64" t="n"/>
      <c r="C3" s="2" t="n"/>
      <c r="D3" s="2" t="n"/>
      <c r="E3" s="5" t="n"/>
      <c r="F3" s="5" t="n"/>
    </row>
    <row r="4" ht="39" customHeight="1" s="60" thickBot="1">
      <c r="A4" s="22" t="inlineStr">
        <is>
          <t>Date</t>
        </is>
      </c>
      <c r="B4" s="65" t="inlineStr">
        <is>
          <t>Consumer Price Index (NSA)</t>
        </is>
      </c>
      <c r="C4" s="20" t="inlineStr">
        <is>
          <t>Consumer Price Index m/m %</t>
        </is>
      </c>
      <c r="D4" s="20" t="inlineStr">
        <is>
          <t>Consumer Price Index y/y %</t>
        </is>
      </c>
      <c r="E4" s="20" t="inlineStr">
        <is>
          <t>FED Funds Rate</t>
        </is>
      </c>
      <c r="F4" s="21" t="inlineStr">
        <is>
          <t>Fed Target</t>
        </is>
      </c>
    </row>
    <row r="5">
      <c r="A5" s="66" t="n">
        <v>17168</v>
      </c>
      <c r="B5" s="67">
        <f>VLOOKUP(Table2[[#This Row],[Date]],Database!A:E,2,)</f>
        <v/>
      </c>
      <c r="C5" s="17" t="n"/>
      <c r="D5" s="17" t="n"/>
      <c r="E5" s="23">
        <f>VLOOKUP(Table2[[#This Row],[Date]],'Fed Fund New'!$A:$C,2,FALSE)</f>
        <v/>
      </c>
      <c r="F5" s="23">
        <f>VLOOKUP(Table2[[#This Row],[Date]],'Fed Fund New'!$A:$C,3,FALSE)</f>
        <v/>
      </c>
    </row>
    <row r="6">
      <c r="A6" s="61" t="n">
        <v>17199</v>
      </c>
      <c r="B6" s="68">
        <f>VLOOKUP(Table2[[#This Row],[Date]],Database!A:E,2,)</f>
        <v/>
      </c>
      <c r="C6" s="14">
        <f>(B6-B5)/B5</f>
        <v/>
      </c>
      <c r="D6" s="14" t="n"/>
      <c r="E6" s="15">
        <f>VLOOKUP(Table2[[#This Row],[Date]],'Fed Fund New'!$A:$C,2,FALSE)</f>
        <v/>
      </c>
      <c r="F6" s="15">
        <f>VLOOKUP(Table2[[#This Row],[Date]],'Fed Fund New'!$A:$C,3,FALSE)</f>
        <v/>
      </c>
      <c r="K6" s="6">
        <f>AVERAGE(C6:C873)</f>
        <v/>
      </c>
    </row>
    <row r="7">
      <c r="A7" s="61" t="n">
        <v>17227</v>
      </c>
      <c r="B7" s="68">
        <f>VLOOKUP(Table2[[#This Row],[Date]],Database!A:E,2,)</f>
        <v/>
      </c>
      <c r="C7" s="14">
        <f>(B7-B6)/B6</f>
        <v/>
      </c>
      <c r="D7" s="14" t="n"/>
      <c r="E7" s="15">
        <f>VLOOKUP(Table2[[#This Row],[Date]],'Fed Fund New'!$A:$C,2,FALSE)</f>
        <v/>
      </c>
      <c r="F7" s="15">
        <f>VLOOKUP(Table2[[#This Row],[Date]],'Fed Fund New'!$A:$C,3,FALSE)</f>
        <v/>
      </c>
      <c r="K7" s="6">
        <f>AVERAGE(D17:D873)</f>
        <v/>
      </c>
    </row>
    <row r="8">
      <c r="A8" s="61" t="n">
        <v>17258</v>
      </c>
      <c r="B8" s="68">
        <f>VLOOKUP(Table2[[#This Row],[Date]],Database!A:E,2,)</f>
        <v/>
      </c>
      <c r="C8" s="14">
        <f>(B8-B7)/B7</f>
        <v/>
      </c>
      <c r="D8" s="14" t="n"/>
      <c r="E8" s="15">
        <f>VLOOKUP(Table2[[#This Row],[Date]],'Fed Fund New'!$A:$C,2,FALSE)</f>
        <v/>
      </c>
      <c r="F8" s="15">
        <f>VLOOKUP(Table2[[#This Row],[Date]],'Fed Fund New'!$A:$C,3,FALSE)</f>
        <v/>
      </c>
    </row>
    <row r="9">
      <c r="A9" s="61" t="n">
        <v>17288</v>
      </c>
      <c r="B9" s="68">
        <f>VLOOKUP(Table2[[#This Row],[Date]],Database!A:E,2,)</f>
        <v/>
      </c>
      <c r="C9" s="14">
        <f>(B9-B8)/B8</f>
        <v/>
      </c>
      <c r="D9" s="14" t="n"/>
      <c r="E9" s="15">
        <f>VLOOKUP(Table2[[#This Row],[Date]],'Fed Fund New'!$A:$C,2,FALSE)</f>
        <v/>
      </c>
      <c r="F9" s="15">
        <f>VLOOKUP(Table2[[#This Row],[Date]],'Fed Fund New'!$A:$C,3,FALSE)</f>
        <v/>
      </c>
    </row>
    <row r="10">
      <c r="A10" s="61" t="n">
        <v>17319</v>
      </c>
      <c r="B10" s="68">
        <f>VLOOKUP(Table2[[#This Row],[Date]],Database!A:E,2,)</f>
        <v/>
      </c>
      <c r="C10" s="14">
        <f>(B10-B9)/B9</f>
        <v/>
      </c>
      <c r="D10" s="14" t="n"/>
      <c r="E10" s="15">
        <f>VLOOKUP(Table2[[#This Row],[Date]],'Fed Fund New'!$A:$C,2,FALSE)</f>
        <v/>
      </c>
      <c r="F10" s="15">
        <f>VLOOKUP(Table2[[#This Row],[Date]],'Fed Fund New'!$A:$C,3,FALSE)</f>
        <v/>
      </c>
    </row>
    <row r="11">
      <c r="A11" s="61" t="n">
        <v>17349</v>
      </c>
      <c r="B11" s="68">
        <f>VLOOKUP(Table2[[#This Row],[Date]],Database!A:E,2,)</f>
        <v/>
      </c>
      <c r="C11" s="14">
        <f>(B11-B10)/B10</f>
        <v/>
      </c>
      <c r="D11" s="14" t="n"/>
      <c r="E11" s="15">
        <f>VLOOKUP(Table2[[#This Row],[Date]],'Fed Fund New'!$A:$C,2,FALSE)</f>
        <v/>
      </c>
      <c r="F11" s="15">
        <f>VLOOKUP(Table2[[#This Row],[Date]],'Fed Fund New'!$A:$C,3,FALSE)</f>
        <v/>
      </c>
    </row>
    <row r="12">
      <c r="A12" s="61" t="n">
        <v>17380</v>
      </c>
      <c r="B12" s="68">
        <f>VLOOKUP(Table2[[#This Row],[Date]],Database!A:E,2,)</f>
        <v/>
      </c>
      <c r="C12" s="14">
        <f>(B12-B11)/B11</f>
        <v/>
      </c>
      <c r="D12" s="14" t="n"/>
      <c r="E12" s="15">
        <f>VLOOKUP(Table2[[#This Row],[Date]],'Fed Fund New'!$A:$C,2,FALSE)</f>
        <v/>
      </c>
      <c r="F12" s="15">
        <f>VLOOKUP(Table2[[#This Row],[Date]],'Fed Fund New'!$A:$C,3,FALSE)</f>
        <v/>
      </c>
    </row>
    <row r="13">
      <c r="A13" s="61" t="n">
        <v>17411</v>
      </c>
      <c r="B13" s="68">
        <f>VLOOKUP(Table2[[#This Row],[Date]],Database!A:E,2,)</f>
        <v/>
      </c>
      <c r="C13" s="14">
        <f>(B13-B12)/B12</f>
        <v/>
      </c>
      <c r="D13" s="14" t="n"/>
      <c r="E13" s="15">
        <f>VLOOKUP(Table2[[#This Row],[Date]],'Fed Fund New'!$A:$C,2,FALSE)</f>
        <v/>
      </c>
      <c r="F13" s="15">
        <f>VLOOKUP(Table2[[#This Row],[Date]],'Fed Fund New'!$A:$C,3,FALSE)</f>
        <v/>
      </c>
    </row>
    <row r="14">
      <c r="A14" s="61" t="n">
        <v>17441</v>
      </c>
      <c r="B14" s="68">
        <f>VLOOKUP(Table2[[#This Row],[Date]],Database!A:E,2,)</f>
        <v/>
      </c>
      <c r="C14" s="14">
        <f>(B14-B13)/B13</f>
        <v/>
      </c>
      <c r="D14" s="14" t="n"/>
      <c r="E14" s="15">
        <f>VLOOKUP(Table2[[#This Row],[Date]],'Fed Fund New'!$A:$C,2,FALSE)</f>
        <v/>
      </c>
      <c r="F14" s="15">
        <f>VLOOKUP(Table2[[#This Row],[Date]],'Fed Fund New'!$A:$C,3,FALSE)</f>
        <v/>
      </c>
    </row>
    <row r="15">
      <c r="A15" s="61" t="n">
        <v>17472</v>
      </c>
      <c r="B15" s="68">
        <f>VLOOKUP(Table2[[#This Row],[Date]],Database!A:E,2,)</f>
        <v/>
      </c>
      <c r="C15" s="14">
        <f>(B15-B14)/B14</f>
        <v/>
      </c>
      <c r="D15" s="14" t="n"/>
      <c r="E15" s="15">
        <f>VLOOKUP(Table2[[#This Row],[Date]],'Fed Fund New'!$A:$C,2,FALSE)</f>
        <v/>
      </c>
      <c r="F15" s="15">
        <f>VLOOKUP(Table2[[#This Row],[Date]],'Fed Fund New'!$A:$C,3,FALSE)</f>
        <v/>
      </c>
    </row>
    <row r="16">
      <c r="A16" s="61" t="n">
        <v>17502</v>
      </c>
      <c r="B16" s="68">
        <f>VLOOKUP(Table2[[#This Row],[Date]],Database!A:E,2,)</f>
        <v/>
      </c>
      <c r="C16" s="14">
        <f>(B16-B15)/B15</f>
        <v/>
      </c>
      <c r="D16" s="14" t="n"/>
      <c r="E16" s="15">
        <f>VLOOKUP(Table2[[#This Row],[Date]],'Fed Fund New'!$A:$C,2,FALSE)</f>
        <v/>
      </c>
      <c r="F16" s="15">
        <f>VLOOKUP(Table2[[#This Row],[Date]],'Fed Fund New'!$A:$C,3,FALSE)</f>
        <v/>
      </c>
    </row>
    <row r="17">
      <c r="A17" s="61" t="n">
        <v>17533</v>
      </c>
      <c r="B17" s="68">
        <f>VLOOKUP(Table2[[#This Row],[Date]],Database!A:E,2,)</f>
        <v/>
      </c>
      <c r="C17" s="14">
        <f>(B17-B16)/B16</f>
        <v/>
      </c>
      <c r="D17" s="14">
        <f>(B17-B5)/B5</f>
        <v/>
      </c>
      <c r="E17" s="15">
        <f>VLOOKUP(Table2[[#This Row],[Date]],'Fed Fund New'!$A:$C,2,FALSE)</f>
        <v/>
      </c>
      <c r="F17" s="15">
        <f>VLOOKUP(Table2[[#This Row],[Date]],'Fed Fund New'!$A:$C,3,FALSE)</f>
        <v/>
      </c>
    </row>
    <row r="18">
      <c r="A18" s="61" t="n">
        <v>17564</v>
      </c>
      <c r="B18" s="68">
        <f>VLOOKUP(Table2[[#This Row],[Date]],Database!A:E,2,)</f>
        <v/>
      </c>
      <c r="C18" s="14">
        <f>(B18-B17)/B17</f>
        <v/>
      </c>
      <c r="D18" s="14">
        <f>(B18-B6)/B6</f>
        <v/>
      </c>
      <c r="E18" s="15">
        <f>VLOOKUP(Table2[[#This Row],[Date]],'Fed Fund New'!$A:$C,2,FALSE)</f>
        <v/>
      </c>
      <c r="F18" s="15">
        <f>VLOOKUP(Table2[[#This Row],[Date]],'Fed Fund New'!$A:$C,3,FALSE)</f>
        <v/>
      </c>
    </row>
    <row r="19">
      <c r="A19" s="61" t="n">
        <v>17593</v>
      </c>
      <c r="B19" s="68">
        <f>VLOOKUP(Table2[[#This Row],[Date]],Database!A:E,2,)</f>
        <v/>
      </c>
      <c r="C19" s="14">
        <f>(B19-B18)/B18</f>
        <v/>
      </c>
      <c r="D19" s="14">
        <f>(B19-B7)/B7</f>
        <v/>
      </c>
      <c r="E19" s="15">
        <f>VLOOKUP(Table2[[#This Row],[Date]],'Fed Fund New'!$A:$C,2,FALSE)</f>
        <v/>
      </c>
      <c r="F19" s="15">
        <f>VLOOKUP(Table2[[#This Row],[Date]],'Fed Fund New'!$A:$C,3,FALSE)</f>
        <v/>
      </c>
    </row>
    <row r="20">
      <c r="A20" s="61" t="n">
        <v>17624</v>
      </c>
      <c r="B20" s="68">
        <f>VLOOKUP(Table2[[#This Row],[Date]],Database!A:E,2,)</f>
        <v/>
      </c>
      <c r="C20" s="14">
        <f>(B20-B19)/B19</f>
        <v/>
      </c>
      <c r="D20" s="14">
        <f>(B20-B8)/B8</f>
        <v/>
      </c>
      <c r="E20" s="15">
        <f>VLOOKUP(Table2[[#This Row],[Date]],'Fed Fund New'!$A:$C,2,FALSE)</f>
        <v/>
      </c>
      <c r="F20" s="15">
        <f>VLOOKUP(Table2[[#This Row],[Date]],'Fed Fund New'!$A:$C,3,FALSE)</f>
        <v/>
      </c>
    </row>
    <row r="21">
      <c r="A21" s="61" t="n">
        <v>17654</v>
      </c>
      <c r="B21" s="68">
        <f>VLOOKUP(Table2[[#This Row],[Date]],Database!A:E,2,)</f>
        <v/>
      </c>
      <c r="C21" s="14">
        <f>(B21-B20)/B20</f>
        <v/>
      </c>
      <c r="D21" s="14">
        <f>(B21-B9)/B9</f>
        <v/>
      </c>
      <c r="E21" s="15">
        <f>VLOOKUP(Table2[[#This Row],[Date]],'Fed Fund New'!$A:$C,2,FALSE)</f>
        <v/>
      </c>
      <c r="F21" s="15">
        <f>VLOOKUP(Table2[[#This Row],[Date]],'Fed Fund New'!$A:$C,3,FALSE)</f>
        <v/>
      </c>
    </row>
    <row r="22">
      <c r="A22" s="61" t="n">
        <v>17685</v>
      </c>
      <c r="B22" s="68">
        <f>VLOOKUP(Table2[[#This Row],[Date]],Database!A:E,2,)</f>
        <v/>
      </c>
      <c r="C22" s="14">
        <f>(B22-B21)/B21</f>
        <v/>
      </c>
      <c r="D22" s="14">
        <f>(B22-B10)/B10</f>
        <v/>
      </c>
      <c r="E22" s="15">
        <f>VLOOKUP(Table2[[#This Row],[Date]],'Fed Fund New'!$A:$C,2,FALSE)</f>
        <v/>
      </c>
      <c r="F22" s="15">
        <f>VLOOKUP(Table2[[#This Row],[Date]],'Fed Fund New'!$A:$C,3,FALSE)</f>
        <v/>
      </c>
    </row>
    <row r="23">
      <c r="A23" s="61" t="n">
        <v>17715</v>
      </c>
      <c r="B23" s="68">
        <f>VLOOKUP(Table2[[#This Row],[Date]],Database!A:E,2,)</f>
        <v/>
      </c>
      <c r="C23" s="14">
        <f>(B23-B22)/B22</f>
        <v/>
      </c>
      <c r="D23" s="14">
        <f>(B23-B11)/B11</f>
        <v/>
      </c>
      <c r="E23" s="15">
        <f>VLOOKUP(Table2[[#This Row],[Date]],'Fed Fund New'!$A:$C,2,FALSE)</f>
        <v/>
      </c>
      <c r="F23" s="15">
        <f>VLOOKUP(Table2[[#This Row],[Date]],'Fed Fund New'!$A:$C,3,FALSE)</f>
        <v/>
      </c>
    </row>
    <row r="24">
      <c r="A24" s="61" t="n">
        <v>17746</v>
      </c>
      <c r="B24" s="68">
        <f>VLOOKUP(Table2[[#This Row],[Date]],Database!A:E,2,)</f>
        <v/>
      </c>
      <c r="C24" s="14">
        <f>(B24-B23)/B23</f>
        <v/>
      </c>
      <c r="D24" s="14">
        <f>(B24-B12)/B12</f>
        <v/>
      </c>
      <c r="E24" s="15">
        <f>VLOOKUP(Table2[[#This Row],[Date]],'Fed Fund New'!$A:$C,2,FALSE)</f>
        <v/>
      </c>
      <c r="F24" s="15">
        <f>VLOOKUP(Table2[[#This Row],[Date]],'Fed Fund New'!$A:$C,3,FALSE)</f>
        <v/>
      </c>
    </row>
    <row r="25">
      <c r="A25" s="61" t="n">
        <v>17777</v>
      </c>
      <c r="B25" s="68">
        <f>VLOOKUP(Table2[[#This Row],[Date]],Database!A:E,2,)</f>
        <v/>
      </c>
      <c r="C25" s="14">
        <f>(B25-B24)/B24</f>
        <v/>
      </c>
      <c r="D25" s="14">
        <f>(B25-B13)/B13</f>
        <v/>
      </c>
      <c r="E25" s="15">
        <f>VLOOKUP(Table2[[#This Row],[Date]],'Fed Fund New'!$A:$C,2,FALSE)</f>
        <v/>
      </c>
      <c r="F25" s="15">
        <f>VLOOKUP(Table2[[#This Row],[Date]],'Fed Fund New'!$A:$C,3,FALSE)</f>
        <v/>
      </c>
    </row>
    <row r="26">
      <c r="A26" s="61" t="n">
        <v>17807</v>
      </c>
      <c r="B26" s="68">
        <f>VLOOKUP(Table2[[#This Row],[Date]],Database!A:E,2,)</f>
        <v/>
      </c>
      <c r="C26" s="14">
        <f>(B26-B25)/B25</f>
        <v/>
      </c>
      <c r="D26" s="14">
        <f>(B26-B14)/B14</f>
        <v/>
      </c>
      <c r="E26" s="15">
        <f>VLOOKUP(Table2[[#This Row],[Date]],'Fed Fund New'!$A:$C,2,FALSE)</f>
        <v/>
      </c>
      <c r="F26" s="15">
        <f>VLOOKUP(Table2[[#This Row],[Date]],'Fed Fund New'!$A:$C,3,FALSE)</f>
        <v/>
      </c>
    </row>
    <row r="27">
      <c r="A27" s="61" t="n">
        <v>17838</v>
      </c>
      <c r="B27" s="68">
        <f>VLOOKUP(Table2[[#This Row],[Date]],Database!A:E,2,)</f>
        <v/>
      </c>
      <c r="C27" s="14">
        <f>(B27-B26)/B26</f>
        <v/>
      </c>
      <c r="D27" s="14">
        <f>(B27-B15)/B15</f>
        <v/>
      </c>
      <c r="E27" s="15">
        <f>VLOOKUP(Table2[[#This Row],[Date]],'Fed Fund New'!$A:$C,2,FALSE)</f>
        <v/>
      </c>
      <c r="F27" s="15">
        <f>VLOOKUP(Table2[[#This Row],[Date]],'Fed Fund New'!$A:$C,3,FALSE)</f>
        <v/>
      </c>
    </row>
    <row r="28">
      <c r="A28" s="61" t="n">
        <v>17868</v>
      </c>
      <c r="B28" s="68">
        <f>VLOOKUP(Table2[[#This Row],[Date]],Database!A:E,2,)</f>
        <v/>
      </c>
      <c r="C28" s="14">
        <f>(B28-B27)/B27</f>
        <v/>
      </c>
      <c r="D28" s="14">
        <f>(B28-B16)/B16</f>
        <v/>
      </c>
      <c r="E28" s="15">
        <f>VLOOKUP(Table2[[#This Row],[Date]],'Fed Fund New'!$A:$C,2,FALSE)</f>
        <v/>
      </c>
      <c r="F28" s="15">
        <f>VLOOKUP(Table2[[#This Row],[Date]],'Fed Fund New'!$A:$C,3,FALSE)</f>
        <v/>
      </c>
    </row>
    <row r="29">
      <c r="A29" s="61" t="n">
        <v>17899</v>
      </c>
      <c r="B29" s="68">
        <f>VLOOKUP(Table2[[#This Row],[Date]],Database!A:E,2,)</f>
        <v/>
      </c>
      <c r="C29" s="14">
        <f>(B29-B28)/B28</f>
        <v/>
      </c>
      <c r="D29" s="14">
        <f>(B29-B17)/B17</f>
        <v/>
      </c>
      <c r="E29" s="15">
        <f>VLOOKUP(Table2[[#This Row],[Date]],'Fed Fund New'!$A:$C,2,FALSE)</f>
        <v/>
      </c>
      <c r="F29" s="15">
        <f>VLOOKUP(Table2[[#This Row],[Date]],'Fed Fund New'!$A:$C,3,FALSE)</f>
        <v/>
      </c>
    </row>
    <row r="30">
      <c r="A30" s="61" t="n">
        <v>17930</v>
      </c>
      <c r="B30" s="68">
        <f>VLOOKUP(Table2[[#This Row],[Date]],Database!A:E,2,)</f>
        <v/>
      </c>
      <c r="C30" s="14">
        <f>(B30-B29)/B29</f>
        <v/>
      </c>
      <c r="D30" s="14">
        <f>(B30-B18)/B18</f>
        <v/>
      </c>
      <c r="E30" s="15">
        <f>VLOOKUP(Table2[[#This Row],[Date]],'Fed Fund New'!$A:$C,2,FALSE)</f>
        <v/>
      </c>
      <c r="F30" s="15">
        <f>VLOOKUP(Table2[[#This Row],[Date]],'Fed Fund New'!$A:$C,3,FALSE)</f>
        <v/>
      </c>
    </row>
    <row r="31">
      <c r="A31" s="61" t="n">
        <v>17958</v>
      </c>
      <c r="B31" s="68">
        <f>VLOOKUP(Table2[[#This Row],[Date]],Database!A:E,2,)</f>
        <v/>
      </c>
      <c r="C31" s="14">
        <f>(B31-B30)/B30</f>
        <v/>
      </c>
      <c r="D31" s="14">
        <f>(B31-B19)/B19</f>
        <v/>
      </c>
      <c r="E31" s="15">
        <f>VLOOKUP(Table2[[#This Row],[Date]],'Fed Fund New'!$A:$C,2,FALSE)</f>
        <v/>
      </c>
      <c r="F31" s="15">
        <f>VLOOKUP(Table2[[#This Row],[Date]],'Fed Fund New'!$A:$C,3,FALSE)</f>
        <v/>
      </c>
    </row>
    <row r="32">
      <c r="A32" s="61" t="n">
        <v>17989</v>
      </c>
      <c r="B32" s="68">
        <f>VLOOKUP(Table2[[#This Row],[Date]],Database!A:E,2,)</f>
        <v/>
      </c>
      <c r="C32" s="14">
        <f>(B32-B31)/B31</f>
        <v/>
      </c>
      <c r="D32" s="14">
        <f>(B32-B20)/B20</f>
        <v/>
      </c>
      <c r="E32" s="15">
        <f>VLOOKUP(Table2[[#This Row],[Date]],'Fed Fund New'!$A:$C,2,FALSE)</f>
        <v/>
      </c>
      <c r="F32" s="15">
        <f>VLOOKUP(Table2[[#This Row],[Date]],'Fed Fund New'!$A:$C,3,FALSE)</f>
        <v/>
      </c>
    </row>
    <row r="33">
      <c r="A33" s="61" t="n">
        <v>18019</v>
      </c>
      <c r="B33" s="68">
        <f>VLOOKUP(Table2[[#This Row],[Date]],Database!A:E,2,)</f>
        <v/>
      </c>
      <c r="C33" s="14">
        <f>(B33-B32)/B32</f>
        <v/>
      </c>
      <c r="D33" s="14">
        <f>(B33-B21)/B21</f>
        <v/>
      </c>
      <c r="E33" s="15">
        <f>VLOOKUP(Table2[[#This Row],[Date]],'Fed Fund New'!$A:$C,2,FALSE)</f>
        <v/>
      </c>
      <c r="F33" s="15">
        <f>VLOOKUP(Table2[[#This Row],[Date]],'Fed Fund New'!$A:$C,3,FALSE)</f>
        <v/>
      </c>
    </row>
    <row r="34">
      <c r="A34" s="61" t="n">
        <v>18050</v>
      </c>
      <c r="B34" s="68">
        <f>VLOOKUP(Table2[[#This Row],[Date]],Database!A:E,2,)</f>
        <v/>
      </c>
      <c r="C34" s="14">
        <f>(B34-B33)/B33</f>
        <v/>
      </c>
      <c r="D34" s="14">
        <f>(B34-B22)/B22</f>
        <v/>
      </c>
      <c r="E34" s="15">
        <f>VLOOKUP(Table2[[#This Row],[Date]],'Fed Fund New'!$A:$C,2,FALSE)</f>
        <v/>
      </c>
      <c r="F34" s="15">
        <f>VLOOKUP(Table2[[#This Row],[Date]],'Fed Fund New'!$A:$C,3,FALSE)</f>
        <v/>
      </c>
    </row>
    <row r="35">
      <c r="A35" s="61" t="n">
        <v>18080</v>
      </c>
      <c r="B35" s="68">
        <f>VLOOKUP(Table2[[#This Row],[Date]],Database!A:E,2,)</f>
        <v/>
      </c>
      <c r="C35" s="14">
        <f>(B35-B34)/B34</f>
        <v/>
      </c>
      <c r="D35" s="14">
        <f>(B35-B23)/B23</f>
        <v/>
      </c>
      <c r="E35" s="15">
        <f>VLOOKUP(Table2[[#This Row],[Date]],'Fed Fund New'!$A:$C,2,FALSE)</f>
        <v/>
      </c>
      <c r="F35" s="15">
        <f>VLOOKUP(Table2[[#This Row],[Date]],'Fed Fund New'!$A:$C,3,FALSE)</f>
        <v/>
      </c>
    </row>
    <row r="36">
      <c r="A36" s="61" t="n">
        <v>18111</v>
      </c>
      <c r="B36" s="68">
        <f>VLOOKUP(Table2[[#This Row],[Date]],Database!A:E,2,)</f>
        <v/>
      </c>
      <c r="C36" s="14">
        <f>(B36-B35)/B35</f>
        <v/>
      </c>
      <c r="D36" s="14">
        <f>(B36-B24)/B24</f>
        <v/>
      </c>
      <c r="E36" s="15">
        <f>VLOOKUP(Table2[[#This Row],[Date]],'Fed Fund New'!$A:$C,2,FALSE)</f>
        <v/>
      </c>
      <c r="F36" s="15">
        <f>VLOOKUP(Table2[[#This Row],[Date]],'Fed Fund New'!$A:$C,3,FALSE)</f>
        <v/>
      </c>
    </row>
    <row r="37">
      <c r="A37" s="61" t="n">
        <v>18142</v>
      </c>
      <c r="B37" s="68">
        <f>VLOOKUP(Table2[[#This Row],[Date]],Database!A:E,2,)</f>
        <v/>
      </c>
      <c r="C37" s="14">
        <f>(B37-B36)/B36</f>
        <v/>
      </c>
      <c r="D37" s="14">
        <f>(B37-B25)/B25</f>
        <v/>
      </c>
      <c r="E37" s="15">
        <f>VLOOKUP(Table2[[#This Row],[Date]],'Fed Fund New'!$A:$C,2,FALSE)</f>
        <v/>
      </c>
      <c r="F37" s="15">
        <f>VLOOKUP(Table2[[#This Row],[Date]],'Fed Fund New'!$A:$C,3,FALSE)</f>
        <v/>
      </c>
    </row>
    <row r="38">
      <c r="A38" s="61" t="n">
        <v>18172</v>
      </c>
      <c r="B38" s="68">
        <f>VLOOKUP(Table2[[#This Row],[Date]],Database!A:E,2,)</f>
        <v/>
      </c>
      <c r="C38" s="14">
        <f>(B38-B37)/B37</f>
        <v/>
      </c>
      <c r="D38" s="14">
        <f>(B38-B26)/B26</f>
        <v/>
      </c>
      <c r="E38" s="15">
        <f>VLOOKUP(Table2[[#This Row],[Date]],'Fed Fund New'!$A:$C,2,FALSE)</f>
        <v/>
      </c>
      <c r="F38" s="15">
        <f>VLOOKUP(Table2[[#This Row],[Date]],'Fed Fund New'!$A:$C,3,FALSE)</f>
        <v/>
      </c>
    </row>
    <row r="39">
      <c r="A39" s="61" t="n">
        <v>18203</v>
      </c>
      <c r="B39" s="68">
        <f>VLOOKUP(Table2[[#This Row],[Date]],Database!A:E,2,)</f>
        <v/>
      </c>
      <c r="C39" s="14">
        <f>(B39-B38)/B38</f>
        <v/>
      </c>
      <c r="D39" s="14">
        <f>(B39-B27)/B27</f>
        <v/>
      </c>
      <c r="E39" s="15">
        <f>VLOOKUP(Table2[[#This Row],[Date]],'Fed Fund New'!$A:$C,2,FALSE)</f>
        <v/>
      </c>
      <c r="F39" s="15">
        <f>VLOOKUP(Table2[[#This Row],[Date]],'Fed Fund New'!$A:$C,3,FALSE)</f>
        <v/>
      </c>
    </row>
    <row r="40">
      <c r="A40" s="61" t="n">
        <v>18233</v>
      </c>
      <c r="B40" s="68">
        <f>VLOOKUP(Table2[[#This Row],[Date]],Database!A:E,2,)</f>
        <v/>
      </c>
      <c r="C40" s="14">
        <f>(B40-B39)/B39</f>
        <v/>
      </c>
      <c r="D40" s="14">
        <f>(B40-B28)/B28</f>
        <v/>
      </c>
      <c r="E40" s="15">
        <f>VLOOKUP(Table2[[#This Row],[Date]],'Fed Fund New'!$A:$C,2,FALSE)</f>
        <v/>
      </c>
      <c r="F40" s="15">
        <f>VLOOKUP(Table2[[#This Row],[Date]],'Fed Fund New'!$A:$C,3,FALSE)</f>
        <v/>
      </c>
    </row>
    <row r="41">
      <c r="A41" s="61" t="n">
        <v>18264</v>
      </c>
      <c r="B41" s="68">
        <f>VLOOKUP(Table2[[#This Row],[Date]],Database!A:E,2,)</f>
        <v/>
      </c>
      <c r="C41" s="14">
        <f>(B41-B40)/B40</f>
        <v/>
      </c>
      <c r="D41" s="14">
        <f>(B41-B29)/B29</f>
        <v/>
      </c>
      <c r="E41" s="15">
        <f>VLOOKUP(Table2[[#This Row],[Date]],'Fed Fund New'!$A:$C,2,FALSE)</f>
        <v/>
      </c>
      <c r="F41" s="15">
        <f>VLOOKUP(Table2[[#This Row],[Date]],'Fed Fund New'!$A:$C,3,FALSE)</f>
        <v/>
      </c>
    </row>
    <row r="42">
      <c r="A42" s="61" t="n">
        <v>18295</v>
      </c>
      <c r="B42" s="68">
        <f>VLOOKUP(Table2[[#This Row],[Date]],Database!A:E,2,)</f>
        <v/>
      </c>
      <c r="C42" s="14">
        <f>(B42-B41)/B41</f>
        <v/>
      </c>
      <c r="D42" s="14">
        <f>(B42-B30)/B30</f>
        <v/>
      </c>
      <c r="E42" s="15">
        <f>VLOOKUP(Table2[[#This Row],[Date]],'Fed Fund New'!$A:$C,2,FALSE)</f>
        <v/>
      </c>
      <c r="F42" s="15">
        <f>VLOOKUP(Table2[[#This Row],[Date]],'Fed Fund New'!$A:$C,3,FALSE)</f>
        <v/>
      </c>
    </row>
    <row r="43">
      <c r="A43" s="61" t="n">
        <v>18323</v>
      </c>
      <c r="B43" s="68">
        <f>VLOOKUP(Table2[[#This Row],[Date]],Database!A:E,2,)</f>
        <v/>
      </c>
      <c r="C43" s="14">
        <f>(B43-B42)/B42</f>
        <v/>
      </c>
      <c r="D43" s="14">
        <f>(B43-B31)/B31</f>
        <v/>
      </c>
      <c r="E43" s="15">
        <f>VLOOKUP(Table2[[#This Row],[Date]],'Fed Fund New'!$A:$C,2,FALSE)</f>
        <v/>
      </c>
      <c r="F43" s="15">
        <f>VLOOKUP(Table2[[#This Row],[Date]],'Fed Fund New'!$A:$C,3,FALSE)</f>
        <v/>
      </c>
    </row>
    <row r="44">
      <c r="A44" s="61" t="n">
        <v>18354</v>
      </c>
      <c r="B44" s="68">
        <f>VLOOKUP(Table2[[#This Row],[Date]],Database!A:E,2,)</f>
        <v/>
      </c>
      <c r="C44" s="14">
        <f>(B44-B43)/B43</f>
        <v/>
      </c>
      <c r="D44" s="14">
        <f>(B44-B32)/B32</f>
        <v/>
      </c>
      <c r="E44" s="15">
        <f>VLOOKUP(Table2[[#This Row],[Date]],'Fed Fund New'!$A:$C,2,FALSE)</f>
        <v/>
      </c>
      <c r="F44" s="15">
        <f>VLOOKUP(Table2[[#This Row],[Date]],'Fed Fund New'!$A:$C,3,FALSE)</f>
        <v/>
      </c>
    </row>
    <row r="45">
      <c r="A45" s="61" t="n">
        <v>18384</v>
      </c>
      <c r="B45" s="68">
        <f>VLOOKUP(Table2[[#This Row],[Date]],Database!A:E,2,)</f>
        <v/>
      </c>
      <c r="C45" s="14">
        <f>(B45-B44)/B44</f>
        <v/>
      </c>
      <c r="D45" s="14">
        <f>(B45-B33)/B33</f>
        <v/>
      </c>
      <c r="E45" s="15">
        <f>VLOOKUP(Table2[[#This Row],[Date]],'Fed Fund New'!$A:$C,2,FALSE)</f>
        <v/>
      </c>
      <c r="F45" s="15">
        <f>VLOOKUP(Table2[[#This Row],[Date]],'Fed Fund New'!$A:$C,3,FALSE)</f>
        <v/>
      </c>
    </row>
    <row r="46">
      <c r="A46" s="61" t="n">
        <v>18415</v>
      </c>
      <c r="B46" s="68">
        <f>VLOOKUP(Table2[[#This Row],[Date]],Database!A:E,2,)</f>
        <v/>
      </c>
      <c r="C46" s="14">
        <f>(B46-B45)/B45</f>
        <v/>
      </c>
      <c r="D46" s="14">
        <f>(B46-B34)/B34</f>
        <v/>
      </c>
      <c r="E46" s="15">
        <f>VLOOKUP(Table2[[#This Row],[Date]],'Fed Fund New'!$A:$C,2,FALSE)</f>
        <v/>
      </c>
      <c r="F46" s="15">
        <f>VLOOKUP(Table2[[#This Row],[Date]],'Fed Fund New'!$A:$C,3,FALSE)</f>
        <v/>
      </c>
    </row>
    <row r="47">
      <c r="A47" s="61" t="n">
        <v>18445</v>
      </c>
      <c r="B47" s="68">
        <f>VLOOKUP(Table2[[#This Row],[Date]],Database!A:E,2,)</f>
        <v/>
      </c>
      <c r="C47" s="14">
        <f>(B47-B46)/B46</f>
        <v/>
      </c>
      <c r="D47" s="14">
        <f>(B47-B35)/B35</f>
        <v/>
      </c>
      <c r="E47" s="15">
        <f>VLOOKUP(Table2[[#This Row],[Date]],'Fed Fund New'!$A:$C,2,FALSE)</f>
        <v/>
      </c>
      <c r="F47" s="15">
        <f>VLOOKUP(Table2[[#This Row],[Date]],'Fed Fund New'!$A:$C,3,FALSE)</f>
        <v/>
      </c>
    </row>
    <row r="48">
      <c r="A48" s="61" t="n">
        <v>18476</v>
      </c>
      <c r="B48" s="68">
        <f>VLOOKUP(Table2[[#This Row],[Date]],Database!A:E,2,)</f>
        <v/>
      </c>
      <c r="C48" s="14">
        <f>(B48-B47)/B47</f>
        <v/>
      </c>
      <c r="D48" s="14">
        <f>(B48-B36)/B36</f>
        <v/>
      </c>
      <c r="E48" s="15">
        <f>VLOOKUP(Table2[[#This Row],[Date]],'Fed Fund New'!$A:$C,2,FALSE)</f>
        <v/>
      </c>
      <c r="F48" s="15">
        <f>VLOOKUP(Table2[[#This Row],[Date]],'Fed Fund New'!$A:$C,3,FALSE)</f>
        <v/>
      </c>
    </row>
    <row r="49">
      <c r="A49" s="61" t="n">
        <v>18507</v>
      </c>
      <c r="B49" s="68">
        <f>VLOOKUP(Table2[[#This Row],[Date]],Database!A:E,2,)</f>
        <v/>
      </c>
      <c r="C49" s="14">
        <f>(B49-B48)/B48</f>
        <v/>
      </c>
      <c r="D49" s="14">
        <f>(B49-B37)/B37</f>
        <v/>
      </c>
      <c r="E49" s="15">
        <f>VLOOKUP(Table2[[#This Row],[Date]],'Fed Fund New'!$A:$C,2,FALSE)</f>
        <v/>
      </c>
      <c r="F49" s="15">
        <f>VLOOKUP(Table2[[#This Row],[Date]],'Fed Fund New'!$A:$C,3,FALSE)</f>
        <v/>
      </c>
    </row>
    <row r="50">
      <c r="A50" s="61" t="n">
        <v>18537</v>
      </c>
      <c r="B50" s="68">
        <f>VLOOKUP(Table2[[#This Row],[Date]],Database!A:E,2,)</f>
        <v/>
      </c>
      <c r="C50" s="14">
        <f>(B50-B49)/B49</f>
        <v/>
      </c>
      <c r="D50" s="14">
        <f>(B50-B38)/B38</f>
        <v/>
      </c>
      <c r="E50" s="15">
        <f>VLOOKUP(Table2[[#This Row],[Date]],'Fed Fund New'!$A:$C,2,FALSE)</f>
        <v/>
      </c>
      <c r="F50" s="15">
        <f>VLOOKUP(Table2[[#This Row],[Date]],'Fed Fund New'!$A:$C,3,FALSE)</f>
        <v/>
      </c>
    </row>
    <row r="51">
      <c r="A51" s="61" t="n">
        <v>18568</v>
      </c>
      <c r="B51" s="68">
        <f>VLOOKUP(Table2[[#This Row],[Date]],Database!A:E,2,)</f>
        <v/>
      </c>
      <c r="C51" s="14">
        <f>(B51-B50)/B50</f>
        <v/>
      </c>
      <c r="D51" s="14">
        <f>(B51-B39)/B39</f>
        <v/>
      </c>
      <c r="E51" s="15">
        <f>VLOOKUP(Table2[[#This Row],[Date]],'Fed Fund New'!$A:$C,2,FALSE)</f>
        <v/>
      </c>
      <c r="F51" s="15">
        <f>VLOOKUP(Table2[[#This Row],[Date]],'Fed Fund New'!$A:$C,3,FALSE)</f>
        <v/>
      </c>
    </row>
    <row r="52">
      <c r="A52" s="61" t="n">
        <v>18598</v>
      </c>
      <c r="B52" s="68">
        <f>VLOOKUP(Table2[[#This Row],[Date]],Database!A:E,2,)</f>
        <v/>
      </c>
      <c r="C52" s="14">
        <f>(B52-B51)/B51</f>
        <v/>
      </c>
      <c r="D52" s="14">
        <f>(B52-B40)/B40</f>
        <v/>
      </c>
      <c r="E52" s="15">
        <f>VLOOKUP(Table2[[#This Row],[Date]],'Fed Fund New'!$A:$C,2,FALSE)</f>
        <v/>
      </c>
      <c r="F52" s="15">
        <f>VLOOKUP(Table2[[#This Row],[Date]],'Fed Fund New'!$A:$C,3,FALSE)</f>
        <v/>
      </c>
    </row>
    <row r="53">
      <c r="A53" s="61" t="n">
        <v>18629</v>
      </c>
      <c r="B53" s="68">
        <f>VLOOKUP(Table2[[#This Row],[Date]],Database!A:E,2,)</f>
        <v/>
      </c>
      <c r="C53" s="14">
        <f>(B53-B52)/B52</f>
        <v/>
      </c>
      <c r="D53" s="14">
        <f>(B53-B41)/B41</f>
        <v/>
      </c>
      <c r="E53" s="15">
        <f>VLOOKUP(Table2[[#This Row],[Date]],'Fed Fund New'!$A:$C,2,FALSE)</f>
        <v/>
      </c>
      <c r="F53" s="15">
        <f>VLOOKUP(Table2[[#This Row],[Date]],'Fed Fund New'!$A:$C,3,FALSE)</f>
        <v/>
      </c>
    </row>
    <row r="54">
      <c r="A54" s="61" t="n">
        <v>18660</v>
      </c>
      <c r="B54" s="68">
        <f>VLOOKUP(Table2[[#This Row],[Date]],Database!A:E,2,)</f>
        <v/>
      </c>
      <c r="C54" s="14">
        <f>(B54-B53)/B53</f>
        <v/>
      </c>
      <c r="D54" s="14">
        <f>(B54-B42)/B42</f>
        <v/>
      </c>
      <c r="E54" s="15">
        <f>VLOOKUP(Table2[[#This Row],[Date]],'Fed Fund New'!$A:$C,2,FALSE)</f>
        <v/>
      </c>
      <c r="F54" s="15">
        <f>VLOOKUP(Table2[[#This Row],[Date]],'Fed Fund New'!$A:$C,3,FALSE)</f>
        <v/>
      </c>
    </row>
    <row r="55">
      <c r="A55" s="61" t="n">
        <v>18688</v>
      </c>
      <c r="B55" s="68">
        <f>VLOOKUP(Table2[[#This Row],[Date]],Database!A:E,2,)</f>
        <v/>
      </c>
      <c r="C55" s="14">
        <f>(B55-B54)/B54</f>
        <v/>
      </c>
      <c r="D55" s="14">
        <f>(B55-B43)/B43</f>
        <v/>
      </c>
      <c r="E55" s="15">
        <f>VLOOKUP(Table2[[#This Row],[Date]],'Fed Fund New'!$A:$C,2,FALSE)</f>
        <v/>
      </c>
      <c r="F55" s="15">
        <f>VLOOKUP(Table2[[#This Row],[Date]],'Fed Fund New'!$A:$C,3,FALSE)</f>
        <v/>
      </c>
    </row>
    <row r="56">
      <c r="A56" s="61" t="n">
        <v>18719</v>
      </c>
      <c r="B56" s="68">
        <f>VLOOKUP(Table2[[#This Row],[Date]],Database!A:E,2,)</f>
        <v/>
      </c>
      <c r="C56" s="14">
        <f>(B56-B55)/B55</f>
        <v/>
      </c>
      <c r="D56" s="14">
        <f>(B56-B44)/B44</f>
        <v/>
      </c>
      <c r="E56" s="15">
        <f>VLOOKUP(Table2[[#This Row],[Date]],'Fed Fund New'!$A:$C,2,FALSE)</f>
        <v/>
      </c>
      <c r="F56" s="15">
        <f>VLOOKUP(Table2[[#This Row],[Date]],'Fed Fund New'!$A:$C,3,FALSE)</f>
        <v/>
      </c>
    </row>
    <row r="57">
      <c r="A57" s="61" t="n">
        <v>18749</v>
      </c>
      <c r="B57" s="68">
        <f>VLOOKUP(Table2[[#This Row],[Date]],Database!A:E,2,)</f>
        <v/>
      </c>
      <c r="C57" s="14">
        <f>(B57-B56)/B56</f>
        <v/>
      </c>
      <c r="D57" s="14">
        <f>(B57-B45)/B45</f>
        <v/>
      </c>
      <c r="E57" s="15">
        <f>VLOOKUP(Table2[[#This Row],[Date]],'Fed Fund New'!$A:$C,2,FALSE)</f>
        <v/>
      </c>
      <c r="F57" s="15">
        <f>VLOOKUP(Table2[[#This Row],[Date]],'Fed Fund New'!$A:$C,3,FALSE)</f>
        <v/>
      </c>
    </row>
    <row r="58">
      <c r="A58" s="61" t="n">
        <v>18780</v>
      </c>
      <c r="B58" s="68">
        <f>VLOOKUP(Table2[[#This Row],[Date]],Database!A:E,2,)</f>
        <v/>
      </c>
      <c r="C58" s="14">
        <f>(B58-B57)/B57</f>
        <v/>
      </c>
      <c r="D58" s="14">
        <f>(B58-B46)/B46</f>
        <v/>
      </c>
      <c r="E58" s="15">
        <f>VLOOKUP(Table2[[#This Row],[Date]],'Fed Fund New'!$A:$C,2,FALSE)</f>
        <v/>
      </c>
      <c r="F58" s="15">
        <f>VLOOKUP(Table2[[#This Row],[Date]],'Fed Fund New'!$A:$C,3,FALSE)</f>
        <v/>
      </c>
    </row>
    <row r="59">
      <c r="A59" s="61" t="n">
        <v>18810</v>
      </c>
      <c r="B59" s="68">
        <f>VLOOKUP(Table2[[#This Row],[Date]],Database!A:E,2,)</f>
        <v/>
      </c>
      <c r="C59" s="14">
        <f>(B59-B58)/B58</f>
        <v/>
      </c>
      <c r="D59" s="14">
        <f>(B59-B47)/B47</f>
        <v/>
      </c>
      <c r="E59" s="15">
        <f>VLOOKUP(Table2[[#This Row],[Date]],'Fed Fund New'!$A:$C,2,FALSE)</f>
        <v/>
      </c>
      <c r="F59" s="15">
        <f>VLOOKUP(Table2[[#This Row],[Date]],'Fed Fund New'!$A:$C,3,FALSE)</f>
        <v/>
      </c>
    </row>
    <row r="60">
      <c r="A60" s="61" t="n">
        <v>18841</v>
      </c>
      <c r="B60" s="68">
        <f>VLOOKUP(Table2[[#This Row],[Date]],Database!A:E,2,)</f>
        <v/>
      </c>
      <c r="C60" s="14">
        <f>(B60-B59)/B59</f>
        <v/>
      </c>
      <c r="D60" s="14">
        <f>(B60-B48)/B48</f>
        <v/>
      </c>
      <c r="E60" s="15">
        <f>VLOOKUP(Table2[[#This Row],[Date]],'Fed Fund New'!$A:$C,2,FALSE)</f>
        <v/>
      </c>
      <c r="F60" s="15">
        <f>VLOOKUP(Table2[[#This Row],[Date]],'Fed Fund New'!$A:$C,3,FALSE)</f>
        <v/>
      </c>
    </row>
    <row r="61">
      <c r="A61" s="61" t="n">
        <v>18872</v>
      </c>
      <c r="B61" s="68">
        <f>VLOOKUP(Table2[[#This Row],[Date]],Database!A:E,2,)</f>
        <v/>
      </c>
      <c r="C61" s="14">
        <f>(B61-B60)/B60</f>
        <v/>
      </c>
      <c r="D61" s="14">
        <f>(B61-B49)/B49</f>
        <v/>
      </c>
      <c r="E61" s="15">
        <f>VLOOKUP(Table2[[#This Row],[Date]],'Fed Fund New'!$A:$C,2,FALSE)</f>
        <v/>
      </c>
      <c r="F61" s="15">
        <f>VLOOKUP(Table2[[#This Row],[Date]],'Fed Fund New'!$A:$C,3,FALSE)</f>
        <v/>
      </c>
    </row>
    <row r="62">
      <c r="A62" s="61" t="n">
        <v>18902</v>
      </c>
      <c r="B62" s="68">
        <f>VLOOKUP(Table2[[#This Row],[Date]],Database!A:E,2,)</f>
        <v/>
      </c>
      <c r="C62" s="14">
        <f>(B62-B61)/B61</f>
        <v/>
      </c>
      <c r="D62" s="14">
        <f>(B62-B50)/B50</f>
        <v/>
      </c>
      <c r="E62" s="15">
        <f>VLOOKUP(Table2[[#This Row],[Date]],'Fed Fund New'!$A:$C,2,FALSE)</f>
        <v/>
      </c>
      <c r="F62" s="15">
        <f>VLOOKUP(Table2[[#This Row],[Date]],'Fed Fund New'!$A:$C,3,FALSE)</f>
        <v/>
      </c>
    </row>
    <row r="63">
      <c r="A63" s="61" t="n">
        <v>18933</v>
      </c>
      <c r="B63" s="68">
        <f>VLOOKUP(Table2[[#This Row],[Date]],Database!A:E,2,)</f>
        <v/>
      </c>
      <c r="C63" s="14">
        <f>(B63-B62)/B62</f>
        <v/>
      </c>
      <c r="D63" s="14">
        <f>(B63-B51)/B51</f>
        <v/>
      </c>
      <c r="E63" s="15">
        <f>VLOOKUP(Table2[[#This Row],[Date]],'Fed Fund New'!$A:$C,2,FALSE)</f>
        <v/>
      </c>
      <c r="F63" s="15">
        <f>VLOOKUP(Table2[[#This Row],[Date]],'Fed Fund New'!$A:$C,3,FALSE)</f>
        <v/>
      </c>
    </row>
    <row r="64">
      <c r="A64" s="61" t="n">
        <v>18963</v>
      </c>
      <c r="B64" s="68">
        <f>VLOOKUP(Table2[[#This Row],[Date]],Database!A:E,2,)</f>
        <v/>
      </c>
      <c r="C64" s="14">
        <f>(B64-B63)/B63</f>
        <v/>
      </c>
      <c r="D64" s="14">
        <f>(B64-B52)/B52</f>
        <v/>
      </c>
      <c r="E64" s="15">
        <f>VLOOKUP(Table2[[#This Row],[Date]],'Fed Fund New'!$A:$C,2,FALSE)</f>
        <v/>
      </c>
      <c r="F64" s="15">
        <f>VLOOKUP(Table2[[#This Row],[Date]],'Fed Fund New'!$A:$C,3,FALSE)</f>
        <v/>
      </c>
    </row>
    <row r="65">
      <c r="A65" s="61" t="n">
        <v>18994</v>
      </c>
      <c r="B65" s="68">
        <f>VLOOKUP(Table2[[#This Row],[Date]],Database!A:E,2,)</f>
        <v/>
      </c>
      <c r="C65" s="14">
        <f>(B65-B64)/B64</f>
        <v/>
      </c>
      <c r="D65" s="14">
        <f>(B65-B53)/B53</f>
        <v/>
      </c>
      <c r="E65" s="15">
        <f>VLOOKUP(Table2[[#This Row],[Date]],'Fed Fund New'!$A:$C,2,FALSE)</f>
        <v/>
      </c>
      <c r="F65" s="15">
        <f>VLOOKUP(Table2[[#This Row],[Date]],'Fed Fund New'!$A:$C,3,FALSE)</f>
        <v/>
      </c>
    </row>
    <row r="66">
      <c r="A66" s="61" t="n">
        <v>19025</v>
      </c>
      <c r="B66" s="68">
        <f>VLOOKUP(Table2[[#This Row],[Date]],Database!A:E,2,)</f>
        <v/>
      </c>
      <c r="C66" s="14">
        <f>(B66-B65)/B65</f>
        <v/>
      </c>
      <c r="D66" s="14">
        <f>(B66-B54)/B54</f>
        <v/>
      </c>
      <c r="E66" s="15">
        <f>VLOOKUP(Table2[[#This Row],[Date]],'Fed Fund New'!$A:$C,2,FALSE)</f>
        <v/>
      </c>
      <c r="F66" s="15">
        <f>VLOOKUP(Table2[[#This Row],[Date]],'Fed Fund New'!$A:$C,3,FALSE)</f>
        <v/>
      </c>
    </row>
    <row r="67">
      <c r="A67" s="61" t="n">
        <v>19054</v>
      </c>
      <c r="B67" s="68">
        <f>VLOOKUP(Table2[[#This Row],[Date]],Database!A:E,2,)</f>
        <v/>
      </c>
      <c r="C67" s="14">
        <f>(B67-B66)/B66</f>
        <v/>
      </c>
      <c r="D67" s="14">
        <f>(B67-B55)/B55</f>
        <v/>
      </c>
      <c r="E67" s="15">
        <f>VLOOKUP(Table2[[#This Row],[Date]],'Fed Fund New'!$A:$C,2,FALSE)</f>
        <v/>
      </c>
      <c r="F67" s="15">
        <f>VLOOKUP(Table2[[#This Row],[Date]],'Fed Fund New'!$A:$C,3,FALSE)</f>
        <v/>
      </c>
    </row>
    <row r="68">
      <c r="A68" s="61" t="n">
        <v>19085</v>
      </c>
      <c r="B68" s="68">
        <f>VLOOKUP(Table2[[#This Row],[Date]],Database!A:E,2,)</f>
        <v/>
      </c>
      <c r="C68" s="14">
        <f>(B68-B67)/B67</f>
        <v/>
      </c>
      <c r="D68" s="14">
        <f>(B68-B56)/B56</f>
        <v/>
      </c>
      <c r="E68" s="15">
        <f>VLOOKUP(Table2[[#This Row],[Date]],'Fed Fund New'!$A:$C,2,FALSE)</f>
        <v/>
      </c>
      <c r="F68" s="15">
        <f>VLOOKUP(Table2[[#This Row],[Date]],'Fed Fund New'!$A:$C,3,FALSE)</f>
        <v/>
      </c>
    </row>
    <row r="69">
      <c r="A69" s="61" t="n">
        <v>19115</v>
      </c>
      <c r="B69" s="68">
        <f>VLOOKUP(Table2[[#This Row],[Date]],Database!A:E,2,)</f>
        <v/>
      </c>
      <c r="C69" s="14">
        <f>(B69-B68)/B68</f>
        <v/>
      </c>
      <c r="D69" s="14">
        <f>(B69-B57)/B57</f>
        <v/>
      </c>
      <c r="E69" s="15">
        <f>VLOOKUP(Table2[[#This Row],[Date]],'Fed Fund New'!$A:$C,2,FALSE)</f>
        <v/>
      </c>
      <c r="F69" s="15">
        <f>VLOOKUP(Table2[[#This Row],[Date]],'Fed Fund New'!$A:$C,3,FALSE)</f>
        <v/>
      </c>
    </row>
    <row r="70">
      <c r="A70" s="61" t="n">
        <v>19146</v>
      </c>
      <c r="B70" s="68">
        <f>VLOOKUP(Table2[[#This Row],[Date]],Database!A:E,2,)</f>
        <v/>
      </c>
      <c r="C70" s="14">
        <f>(B70-B69)/B69</f>
        <v/>
      </c>
      <c r="D70" s="14">
        <f>(B70-B58)/B58</f>
        <v/>
      </c>
      <c r="E70" s="15">
        <f>VLOOKUP(Table2[[#This Row],[Date]],'Fed Fund New'!$A:$C,2,FALSE)</f>
        <v/>
      </c>
      <c r="F70" s="15">
        <f>VLOOKUP(Table2[[#This Row],[Date]],'Fed Fund New'!$A:$C,3,FALSE)</f>
        <v/>
      </c>
    </row>
    <row r="71">
      <c r="A71" s="61" t="n">
        <v>19176</v>
      </c>
      <c r="B71" s="68">
        <f>VLOOKUP(Table2[[#This Row],[Date]],Database!A:E,2,)</f>
        <v/>
      </c>
      <c r="C71" s="14">
        <f>(B71-B70)/B70</f>
        <v/>
      </c>
      <c r="D71" s="14">
        <f>(B71-B59)/B59</f>
        <v/>
      </c>
      <c r="E71" s="15">
        <f>VLOOKUP(Table2[[#This Row],[Date]],'Fed Fund New'!$A:$C,2,FALSE)</f>
        <v/>
      </c>
      <c r="F71" s="15">
        <f>VLOOKUP(Table2[[#This Row],[Date]],'Fed Fund New'!$A:$C,3,FALSE)</f>
        <v/>
      </c>
    </row>
    <row r="72">
      <c r="A72" s="61" t="n">
        <v>19207</v>
      </c>
      <c r="B72" s="68">
        <f>VLOOKUP(Table2[[#This Row],[Date]],Database!A:E,2,)</f>
        <v/>
      </c>
      <c r="C72" s="14">
        <f>(B72-B71)/B71</f>
        <v/>
      </c>
      <c r="D72" s="14">
        <f>(B72-B60)/B60</f>
        <v/>
      </c>
      <c r="E72" s="15">
        <f>VLOOKUP(Table2[[#This Row],[Date]],'Fed Fund New'!$A:$C,2,FALSE)</f>
        <v/>
      </c>
      <c r="F72" s="15">
        <f>VLOOKUP(Table2[[#This Row],[Date]],'Fed Fund New'!$A:$C,3,FALSE)</f>
        <v/>
      </c>
    </row>
    <row r="73">
      <c r="A73" s="61" t="n">
        <v>19238</v>
      </c>
      <c r="B73" s="68">
        <f>VLOOKUP(Table2[[#This Row],[Date]],Database!A:E,2,)</f>
        <v/>
      </c>
      <c r="C73" s="14">
        <f>(B73-B72)/B72</f>
        <v/>
      </c>
      <c r="D73" s="14">
        <f>(B73-B61)/B61</f>
        <v/>
      </c>
      <c r="E73" s="15">
        <f>VLOOKUP(Table2[[#This Row],[Date]],'Fed Fund New'!$A:$C,2,FALSE)</f>
        <v/>
      </c>
      <c r="F73" s="15">
        <f>VLOOKUP(Table2[[#This Row],[Date]],'Fed Fund New'!$A:$C,3,FALSE)</f>
        <v/>
      </c>
    </row>
    <row r="74">
      <c r="A74" s="61" t="n">
        <v>19268</v>
      </c>
      <c r="B74" s="68">
        <f>VLOOKUP(Table2[[#This Row],[Date]],Database!A:E,2,)</f>
        <v/>
      </c>
      <c r="C74" s="14">
        <f>(B74-B73)/B73</f>
        <v/>
      </c>
      <c r="D74" s="14">
        <f>(B74-B62)/B62</f>
        <v/>
      </c>
      <c r="E74" s="15">
        <f>VLOOKUP(Table2[[#This Row],[Date]],'Fed Fund New'!$A:$C,2,FALSE)</f>
        <v/>
      </c>
      <c r="F74" s="15">
        <f>VLOOKUP(Table2[[#This Row],[Date]],'Fed Fund New'!$A:$C,3,FALSE)</f>
        <v/>
      </c>
    </row>
    <row r="75">
      <c r="A75" s="61" t="n">
        <v>19299</v>
      </c>
      <c r="B75" s="68">
        <f>VLOOKUP(Table2[[#This Row],[Date]],Database!A:E,2,)</f>
        <v/>
      </c>
      <c r="C75" s="14">
        <f>(B75-B74)/B74</f>
        <v/>
      </c>
      <c r="D75" s="14">
        <f>(B75-B63)/B63</f>
        <v/>
      </c>
      <c r="E75" s="15">
        <f>VLOOKUP(Table2[[#This Row],[Date]],'Fed Fund New'!$A:$C,2,FALSE)</f>
        <v/>
      </c>
      <c r="F75" s="15">
        <f>VLOOKUP(Table2[[#This Row],[Date]],'Fed Fund New'!$A:$C,3,FALSE)</f>
        <v/>
      </c>
    </row>
    <row r="76">
      <c r="A76" s="61" t="n">
        <v>19329</v>
      </c>
      <c r="B76" s="68">
        <f>VLOOKUP(Table2[[#This Row],[Date]],Database!A:E,2,)</f>
        <v/>
      </c>
      <c r="C76" s="14">
        <f>(B76-B75)/B75</f>
        <v/>
      </c>
      <c r="D76" s="14">
        <f>(B76-B64)/B64</f>
        <v/>
      </c>
      <c r="E76" s="15">
        <f>VLOOKUP(Table2[[#This Row],[Date]],'Fed Fund New'!$A:$C,2,FALSE)</f>
        <v/>
      </c>
      <c r="F76" s="15">
        <f>VLOOKUP(Table2[[#This Row],[Date]],'Fed Fund New'!$A:$C,3,FALSE)</f>
        <v/>
      </c>
    </row>
    <row r="77">
      <c r="A77" s="61" t="n">
        <v>19360</v>
      </c>
      <c r="B77" s="68">
        <f>VLOOKUP(Table2[[#This Row],[Date]],Database!A:E,2,)</f>
        <v/>
      </c>
      <c r="C77" s="14">
        <f>(B77-B76)/B76</f>
        <v/>
      </c>
      <c r="D77" s="14">
        <f>(B77-B65)/B65</f>
        <v/>
      </c>
      <c r="E77" s="15">
        <f>VLOOKUP(Table2[[#This Row],[Date]],'Fed Fund New'!$A:$C,2,FALSE)</f>
        <v/>
      </c>
      <c r="F77" s="15">
        <f>VLOOKUP(Table2[[#This Row],[Date]],'Fed Fund New'!$A:$C,3,FALSE)</f>
        <v/>
      </c>
    </row>
    <row r="78">
      <c r="A78" s="61" t="n">
        <v>19391</v>
      </c>
      <c r="B78" s="68">
        <f>VLOOKUP(Table2[[#This Row],[Date]],Database!A:E,2,)</f>
        <v/>
      </c>
      <c r="C78" s="14">
        <f>(B78-B77)/B77</f>
        <v/>
      </c>
      <c r="D78" s="14">
        <f>(B78-B66)/B66</f>
        <v/>
      </c>
      <c r="E78" s="15">
        <f>VLOOKUP(Table2[[#This Row],[Date]],'Fed Fund New'!$A:$C,2,FALSE)</f>
        <v/>
      </c>
      <c r="F78" s="15">
        <f>VLOOKUP(Table2[[#This Row],[Date]],'Fed Fund New'!$A:$C,3,FALSE)</f>
        <v/>
      </c>
    </row>
    <row r="79">
      <c r="A79" s="61" t="n">
        <v>19419</v>
      </c>
      <c r="B79" s="68">
        <f>VLOOKUP(Table2[[#This Row],[Date]],Database!A:E,2,)</f>
        <v/>
      </c>
      <c r="C79" s="14">
        <f>(B79-B78)/B78</f>
        <v/>
      </c>
      <c r="D79" s="14">
        <f>(B79-B67)/B67</f>
        <v/>
      </c>
      <c r="E79" s="15">
        <f>VLOOKUP(Table2[[#This Row],[Date]],'Fed Fund New'!$A:$C,2,FALSE)</f>
        <v/>
      </c>
      <c r="F79" s="15">
        <f>VLOOKUP(Table2[[#This Row],[Date]],'Fed Fund New'!$A:$C,3,FALSE)</f>
        <v/>
      </c>
    </row>
    <row r="80">
      <c r="A80" s="61" t="n">
        <v>19450</v>
      </c>
      <c r="B80" s="68">
        <f>VLOOKUP(Table2[[#This Row],[Date]],Database!A:E,2,)</f>
        <v/>
      </c>
      <c r="C80" s="14">
        <f>(B80-B79)/B79</f>
        <v/>
      </c>
      <c r="D80" s="14">
        <f>(B80-B68)/B68</f>
        <v/>
      </c>
      <c r="E80" s="15">
        <f>VLOOKUP(Table2[[#This Row],[Date]],'Fed Fund New'!$A:$C,2,FALSE)</f>
        <v/>
      </c>
      <c r="F80" s="15">
        <f>VLOOKUP(Table2[[#This Row],[Date]],'Fed Fund New'!$A:$C,3,FALSE)</f>
        <v/>
      </c>
    </row>
    <row r="81">
      <c r="A81" s="61" t="n">
        <v>19480</v>
      </c>
      <c r="B81" s="68">
        <f>VLOOKUP(Table2[[#This Row],[Date]],Database!A:E,2,)</f>
        <v/>
      </c>
      <c r="C81" s="14">
        <f>(B81-B80)/B80</f>
        <v/>
      </c>
      <c r="D81" s="14">
        <f>(B81-B69)/B69</f>
        <v/>
      </c>
      <c r="E81" s="15">
        <f>VLOOKUP(Table2[[#This Row],[Date]],'Fed Fund New'!$A:$C,2,FALSE)</f>
        <v/>
      </c>
      <c r="F81" s="15">
        <f>VLOOKUP(Table2[[#This Row],[Date]],'Fed Fund New'!$A:$C,3,FALSE)</f>
        <v/>
      </c>
    </row>
    <row r="82">
      <c r="A82" s="61" t="n">
        <v>19511</v>
      </c>
      <c r="B82" s="68">
        <f>VLOOKUP(Table2[[#This Row],[Date]],Database!A:E,2,)</f>
        <v/>
      </c>
      <c r="C82" s="14">
        <f>(B82-B81)/B81</f>
        <v/>
      </c>
      <c r="D82" s="14">
        <f>(B82-B70)/B70</f>
        <v/>
      </c>
      <c r="E82" s="15">
        <f>VLOOKUP(Table2[[#This Row],[Date]],'Fed Fund New'!$A:$C,2,FALSE)</f>
        <v/>
      </c>
      <c r="F82" s="15">
        <f>VLOOKUP(Table2[[#This Row],[Date]],'Fed Fund New'!$A:$C,3,FALSE)</f>
        <v/>
      </c>
    </row>
    <row r="83">
      <c r="A83" s="61" t="n">
        <v>19541</v>
      </c>
      <c r="B83" s="68">
        <f>VLOOKUP(Table2[[#This Row],[Date]],Database!A:E,2,)</f>
        <v/>
      </c>
      <c r="C83" s="14">
        <f>(B83-B82)/B82</f>
        <v/>
      </c>
      <c r="D83" s="14">
        <f>(B83-B71)/B71</f>
        <v/>
      </c>
      <c r="E83" s="15">
        <f>VLOOKUP(Table2[[#This Row],[Date]],'Fed Fund New'!$A:$C,2,FALSE)</f>
        <v/>
      </c>
      <c r="F83" s="15">
        <f>VLOOKUP(Table2[[#This Row],[Date]],'Fed Fund New'!$A:$C,3,FALSE)</f>
        <v/>
      </c>
    </row>
    <row r="84">
      <c r="A84" s="61" t="n">
        <v>19572</v>
      </c>
      <c r="B84" s="68">
        <f>VLOOKUP(Table2[[#This Row],[Date]],Database!A:E,2,)</f>
        <v/>
      </c>
      <c r="C84" s="14">
        <f>(B84-B83)/B83</f>
        <v/>
      </c>
      <c r="D84" s="14">
        <f>(B84-B72)/B72</f>
        <v/>
      </c>
      <c r="E84" s="15">
        <f>VLOOKUP(Table2[[#This Row],[Date]],'Fed Fund New'!$A:$C,2,FALSE)</f>
        <v/>
      </c>
      <c r="F84" s="15">
        <f>VLOOKUP(Table2[[#This Row],[Date]],'Fed Fund New'!$A:$C,3,FALSE)</f>
        <v/>
      </c>
    </row>
    <row r="85">
      <c r="A85" s="61" t="n">
        <v>19603</v>
      </c>
      <c r="B85" s="68">
        <f>VLOOKUP(Table2[[#This Row],[Date]],Database!A:E,2,)</f>
        <v/>
      </c>
      <c r="C85" s="14">
        <f>(B85-B84)/B84</f>
        <v/>
      </c>
      <c r="D85" s="14">
        <f>(B85-B73)/B73</f>
        <v/>
      </c>
      <c r="E85" s="15">
        <f>VLOOKUP(Table2[[#This Row],[Date]],'Fed Fund New'!$A:$C,2,FALSE)</f>
        <v/>
      </c>
      <c r="F85" s="15">
        <f>VLOOKUP(Table2[[#This Row],[Date]],'Fed Fund New'!$A:$C,3,FALSE)</f>
        <v/>
      </c>
    </row>
    <row r="86">
      <c r="A86" s="61" t="n">
        <v>19633</v>
      </c>
      <c r="B86" s="68">
        <f>VLOOKUP(Table2[[#This Row],[Date]],Database!A:E,2,)</f>
        <v/>
      </c>
      <c r="C86" s="14">
        <f>(B86-B85)/B85</f>
        <v/>
      </c>
      <c r="D86" s="14">
        <f>(B86-B74)/B74</f>
        <v/>
      </c>
      <c r="E86" s="15">
        <f>VLOOKUP(Table2[[#This Row],[Date]],'Fed Fund New'!$A:$C,2,FALSE)</f>
        <v/>
      </c>
      <c r="F86" s="15">
        <f>VLOOKUP(Table2[[#This Row],[Date]],'Fed Fund New'!$A:$C,3,FALSE)</f>
        <v/>
      </c>
    </row>
    <row r="87">
      <c r="A87" s="61" t="n">
        <v>19664</v>
      </c>
      <c r="B87" s="68">
        <f>VLOOKUP(Table2[[#This Row],[Date]],Database!A:E,2,)</f>
        <v/>
      </c>
      <c r="C87" s="14">
        <f>(B87-B86)/B86</f>
        <v/>
      </c>
      <c r="D87" s="14">
        <f>(B87-B75)/B75</f>
        <v/>
      </c>
      <c r="E87" s="15">
        <f>VLOOKUP(Table2[[#This Row],[Date]],'Fed Fund New'!$A:$C,2,FALSE)</f>
        <v/>
      </c>
      <c r="F87" s="15">
        <f>VLOOKUP(Table2[[#This Row],[Date]],'Fed Fund New'!$A:$C,3,FALSE)</f>
        <v/>
      </c>
    </row>
    <row r="88">
      <c r="A88" s="61" t="n">
        <v>19694</v>
      </c>
      <c r="B88" s="68">
        <f>VLOOKUP(Table2[[#This Row],[Date]],Database!A:E,2,)</f>
        <v/>
      </c>
      <c r="C88" s="14">
        <f>(B88-B87)/B87</f>
        <v/>
      </c>
      <c r="D88" s="14">
        <f>(B88-B76)/B76</f>
        <v/>
      </c>
      <c r="E88" s="15">
        <f>VLOOKUP(Table2[[#This Row],[Date]],'Fed Fund New'!$A:$C,2,FALSE)</f>
        <v/>
      </c>
      <c r="F88" s="15">
        <f>VLOOKUP(Table2[[#This Row],[Date]],'Fed Fund New'!$A:$C,3,FALSE)</f>
        <v/>
      </c>
    </row>
    <row r="89">
      <c r="A89" s="61" t="n">
        <v>19725</v>
      </c>
      <c r="B89" s="68">
        <f>VLOOKUP(Table2[[#This Row],[Date]],Database!A:E,2,)</f>
        <v/>
      </c>
      <c r="C89" s="14">
        <f>(B89-B88)/B88</f>
        <v/>
      </c>
      <c r="D89" s="14">
        <f>(B89-B77)/B77</f>
        <v/>
      </c>
      <c r="E89" s="15">
        <f>VLOOKUP(Table2[[#This Row],[Date]],'Fed Fund New'!$A:$C,2,FALSE)</f>
        <v/>
      </c>
      <c r="F89" s="15">
        <f>VLOOKUP(Table2[[#This Row],[Date]],'Fed Fund New'!$A:$C,3,FALSE)</f>
        <v/>
      </c>
    </row>
    <row r="90">
      <c r="A90" s="61" t="n">
        <v>19756</v>
      </c>
      <c r="B90" s="68">
        <f>VLOOKUP(Table2[[#This Row],[Date]],Database!A:E,2,)</f>
        <v/>
      </c>
      <c r="C90" s="14">
        <f>(B90-B89)/B89</f>
        <v/>
      </c>
      <c r="D90" s="14">
        <f>(B90-B78)/B78</f>
        <v/>
      </c>
      <c r="E90" s="15">
        <f>VLOOKUP(Table2[[#This Row],[Date]],'Fed Fund New'!$A:$C,2,FALSE)</f>
        <v/>
      </c>
      <c r="F90" s="15">
        <f>VLOOKUP(Table2[[#This Row],[Date]],'Fed Fund New'!$A:$C,3,FALSE)</f>
        <v/>
      </c>
    </row>
    <row r="91">
      <c r="A91" s="61" t="n">
        <v>19784</v>
      </c>
      <c r="B91" s="68">
        <f>VLOOKUP(Table2[[#This Row],[Date]],Database!A:E,2,)</f>
        <v/>
      </c>
      <c r="C91" s="14">
        <f>(B91-B90)/B90</f>
        <v/>
      </c>
      <c r="D91" s="14">
        <f>(B91-B79)/B79</f>
        <v/>
      </c>
      <c r="E91" s="15">
        <f>VLOOKUP(Table2[[#This Row],[Date]],'Fed Fund New'!$A:$C,2,FALSE)</f>
        <v/>
      </c>
      <c r="F91" s="15">
        <f>VLOOKUP(Table2[[#This Row],[Date]],'Fed Fund New'!$A:$C,3,FALSE)</f>
        <v/>
      </c>
    </row>
    <row r="92">
      <c r="A92" s="61" t="n">
        <v>19815</v>
      </c>
      <c r="B92" s="68">
        <f>VLOOKUP(Table2[[#This Row],[Date]],Database!A:E,2,)</f>
        <v/>
      </c>
      <c r="C92" s="14">
        <f>(B92-B91)/B91</f>
        <v/>
      </c>
      <c r="D92" s="14">
        <f>(B92-B80)/B80</f>
        <v/>
      </c>
      <c r="E92" s="15">
        <f>VLOOKUP(Table2[[#This Row],[Date]],'Fed Fund New'!$A:$C,2,FALSE)</f>
        <v/>
      </c>
      <c r="F92" s="15">
        <f>VLOOKUP(Table2[[#This Row],[Date]],'Fed Fund New'!$A:$C,3,FALSE)</f>
        <v/>
      </c>
    </row>
    <row r="93">
      <c r="A93" s="61" t="n">
        <v>19845</v>
      </c>
      <c r="B93" s="68">
        <f>VLOOKUP(Table2[[#This Row],[Date]],Database!A:E,2,)</f>
        <v/>
      </c>
      <c r="C93" s="14">
        <f>(B93-B92)/B92</f>
        <v/>
      </c>
      <c r="D93" s="14">
        <f>(B93-B81)/B81</f>
        <v/>
      </c>
      <c r="E93" s="15">
        <f>VLOOKUP(Table2[[#This Row],[Date]],'Fed Fund New'!$A:$C,2,FALSE)</f>
        <v/>
      </c>
      <c r="F93" s="15">
        <f>VLOOKUP(Table2[[#This Row],[Date]],'Fed Fund New'!$A:$C,3,FALSE)</f>
        <v/>
      </c>
    </row>
    <row r="94">
      <c r="A94" s="61" t="n">
        <v>19876</v>
      </c>
      <c r="B94" s="68">
        <f>VLOOKUP(Table2[[#This Row],[Date]],Database!A:E,2,)</f>
        <v/>
      </c>
      <c r="C94" s="14">
        <f>(B94-B93)/B93</f>
        <v/>
      </c>
      <c r="D94" s="14">
        <f>(B94-B82)/B82</f>
        <v/>
      </c>
      <c r="E94" s="15">
        <f>VLOOKUP(Table2[[#This Row],[Date]],'Fed Fund New'!$A:$C,2,FALSE)</f>
        <v/>
      </c>
      <c r="F94" s="15">
        <f>VLOOKUP(Table2[[#This Row],[Date]],'Fed Fund New'!$A:$C,3,FALSE)</f>
        <v/>
      </c>
    </row>
    <row r="95">
      <c r="A95" s="61" t="n">
        <v>19906</v>
      </c>
      <c r="B95" s="68">
        <f>VLOOKUP(Table2[[#This Row],[Date]],Database!A:E,2,)</f>
        <v/>
      </c>
      <c r="C95" s="14">
        <f>(B95-B94)/B94</f>
        <v/>
      </c>
      <c r="D95" s="14">
        <f>(B95-B83)/B83</f>
        <v/>
      </c>
      <c r="E95" s="15">
        <f>VLOOKUP(Table2[[#This Row],[Date]],'Fed Fund New'!$A:$C,2,FALSE)</f>
        <v/>
      </c>
      <c r="F95" s="15">
        <f>VLOOKUP(Table2[[#This Row],[Date]],'Fed Fund New'!$A:$C,3,FALSE)</f>
        <v/>
      </c>
    </row>
    <row r="96">
      <c r="A96" s="61" t="n">
        <v>19937</v>
      </c>
      <c r="B96" s="68">
        <f>VLOOKUP(Table2[[#This Row],[Date]],Database!A:E,2,)</f>
        <v/>
      </c>
      <c r="C96" s="14">
        <f>(B96-B95)/B95</f>
        <v/>
      </c>
      <c r="D96" s="14">
        <f>(B96-B84)/B84</f>
        <v/>
      </c>
      <c r="E96" s="15">
        <f>VLOOKUP(Table2[[#This Row],[Date]],'Fed Fund New'!$A:$C,2,FALSE)</f>
        <v/>
      </c>
      <c r="F96" s="15">
        <f>VLOOKUP(Table2[[#This Row],[Date]],'Fed Fund New'!$A:$C,3,FALSE)</f>
        <v/>
      </c>
    </row>
    <row r="97">
      <c r="A97" s="61" t="n">
        <v>19968</v>
      </c>
      <c r="B97" s="68">
        <f>VLOOKUP(Table2[[#This Row],[Date]],Database!A:E,2,)</f>
        <v/>
      </c>
      <c r="C97" s="14">
        <f>(B97-B96)/B96</f>
        <v/>
      </c>
      <c r="D97" s="14">
        <f>(B97-B85)/B85</f>
        <v/>
      </c>
      <c r="E97" s="15">
        <f>VLOOKUP(Table2[[#This Row],[Date]],'Fed Fund New'!$A:$C,2,FALSE)</f>
        <v/>
      </c>
      <c r="F97" s="15">
        <f>VLOOKUP(Table2[[#This Row],[Date]],'Fed Fund New'!$A:$C,3,FALSE)</f>
        <v/>
      </c>
    </row>
    <row r="98">
      <c r="A98" s="61" t="n">
        <v>19998</v>
      </c>
      <c r="B98" s="68">
        <f>VLOOKUP(Table2[[#This Row],[Date]],Database!A:E,2,)</f>
        <v/>
      </c>
      <c r="C98" s="14">
        <f>(B98-B97)/B97</f>
        <v/>
      </c>
      <c r="D98" s="14">
        <f>(B98-B86)/B86</f>
        <v/>
      </c>
      <c r="E98" s="15">
        <f>VLOOKUP(Table2[[#This Row],[Date]],'Fed Fund New'!$A:$C,2,FALSE)</f>
        <v/>
      </c>
      <c r="F98" s="15">
        <f>VLOOKUP(Table2[[#This Row],[Date]],'Fed Fund New'!$A:$C,3,FALSE)</f>
        <v/>
      </c>
    </row>
    <row r="99">
      <c r="A99" s="61" t="n">
        <v>20029</v>
      </c>
      <c r="B99" s="68">
        <f>VLOOKUP(Table2[[#This Row],[Date]],Database!A:E,2,)</f>
        <v/>
      </c>
      <c r="C99" s="14">
        <f>(B99-B98)/B98</f>
        <v/>
      </c>
      <c r="D99" s="14">
        <f>(B99-B87)/B87</f>
        <v/>
      </c>
      <c r="E99" s="15">
        <f>VLOOKUP(Table2[[#This Row],[Date]],'Fed Fund New'!$A:$C,2,FALSE)</f>
        <v/>
      </c>
      <c r="F99" s="15">
        <f>VLOOKUP(Table2[[#This Row],[Date]],'Fed Fund New'!$A:$C,3,FALSE)</f>
        <v/>
      </c>
    </row>
    <row r="100">
      <c r="A100" s="61" t="n">
        <v>20059</v>
      </c>
      <c r="B100" s="68">
        <f>VLOOKUP(Table2[[#This Row],[Date]],Database!A:E,2,)</f>
        <v/>
      </c>
      <c r="C100" s="14">
        <f>(B100-B99)/B99</f>
        <v/>
      </c>
      <c r="D100" s="14">
        <f>(B100-B88)/B88</f>
        <v/>
      </c>
      <c r="E100" s="15">
        <f>VLOOKUP(Table2[[#This Row],[Date]],'Fed Fund New'!$A:$C,2,FALSE)</f>
        <v/>
      </c>
      <c r="F100" s="15">
        <f>VLOOKUP(Table2[[#This Row],[Date]],'Fed Fund New'!$A:$C,3,FALSE)</f>
        <v/>
      </c>
    </row>
    <row r="101">
      <c r="A101" s="61" t="n">
        <v>20090</v>
      </c>
      <c r="B101" s="68">
        <f>VLOOKUP(Table2[[#This Row],[Date]],Database!A:E,2,)</f>
        <v/>
      </c>
      <c r="C101" s="14">
        <f>(B101-B100)/B100</f>
        <v/>
      </c>
      <c r="D101" s="14">
        <f>(B101-B89)/B89</f>
        <v/>
      </c>
      <c r="E101" s="15">
        <f>VLOOKUP(Table2[[#This Row],[Date]],'Fed Fund New'!$A:$C,2,FALSE)</f>
        <v/>
      </c>
      <c r="F101" s="15">
        <f>VLOOKUP(Table2[[#This Row],[Date]],'Fed Fund New'!$A:$C,3,FALSE)</f>
        <v/>
      </c>
    </row>
    <row r="102">
      <c r="A102" s="61" t="n">
        <v>20121</v>
      </c>
      <c r="B102" s="68">
        <f>VLOOKUP(Table2[[#This Row],[Date]],Database!A:E,2,)</f>
        <v/>
      </c>
      <c r="C102" s="14">
        <f>(B102-B101)/B101</f>
        <v/>
      </c>
      <c r="D102" s="14">
        <f>(B102-B90)/B90</f>
        <v/>
      </c>
      <c r="E102" s="15">
        <f>VLOOKUP(Table2[[#This Row],[Date]],'Fed Fund New'!$A:$C,2,FALSE)</f>
        <v/>
      </c>
      <c r="F102" s="15">
        <f>VLOOKUP(Table2[[#This Row],[Date]],'Fed Fund New'!$A:$C,3,FALSE)</f>
        <v/>
      </c>
    </row>
    <row r="103">
      <c r="A103" s="61" t="n">
        <v>20149</v>
      </c>
      <c r="B103" s="68">
        <f>VLOOKUP(Table2[[#This Row],[Date]],Database!A:E,2,)</f>
        <v/>
      </c>
      <c r="C103" s="14">
        <f>(B103-B102)/B102</f>
        <v/>
      </c>
      <c r="D103" s="14">
        <f>(B103-B91)/B91</f>
        <v/>
      </c>
      <c r="E103" s="15">
        <f>VLOOKUP(Table2[[#This Row],[Date]],'Fed Fund New'!$A:$C,2,FALSE)</f>
        <v/>
      </c>
      <c r="F103" s="15">
        <f>VLOOKUP(Table2[[#This Row],[Date]],'Fed Fund New'!$A:$C,3,FALSE)</f>
        <v/>
      </c>
    </row>
    <row r="104">
      <c r="A104" s="61" t="n">
        <v>20180</v>
      </c>
      <c r="B104" s="68">
        <f>VLOOKUP(Table2[[#This Row],[Date]],Database!A:E,2,)</f>
        <v/>
      </c>
      <c r="C104" s="14">
        <f>(B104-B103)/B103</f>
        <v/>
      </c>
      <c r="D104" s="14">
        <f>(B104-B92)/B92</f>
        <v/>
      </c>
      <c r="E104" s="15">
        <f>VLOOKUP(Table2[[#This Row],[Date]],'Fed Fund New'!$A:$C,2,FALSE)</f>
        <v/>
      </c>
      <c r="F104" s="15">
        <f>VLOOKUP(Table2[[#This Row],[Date]],'Fed Fund New'!$A:$C,3,FALSE)</f>
        <v/>
      </c>
    </row>
    <row r="105">
      <c r="A105" s="61" t="n">
        <v>20210</v>
      </c>
      <c r="B105" s="68">
        <f>VLOOKUP(Table2[[#This Row],[Date]],Database!A:E,2,)</f>
        <v/>
      </c>
      <c r="C105" s="14">
        <f>(B105-B104)/B104</f>
        <v/>
      </c>
      <c r="D105" s="14">
        <f>(B105-B93)/B93</f>
        <v/>
      </c>
      <c r="E105" s="15">
        <f>VLOOKUP(Table2[[#This Row],[Date]],'Fed Fund New'!$A:$C,2,FALSE)</f>
        <v/>
      </c>
      <c r="F105" s="15">
        <f>VLOOKUP(Table2[[#This Row],[Date]],'Fed Fund New'!$A:$C,3,FALSE)</f>
        <v/>
      </c>
    </row>
    <row r="106">
      <c r="A106" s="61" t="n">
        <v>20241</v>
      </c>
      <c r="B106" s="68">
        <f>VLOOKUP(Table2[[#This Row],[Date]],Database!A:E,2,)</f>
        <v/>
      </c>
      <c r="C106" s="14">
        <f>(B106-B105)/B105</f>
        <v/>
      </c>
      <c r="D106" s="14">
        <f>(B106-B94)/B94</f>
        <v/>
      </c>
      <c r="E106" s="15">
        <f>VLOOKUP(Table2[[#This Row],[Date]],'Fed Fund New'!$A:$C,2,FALSE)</f>
        <v/>
      </c>
      <c r="F106" s="15">
        <f>VLOOKUP(Table2[[#This Row],[Date]],'Fed Fund New'!$A:$C,3,FALSE)</f>
        <v/>
      </c>
    </row>
    <row r="107">
      <c r="A107" s="61" t="n">
        <v>20271</v>
      </c>
      <c r="B107" s="68">
        <f>VLOOKUP(Table2[[#This Row],[Date]],Database!A:E,2,)</f>
        <v/>
      </c>
      <c r="C107" s="14">
        <f>(B107-B106)/B106</f>
        <v/>
      </c>
      <c r="D107" s="14">
        <f>(B107-B95)/B95</f>
        <v/>
      </c>
      <c r="E107" s="15">
        <f>VLOOKUP(Table2[[#This Row],[Date]],'Fed Fund New'!$A:$C,2,FALSE)</f>
        <v/>
      </c>
      <c r="F107" s="15">
        <f>VLOOKUP(Table2[[#This Row],[Date]],'Fed Fund New'!$A:$C,3,FALSE)</f>
        <v/>
      </c>
    </row>
    <row r="108">
      <c r="A108" s="61" t="n">
        <v>20302</v>
      </c>
      <c r="B108" s="68">
        <f>VLOOKUP(Table2[[#This Row],[Date]],Database!A:E,2,)</f>
        <v/>
      </c>
      <c r="C108" s="14">
        <f>(B108-B107)/B107</f>
        <v/>
      </c>
      <c r="D108" s="14">
        <f>(B108-B96)/B96</f>
        <v/>
      </c>
      <c r="E108" s="15">
        <f>VLOOKUP(Table2[[#This Row],[Date]],'Fed Fund New'!$A:$C,2,FALSE)</f>
        <v/>
      </c>
      <c r="F108" s="15">
        <f>VLOOKUP(Table2[[#This Row],[Date]],'Fed Fund New'!$A:$C,3,FALSE)</f>
        <v/>
      </c>
    </row>
    <row r="109">
      <c r="A109" s="61" t="n">
        <v>20333</v>
      </c>
      <c r="B109" s="68">
        <f>VLOOKUP(Table2[[#This Row],[Date]],Database!A:E,2,)</f>
        <v/>
      </c>
      <c r="C109" s="14">
        <f>(B109-B108)/B108</f>
        <v/>
      </c>
      <c r="D109" s="14">
        <f>(B109-B97)/B97</f>
        <v/>
      </c>
      <c r="E109" s="15">
        <f>VLOOKUP(Table2[[#This Row],[Date]],'Fed Fund New'!$A:$C,2,FALSE)</f>
        <v/>
      </c>
      <c r="F109" s="15">
        <f>VLOOKUP(Table2[[#This Row],[Date]],'Fed Fund New'!$A:$C,3,FALSE)</f>
        <v/>
      </c>
    </row>
    <row r="110">
      <c r="A110" s="61" t="n">
        <v>20363</v>
      </c>
      <c r="B110" s="68">
        <f>VLOOKUP(Table2[[#This Row],[Date]],Database!A:E,2,)</f>
        <v/>
      </c>
      <c r="C110" s="14">
        <f>(B110-B109)/B109</f>
        <v/>
      </c>
      <c r="D110" s="14">
        <f>(B110-B98)/B98</f>
        <v/>
      </c>
      <c r="E110" s="15">
        <f>VLOOKUP(Table2[[#This Row],[Date]],'Fed Fund New'!$A:$C,2,FALSE)</f>
        <v/>
      </c>
      <c r="F110" s="15">
        <f>VLOOKUP(Table2[[#This Row],[Date]],'Fed Fund New'!$A:$C,3,FALSE)</f>
        <v/>
      </c>
    </row>
    <row r="111">
      <c r="A111" s="61" t="n">
        <v>20394</v>
      </c>
      <c r="B111" s="68">
        <f>VLOOKUP(Table2[[#This Row],[Date]],Database!A:E,2,)</f>
        <v/>
      </c>
      <c r="C111" s="14">
        <f>(B111-B110)/B110</f>
        <v/>
      </c>
      <c r="D111" s="14">
        <f>(B111-B99)/B99</f>
        <v/>
      </c>
      <c r="E111" s="15">
        <f>VLOOKUP(Table2[[#This Row],[Date]],'Fed Fund New'!$A:$C,2,FALSE)</f>
        <v/>
      </c>
      <c r="F111" s="15">
        <f>VLOOKUP(Table2[[#This Row],[Date]],'Fed Fund New'!$A:$C,3,FALSE)</f>
        <v/>
      </c>
    </row>
    <row r="112">
      <c r="A112" s="61" t="n">
        <v>20424</v>
      </c>
      <c r="B112" s="68">
        <f>VLOOKUP(Table2[[#This Row],[Date]],Database!A:E,2,)</f>
        <v/>
      </c>
      <c r="C112" s="14">
        <f>(B112-B111)/B111</f>
        <v/>
      </c>
      <c r="D112" s="14">
        <f>(B112-B100)/B100</f>
        <v/>
      </c>
      <c r="E112" s="15">
        <f>VLOOKUP(Table2[[#This Row],[Date]],'Fed Fund New'!$A:$C,2,FALSE)</f>
        <v/>
      </c>
      <c r="F112" s="15">
        <f>VLOOKUP(Table2[[#This Row],[Date]],'Fed Fund New'!$A:$C,3,FALSE)</f>
        <v/>
      </c>
    </row>
    <row r="113">
      <c r="A113" s="61" t="n">
        <v>20455</v>
      </c>
      <c r="B113" s="68">
        <f>VLOOKUP(Table2[[#This Row],[Date]],Database!A:E,2,)</f>
        <v/>
      </c>
      <c r="C113" s="14">
        <f>(B113-B112)/B112</f>
        <v/>
      </c>
      <c r="D113" s="14">
        <f>(B113-B101)/B101</f>
        <v/>
      </c>
      <c r="E113" s="15">
        <f>VLOOKUP(Table2[[#This Row],[Date]],'Fed Fund New'!$A:$C,2,FALSE)</f>
        <v/>
      </c>
      <c r="F113" s="15">
        <f>VLOOKUP(Table2[[#This Row],[Date]],'Fed Fund New'!$A:$C,3,FALSE)</f>
        <v/>
      </c>
    </row>
    <row r="114">
      <c r="A114" s="61" t="n">
        <v>20486</v>
      </c>
      <c r="B114" s="68">
        <f>VLOOKUP(Table2[[#This Row],[Date]],Database!A:E,2,)</f>
        <v/>
      </c>
      <c r="C114" s="14">
        <f>(B114-B113)/B113</f>
        <v/>
      </c>
      <c r="D114" s="14">
        <f>(B114-B102)/B102</f>
        <v/>
      </c>
      <c r="E114" s="15">
        <f>VLOOKUP(Table2[[#This Row],[Date]],'Fed Fund New'!$A:$C,2,FALSE)</f>
        <v/>
      </c>
      <c r="F114" s="15">
        <f>VLOOKUP(Table2[[#This Row],[Date]],'Fed Fund New'!$A:$C,3,FALSE)</f>
        <v/>
      </c>
    </row>
    <row r="115">
      <c r="A115" s="61" t="n">
        <v>20515</v>
      </c>
      <c r="B115" s="68">
        <f>VLOOKUP(Table2[[#This Row],[Date]],Database!A:E,2,)</f>
        <v/>
      </c>
      <c r="C115" s="14">
        <f>(B115-B114)/B114</f>
        <v/>
      </c>
      <c r="D115" s="14">
        <f>(B115-B103)/B103</f>
        <v/>
      </c>
      <c r="E115" s="15">
        <f>VLOOKUP(Table2[[#This Row],[Date]],'Fed Fund New'!$A:$C,2,FALSE)</f>
        <v/>
      </c>
      <c r="F115" s="15">
        <f>VLOOKUP(Table2[[#This Row],[Date]],'Fed Fund New'!$A:$C,3,FALSE)</f>
        <v/>
      </c>
    </row>
    <row r="116">
      <c r="A116" s="61" t="n">
        <v>20546</v>
      </c>
      <c r="B116" s="68">
        <f>VLOOKUP(Table2[[#This Row],[Date]],Database!A:E,2,)</f>
        <v/>
      </c>
      <c r="C116" s="14">
        <f>(B116-B115)/B115</f>
        <v/>
      </c>
      <c r="D116" s="14">
        <f>(B116-B104)/B104</f>
        <v/>
      </c>
      <c r="E116" s="15">
        <f>VLOOKUP(Table2[[#This Row],[Date]],'Fed Fund New'!$A:$C,2,FALSE)</f>
        <v/>
      </c>
      <c r="F116" s="15">
        <f>VLOOKUP(Table2[[#This Row],[Date]],'Fed Fund New'!$A:$C,3,FALSE)</f>
        <v/>
      </c>
    </row>
    <row r="117">
      <c r="A117" s="61" t="n">
        <v>20576</v>
      </c>
      <c r="B117" s="68">
        <f>VLOOKUP(Table2[[#This Row],[Date]],Database!A:E,2,)</f>
        <v/>
      </c>
      <c r="C117" s="14">
        <f>(B117-B116)/B116</f>
        <v/>
      </c>
      <c r="D117" s="14">
        <f>(B117-B105)/B105</f>
        <v/>
      </c>
      <c r="E117" s="15">
        <f>VLOOKUP(Table2[[#This Row],[Date]],'Fed Fund New'!$A:$C,2,FALSE)</f>
        <v/>
      </c>
      <c r="F117" s="15">
        <f>VLOOKUP(Table2[[#This Row],[Date]],'Fed Fund New'!$A:$C,3,FALSE)</f>
        <v/>
      </c>
    </row>
    <row r="118">
      <c r="A118" s="61" t="n">
        <v>20607</v>
      </c>
      <c r="B118" s="68">
        <f>VLOOKUP(Table2[[#This Row],[Date]],Database!A:E,2,)</f>
        <v/>
      </c>
      <c r="C118" s="14">
        <f>(B118-B117)/B117</f>
        <v/>
      </c>
      <c r="D118" s="14">
        <f>(B118-B106)/B106</f>
        <v/>
      </c>
      <c r="E118" s="15">
        <f>VLOOKUP(Table2[[#This Row],[Date]],'Fed Fund New'!$A:$C,2,FALSE)</f>
        <v/>
      </c>
      <c r="F118" s="15">
        <f>VLOOKUP(Table2[[#This Row],[Date]],'Fed Fund New'!$A:$C,3,FALSE)</f>
        <v/>
      </c>
    </row>
    <row r="119">
      <c r="A119" s="61" t="n">
        <v>20637</v>
      </c>
      <c r="B119" s="68">
        <f>VLOOKUP(Table2[[#This Row],[Date]],Database!A:E,2,)</f>
        <v/>
      </c>
      <c r="C119" s="14">
        <f>(B119-B118)/B118</f>
        <v/>
      </c>
      <c r="D119" s="14">
        <f>(B119-B107)/B107</f>
        <v/>
      </c>
      <c r="E119" s="15">
        <f>VLOOKUP(Table2[[#This Row],[Date]],'Fed Fund New'!$A:$C,2,FALSE)</f>
        <v/>
      </c>
      <c r="F119" s="15">
        <f>VLOOKUP(Table2[[#This Row],[Date]],'Fed Fund New'!$A:$C,3,FALSE)</f>
        <v/>
      </c>
    </row>
    <row r="120">
      <c r="A120" s="61" t="n">
        <v>20668</v>
      </c>
      <c r="B120" s="68">
        <f>VLOOKUP(Table2[[#This Row],[Date]],Database!A:E,2,)</f>
        <v/>
      </c>
      <c r="C120" s="14">
        <f>(B120-B119)/B119</f>
        <v/>
      </c>
      <c r="D120" s="14">
        <f>(B120-B108)/B108</f>
        <v/>
      </c>
      <c r="E120" s="15">
        <f>VLOOKUP(Table2[[#This Row],[Date]],'Fed Fund New'!$A:$C,2,FALSE)</f>
        <v/>
      </c>
      <c r="F120" s="15">
        <f>VLOOKUP(Table2[[#This Row],[Date]],'Fed Fund New'!$A:$C,3,FALSE)</f>
        <v/>
      </c>
    </row>
    <row r="121">
      <c r="A121" s="61" t="n">
        <v>20699</v>
      </c>
      <c r="B121" s="68">
        <f>VLOOKUP(Table2[[#This Row],[Date]],Database!A:E,2,)</f>
        <v/>
      </c>
      <c r="C121" s="14">
        <f>(B121-B120)/B120</f>
        <v/>
      </c>
      <c r="D121" s="14">
        <f>(B121-B109)/B109</f>
        <v/>
      </c>
      <c r="E121" s="15">
        <f>VLOOKUP(Table2[[#This Row],[Date]],'Fed Fund New'!$A:$C,2,FALSE)</f>
        <v/>
      </c>
      <c r="F121" s="15">
        <f>VLOOKUP(Table2[[#This Row],[Date]],'Fed Fund New'!$A:$C,3,FALSE)</f>
        <v/>
      </c>
    </row>
    <row r="122">
      <c r="A122" s="61" t="n">
        <v>20729</v>
      </c>
      <c r="B122" s="68">
        <f>VLOOKUP(Table2[[#This Row],[Date]],Database!A:E,2,)</f>
        <v/>
      </c>
      <c r="C122" s="14">
        <f>(B122-B121)/B121</f>
        <v/>
      </c>
      <c r="D122" s="14">
        <f>(B122-B110)/B110</f>
        <v/>
      </c>
      <c r="E122" s="15">
        <f>VLOOKUP(Table2[[#This Row],[Date]],'Fed Fund New'!$A:$C,2,FALSE)</f>
        <v/>
      </c>
      <c r="F122" s="15">
        <f>VLOOKUP(Table2[[#This Row],[Date]],'Fed Fund New'!$A:$C,3,FALSE)</f>
        <v/>
      </c>
    </row>
    <row r="123">
      <c r="A123" s="61" t="n">
        <v>20760</v>
      </c>
      <c r="B123" s="68">
        <f>VLOOKUP(Table2[[#This Row],[Date]],Database!A:E,2,)</f>
        <v/>
      </c>
      <c r="C123" s="14">
        <f>(B123-B122)/B122</f>
        <v/>
      </c>
      <c r="D123" s="14">
        <f>(B123-B111)/B111</f>
        <v/>
      </c>
      <c r="E123" s="15">
        <f>VLOOKUP(Table2[[#This Row],[Date]],'Fed Fund New'!$A:$C,2,FALSE)</f>
        <v/>
      </c>
      <c r="F123" s="15">
        <f>VLOOKUP(Table2[[#This Row],[Date]],'Fed Fund New'!$A:$C,3,FALSE)</f>
        <v/>
      </c>
    </row>
    <row r="124">
      <c r="A124" s="61" t="n">
        <v>20790</v>
      </c>
      <c r="B124" s="68">
        <f>VLOOKUP(Table2[[#This Row],[Date]],Database!A:E,2,)</f>
        <v/>
      </c>
      <c r="C124" s="14">
        <f>(B124-B123)/B123</f>
        <v/>
      </c>
      <c r="D124" s="14">
        <f>(B124-B112)/B112</f>
        <v/>
      </c>
      <c r="E124" s="15">
        <f>VLOOKUP(Table2[[#This Row],[Date]],'Fed Fund New'!$A:$C,2,FALSE)</f>
        <v/>
      </c>
      <c r="F124" s="15">
        <f>VLOOKUP(Table2[[#This Row],[Date]],'Fed Fund New'!$A:$C,3,FALSE)</f>
        <v/>
      </c>
    </row>
    <row r="125">
      <c r="A125" s="61" t="n">
        <v>20821</v>
      </c>
      <c r="B125" s="68">
        <f>VLOOKUP(Table2[[#This Row],[Date]],Database!A:E,2,)</f>
        <v/>
      </c>
      <c r="C125" s="14">
        <f>(B125-B124)/B124</f>
        <v/>
      </c>
      <c r="D125" s="14">
        <f>(B125-B113)/B113</f>
        <v/>
      </c>
      <c r="E125" s="15">
        <f>VLOOKUP(Table2[[#This Row],[Date]],'Fed Fund New'!$A:$C,2,FALSE)</f>
        <v/>
      </c>
      <c r="F125" s="15">
        <f>VLOOKUP(Table2[[#This Row],[Date]],'Fed Fund New'!$A:$C,3,FALSE)</f>
        <v/>
      </c>
    </row>
    <row r="126">
      <c r="A126" s="61" t="n">
        <v>20852</v>
      </c>
      <c r="B126" s="68">
        <f>VLOOKUP(Table2[[#This Row],[Date]],Database!A:E,2,)</f>
        <v/>
      </c>
      <c r="C126" s="14">
        <f>(B126-B125)/B125</f>
        <v/>
      </c>
      <c r="D126" s="14">
        <f>(B126-B114)/B114</f>
        <v/>
      </c>
      <c r="E126" s="15">
        <f>VLOOKUP(Table2[[#This Row],[Date]],'Fed Fund New'!$A:$C,2,FALSE)</f>
        <v/>
      </c>
      <c r="F126" s="15">
        <f>VLOOKUP(Table2[[#This Row],[Date]],'Fed Fund New'!$A:$C,3,FALSE)</f>
        <v/>
      </c>
    </row>
    <row r="127">
      <c r="A127" s="61" t="n">
        <v>20880</v>
      </c>
      <c r="B127" s="68">
        <f>VLOOKUP(Table2[[#This Row],[Date]],Database!A:E,2,)</f>
        <v/>
      </c>
      <c r="C127" s="14">
        <f>(B127-B126)/B126</f>
        <v/>
      </c>
      <c r="D127" s="14">
        <f>(B127-B115)/B115</f>
        <v/>
      </c>
      <c r="E127" s="15">
        <f>VLOOKUP(Table2[[#This Row],[Date]],'Fed Fund New'!$A:$C,2,FALSE)</f>
        <v/>
      </c>
      <c r="F127" s="15">
        <f>VLOOKUP(Table2[[#This Row],[Date]],'Fed Fund New'!$A:$C,3,FALSE)</f>
        <v/>
      </c>
    </row>
    <row r="128">
      <c r="A128" s="61" t="n">
        <v>20911</v>
      </c>
      <c r="B128" s="68">
        <f>VLOOKUP(Table2[[#This Row],[Date]],Database!A:E,2,)</f>
        <v/>
      </c>
      <c r="C128" s="14">
        <f>(B128-B127)/B127</f>
        <v/>
      </c>
      <c r="D128" s="14">
        <f>(B128-B116)/B116</f>
        <v/>
      </c>
      <c r="E128" s="15">
        <f>VLOOKUP(Table2[[#This Row],[Date]],'Fed Fund New'!$A:$C,2,FALSE)</f>
        <v/>
      </c>
      <c r="F128" s="15">
        <f>VLOOKUP(Table2[[#This Row],[Date]],'Fed Fund New'!$A:$C,3,FALSE)</f>
        <v/>
      </c>
    </row>
    <row r="129">
      <c r="A129" s="61" t="n">
        <v>20941</v>
      </c>
      <c r="B129" s="68">
        <f>VLOOKUP(Table2[[#This Row],[Date]],Database!A:E,2,)</f>
        <v/>
      </c>
      <c r="C129" s="14">
        <f>(B129-B128)/B128</f>
        <v/>
      </c>
      <c r="D129" s="14">
        <f>(B129-B117)/B117</f>
        <v/>
      </c>
      <c r="E129" s="15">
        <f>VLOOKUP(Table2[[#This Row],[Date]],'Fed Fund New'!$A:$C,2,FALSE)</f>
        <v/>
      </c>
      <c r="F129" s="15">
        <f>VLOOKUP(Table2[[#This Row],[Date]],'Fed Fund New'!$A:$C,3,FALSE)</f>
        <v/>
      </c>
    </row>
    <row r="130">
      <c r="A130" s="61" t="n">
        <v>20972</v>
      </c>
      <c r="B130" s="68">
        <f>VLOOKUP(Table2[[#This Row],[Date]],Database!A:E,2,)</f>
        <v/>
      </c>
      <c r="C130" s="14">
        <f>(B130-B129)/B129</f>
        <v/>
      </c>
      <c r="D130" s="14">
        <f>(B130-B118)/B118</f>
        <v/>
      </c>
      <c r="E130" s="15">
        <f>VLOOKUP(Table2[[#This Row],[Date]],'Fed Fund New'!$A:$C,2,FALSE)</f>
        <v/>
      </c>
      <c r="F130" s="15">
        <f>VLOOKUP(Table2[[#This Row],[Date]],'Fed Fund New'!$A:$C,3,FALSE)</f>
        <v/>
      </c>
    </row>
    <row r="131">
      <c r="A131" s="61" t="n">
        <v>21002</v>
      </c>
      <c r="B131" s="68">
        <f>VLOOKUP(Table2[[#This Row],[Date]],Database!A:E,2,)</f>
        <v/>
      </c>
      <c r="C131" s="14">
        <f>(B131-B130)/B130</f>
        <v/>
      </c>
      <c r="D131" s="14">
        <f>(B131-B119)/B119</f>
        <v/>
      </c>
      <c r="E131" s="15">
        <f>VLOOKUP(Table2[[#This Row],[Date]],'Fed Fund New'!$A:$C,2,FALSE)</f>
        <v/>
      </c>
      <c r="F131" s="15">
        <f>VLOOKUP(Table2[[#This Row],[Date]],'Fed Fund New'!$A:$C,3,FALSE)</f>
        <v/>
      </c>
    </row>
    <row r="132">
      <c r="A132" s="61" t="n">
        <v>21033</v>
      </c>
      <c r="B132" s="68">
        <f>VLOOKUP(Table2[[#This Row],[Date]],Database!A:E,2,)</f>
        <v/>
      </c>
      <c r="C132" s="14">
        <f>(B132-B131)/B131</f>
        <v/>
      </c>
      <c r="D132" s="14">
        <f>(B132-B120)/B120</f>
        <v/>
      </c>
      <c r="E132" s="15">
        <f>VLOOKUP(Table2[[#This Row],[Date]],'Fed Fund New'!$A:$C,2,FALSE)</f>
        <v/>
      </c>
      <c r="F132" s="15">
        <f>VLOOKUP(Table2[[#This Row],[Date]],'Fed Fund New'!$A:$C,3,FALSE)</f>
        <v/>
      </c>
    </row>
    <row r="133">
      <c r="A133" s="61" t="n">
        <v>21064</v>
      </c>
      <c r="B133" s="68">
        <f>VLOOKUP(Table2[[#This Row],[Date]],Database!A:E,2,)</f>
        <v/>
      </c>
      <c r="C133" s="14">
        <f>(B133-B132)/B132</f>
        <v/>
      </c>
      <c r="D133" s="14">
        <f>(B133-B121)/B121</f>
        <v/>
      </c>
      <c r="E133" s="15">
        <f>VLOOKUP(Table2[[#This Row],[Date]],'Fed Fund New'!$A:$C,2,FALSE)</f>
        <v/>
      </c>
      <c r="F133" s="15">
        <f>VLOOKUP(Table2[[#This Row],[Date]],'Fed Fund New'!$A:$C,3,FALSE)</f>
        <v/>
      </c>
    </row>
    <row r="134">
      <c r="A134" s="61" t="n">
        <v>21094</v>
      </c>
      <c r="B134" s="68">
        <f>VLOOKUP(Table2[[#This Row],[Date]],Database!A:E,2,)</f>
        <v/>
      </c>
      <c r="C134" s="14">
        <f>(B134-B133)/B133</f>
        <v/>
      </c>
      <c r="D134" s="14">
        <f>(B134-B122)/B122</f>
        <v/>
      </c>
      <c r="E134" s="15">
        <f>VLOOKUP(Table2[[#This Row],[Date]],'Fed Fund New'!$A:$C,2,FALSE)</f>
        <v/>
      </c>
      <c r="F134" s="15">
        <f>VLOOKUP(Table2[[#This Row],[Date]],'Fed Fund New'!$A:$C,3,FALSE)</f>
        <v/>
      </c>
    </row>
    <row r="135">
      <c r="A135" s="61" t="n">
        <v>21125</v>
      </c>
      <c r="B135" s="68">
        <f>VLOOKUP(Table2[[#This Row],[Date]],Database!A:E,2,)</f>
        <v/>
      </c>
      <c r="C135" s="14">
        <f>(B135-B134)/B134</f>
        <v/>
      </c>
      <c r="D135" s="14">
        <f>(B135-B123)/B123</f>
        <v/>
      </c>
      <c r="E135" s="15">
        <f>VLOOKUP(Table2[[#This Row],[Date]],'Fed Fund New'!$A:$C,2,FALSE)</f>
        <v/>
      </c>
      <c r="F135" s="15">
        <f>VLOOKUP(Table2[[#This Row],[Date]],'Fed Fund New'!$A:$C,3,FALSE)</f>
        <v/>
      </c>
    </row>
    <row r="136">
      <c r="A136" s="61" t="n">
        <v>21155</v>
      </c>
      <c r="B136" s="68">
        <f>VLOOKUP(Table2[[#This Row],[Date]],Database!A:E,2,)</f>
        <v/>
      </c>
      <c r="C136" s="14">
        <f>(B136-B135)/B135</f>
        <v/>
      </c>
      <c r="D136" s="14">
        <f>(B136-B124)/B124</f>
        <v/>
      </c>
      <c r="E136" s="15">
        <f>VLOOKUP(Table2[[#This Row],[Date]],'Fed Fund New'!$A:$C,2,FALSE)</f>
        <v/>
      </c>
      <c r="F136" s="15">
        <f>VLOOKUP(Table2[[#This Row],[Date]],'Fed Fund New'!$A:$C,3,FALSE)</f>
        <v/>
      </c>
    </row>
    <row r="137">
      <c r="A137" s="61" t="n">
        <v>21186</v>
      </c>
      <c r="B137" s="68">
        <f>VLOOKUP(Table2[[#This Row],[Date]],Database!A:E,2,)</f>
        <v/>
      </c>
      <c r="C137" s="14">
        <f>(B137-B136)/B136</f>
        <v/>
      </c>
      <c r="D137" s="14">
        <f>(B137-B125)/B125</f>
        <v/>
      </c>
      <c r="E137" s="15">
        <f>VLOOKUP(Table2[[#This Row],[Date]],'Fed Fund New'!$A:$C,2,FALSE)</f>
        <v/>
      </c>
      <c r="F137" s="15">
        <f>VLOOKUP(Table2[[#This Row],[Date]],'Fed Fund New'!$A:$C,3,FALSE)</f>
        <v/>
      </c>
    </row>
    <row r="138">
      <c r="A138" s="61" t="n">
        <v>21217</v>
      </c>
      <c r="B138" s="68">
        <f>VLOOKUP(Table2[[#This Row],[Date]],Database!A:E,2,)</f>
        <v/>
      </c>
      <c r="C138" s="14">
        <f>(B138-B137)/B137</f>
        <v/>
      </c>
      <c r="D138" s="14">
        <f>(B138-B126)/B126</f>
        <v/>
      </c>
      <c r="E138" s="15">
        <f>VLOOKUP(Table2[[#This Row],[Date]],'Fed Fund New'!$A:$C,2,FALSE)</f>
        <v/>
      </c>
      <c r="F138" s="15">
        <f>VLOOKUP(Table2[[#This Row],[Date]],'Fed Fund New'!$A:$C,3,FALSE)</f>
        <v/>
      </c>
    </row>
    <row r="139">
      <c r="A139" s="61" t="n">
        <v>21245</v>
      </c>
      <c r="B139" s="68">
        <f>VLOOKUP(Table2[[#This Row],[Date]],Database!A:E,2,)</f>
        <v/>
      </c>
      <c r="C139" s="14">
        <f>(B139-B138)/B138</f>
        <v/>
      </c>
      <c r="D139" s="14">
        <f>(B139-B127)/B127</f>
        <v/>
      </c>
      <c r="E139" s="15">
        <f>VLOOKUP(Table2[[#This Row],[Date]],'Fed Fund New'!$A:$C,2,FALSE)</f>
        <v/>
      </c>
      <c r="F139" s="15">
        <f>VLOOKUP(Table2[[#This Row],[Date]],'Fed Fund New'!$A:$C,3,FALSE)</f>
        <v/>
      </c>
    </row>
    <row r="140">
      <c r="A140" s="61" t="n">
        <v>21276</v>
      </c>
      <c r="B140" s="68">
        <f>VLOOKUP(Table2[[#This Row],[Date]],Database!A:E,2,)</f>
        <v/>
      </c>
      <c r="C140" s="14">
        <f>(B140-B139)/B139</f>
        <v/>
      </c>
      <c r="D140" s="14">
        <f>(B140-B128)/B128</f>
        <v/>
      </c>
      <c r="E140" s="15">
        <f>VLOOKUP(Table2[[#This Row],[Date]],'Fed Fund New'!$A:$C,2,FALSE)</f>
        <v/>
      </c>
      <c r="F140" s="15">
        <f>VLOOKUP(Table2[[#This Row],[Date]],'Fed Fund New'!$A:$C,3,FALSE)</f>
        <v/>
      </c>
    </row>
    <row r="141">
      <c r="A141" s="61" t="n">
        <v>21306</v>
      </c>
      <c r="B141" s="68">
        <f>VLOOKUP(Table2[[#This Row],[Date]],Database!A:E,2,)</f>
        <v/>
      </c>
      <c r="C141" s="14">
        <f>(B141-B140)/B140</f>
        <v/>
      </c>
      <c r="D141" s="14">
        <f>(B141-B129)/B129</f>
        <v/>
      </c>
      <c r="E141" s="15">
        <f>VLOOKUP(Table2[[#This Row],[Date]],'Fed Fund New'!$A:$C,2,FALSE)</f>
        <v/>
      </c>
      <c r="F141" s="15">
        <f>VLOOKUP(Table2[[#This Row],[Date]],'Fed Fund New'!$A:$C,3,FALSE)</f>
        <v/>
      </c>
    </row>
    <row r="142">
      <c r="A142" s="61" t="n">
        <v>21337</v>
      </c>
      <c r="B142" s="68">
        <f>VLOOKUP(Table2[[#This Row],[Date]],Database!A:E,2,)</f>
        <v/>
      </c>
      <c r="C142" s="14">
        <f>(B142-B141)/B141</f>
        <v/>
      </c>
      <c r="D142" s="14">
        <f>(B142-B130)/B130</f>
        <v/>
      </c>
      <c r="E142" s="15">
        <f>VLOOKUP(Table2[[#This Row],[Date]],'Fed Fund New'!$A:$C,2,FALSE)</f>
        <v/>
      </c>
      <c r="F142" s="15">
        <f>VLOOKUP(Table2[[#This Row],[Date]],'Fed Fund New'!$A:$C,3,FALSE)</f>
        <v/>
      </c>
    </row>
    <row r="143">
      <c r="A143" s="61" t="n">
        <v>21367</v>
      </c>
      <c r="B143" s="68">
        <f>VLOOKUP(Table2[[#This Row],[Date]],Database!A:E,2,)</f>
        <v/>
      </c>
      <c r="C143" s="14">
        <f>(B143-B142)/B142</f>
        <v/>
      </c>
      <c r="D143" s="14">
        <f>(B143-B131)/B131</f>
        <v/>
      </c>
      <c r="E143" s="15">
        <f>VLOOKUP(Table2[[#This Row],[Date]],'Fed Fund New'!$A:$C,2,FALSE)</f>
        <v/>
      </c>
      <c r="F143" s="15">
        <f>VLOOKUP(Table2[[#This Row],[Date]],'Fed Fund New'!$A:$C,3,FALSE)</f>
        <v/>
      </c>
    </row>
    <row r="144">
      <c r="A144" s="61" t="n">
        <v>21398</v>
      </c>
      <c r="B144" s="68">
        <f>VLOOKUP(Table2[[#This Row],[Date]],Database!A:E,2,)</f>
        <v/>
      </c>
      <c r="C144" s="14">
        <f>(B144-B143)/B143</f>
        <v/>
      </c>
      <c r="D144" s="14">
        <f>(B144-B132)/B132</f>
        <v/>
      </c>
      <c r="E144" s="15">
        <f>VLOOKUP(Table2[[#This Row],[Date]],'Fed Fund New'!$A:$C,2,FALSE)</f>
        <v/>
      </c>
      <c r="F144" s="15">
        <f>VLOOKUP(Table2[[#This Row],[Date]],'Fed Fund New'!$A:$C,3,FALSE)</f>
        <v/>
      </c>
    </row>
    <row r="145">
      <c r="A145" s="61" t="n">
        <v>21429</v>
      </c>
      <c r="B145" s="68">
        <f>VLOOKUP(Table2[[#This Row],[Date]],Database!A:E,2,)</f>
        <v/>
      </c>
      <c r="C145" s="14">
        <f>(B145-B144)/B144</f>
        <v/>
      </c>
      <c r="D145" s="14">
        <f>(B145-B133)/B133</f>
        <v/>
      </c>
      <c r="E145" s="15">
        <f>VLOOKUP(Table2[[#This Row],[Date]],'Fed Fund New'!$A:$C,2,FALSE)</f>
        <v/>
      </c>
      <c r="F145" s="15">
        <f>VLOOKUP(Table2[[#This Row],[Date]],'Fed Fund New'!$A:$C,3,FALSE)</f>
        <v/>
      </c>
    </row>
    <row r="146">
      <c r="A146" s="61" t="n">
        <v>21459</v>
      </c>
      <c r="B146" s="68">
        <f>VLOOKUP(Table2[[#This Row],[Date]],Database!A:E,2,)</f>
        <v/>
      </c>
      <c r="C146" s="14">
        <f>(B146-B145)/B145</f>
        <v/>
      </c>
      <c r="D146" s="14">
        <f>(B146-B134)/B134</f>
        <v/>
      </c>
      <c r="E146" s="15">
        <f>VLOOKUP(Table2[[#This Row],[Date]],'Fed Fund New'!$A:$C,2,FALSE)</f>
        <v/>
      </c>
      <c r="F146" s="15">
        <f>VLOOKUP(Table2[[#This Row],[Date]],'Fed Fund New'!$A:$C,3,FALSE)</f>
        <v/>
      </c>
    </row>
    <row r="147">
      <c r="A147" s="61" t="n">
        <v>21490</v>
      </c>
      <c r="B147" s="68">
        <f>VLOOKUP(Table2[[#This Row],[Date]],Database!A:E,2,)</f>
        <v/>
      </c>
      <c r="C147" s="14">
        <f>(B147-B146)/B146</f>
        <v/>
      </c>
      <c r="D147" s="14">
        <f>(B147-B135)/B135</f>
        <v/>
      </c>
      <c r="E147" s="15">
        <f>VLOOKUP(Table2[[#This Row],[Date]],'Fed Fund New'!$A:$C,2,FALSE)</f>
        <v/>
      </c>
      <c r="F147" s="15">
        <f>VLOOKUP(Table2[[#This Row],[Date]],'Fed Fund New'!$A:$C,3,FALSE)</f>
        <v/>
      </c>
    </row>
    <row r="148">
      <c r="A148" s="61" t="n">
        <v>21520</v>
      </c>
      <c r="B148" s="68">
        <f>VLOOKUP(Table2[[#This Row],[Date]],Database!A:E,2,)</f>
        <v/>
      </c>
      <c r="C148" s="14">
        <f>(B148-B147)/B147</f>
        <v/>
      </c>
      <c r="D148" s="14">
        <f>(B148-B136)/B136</f>
        <v/>
      </c>
      <c r="E148" s="15">
        <f>VLOOKUP(Table2[[#This Row],[Date]],'Fed Fund New'!$A:$C,2,FALSE)</f>
        <v/>
      </c>
      <c r="F148" s="15">
        <f>VLOOKUP(Table2[[#This Row],[Date]],'Fed Fund New'!$A:$C,3,FALSE)</f>
        <v/>
      </c>
    </row>
    <row r="149">
      <c r="A149" s="61" t="n">
        <v>21551</v>
      </c>
      <c r="B149" s="68">
        <f>VLOOKUP(Table2[[#This Row],[Date]],Database!A:E,2,)</f>
        <v/>
      </c>
      <c r="C149" s="14">
        <f>(B149-B148)/B148</f>
        <v/>
      </c>
      <c r="D149" s="14">
        <f>(B149-B137)/B137</f>
        <v/>
      </c>
      <c r="E149" s="15">
        <f>VLOOKUP(Table2[[#This Row],[Date]],'Fed Fund New'!$A:$C,2,FALSE)</f>
        <v/>
      </c>
      <c r="F149" s="15">
        <f>VLOOKUP(Table2[[#This Row],[Date]],'Fed Fund New'!$A:$C,3,FALSE)</f>
        <v/>
      </c>
    </row>
    <row r="150">
      <c r="A150" s="61" t="n">
        <v>21582</v>
      </c>
      <c r="B150" s="68">
        <f>VLOOKUP(Table2[[#This Row],[Date]],Database!A:E,2,)</f>
        <v/>
      </c>
      <c r="C150" s="14">
        <f>(B150-B149)/B149</f>
        <v/>
      </c>
      <c r="D150" s="14">
        <f>(B150-B138)/B138</f>
        <v/>
      </c>
      <c r="E150" s="15">
        <f>VLOOKUP(Table2[[#This Row],[Date]],'Fed Fund New'!$A:$C,2,FALSE)</f>
        <v/>
      </c>
      <c r="F150" s="15">
        <f>VLOOKUP(Table2[[#This Row],[Date]],'Fed Fund New'!$A:$C,3,FALSE)</f>
        <v/>
      </c>
    </row>
    <row r="151">
      <c r="A151" s="61" t="n">
        <v>21610</v>
      </c>
      <c r="B151" s="68">
        <f>VLOOKUP(Table2[[#This Row],[Date]],Database!A:E,2,)</f>
        <v/>
      </c>
      <c r="C151" s="14">
        <f>(B151-B150)/B150</f>
        <v/>
      </c>
      <c r="D151" s="14">
        <f>(B151-B139)/B139</f>
        <v/>
      </c>
      <c r="E151" s="15">
        <f>VLOOKUP(Table2[[#This Row],[Date]],'Fed Fund New'!$A:$C,2,FALSE)</f>
        <v/>
      </c>
      <c r="F151" s="15">
        <f>VLOOKUP(Table2[[#This Row],[Date]],'Fed Fund New'!$A:$C,3,FALSE)</f>
        <v/>
      </c>
    </row>
    <row r="152">
      <c r="A152" s="61" t="n">
        <v>21641</v>
      </c>
      <c r="B152" s="68">
        <f>VLOOKUP(Table2[[#This Row],[Date]],Database!A:E,2,)</f>
        <v/>
      </c>
      <c r="C152" s="14">
        <f>(B152-B151)/B151</f>
        <v/>
      </c>
      <c r="D152" s="14">
        <f>(B152-B140)/B140</f>
        <v/>
      </c>
      <c r="E152" s="15">
        <f>VLOOKUP(Table2[[#This Row],[Date]],'Fed Fund New'!$A:$C,2,FALSE)</f>
        <v/>
      </c>
      <c r="F152" s="15">
        <f>VLOOKUP(Table2[[#This Row],[Date]],'Fed Fund New'!$A:$C,3,FALSE)</f>
        <v/>
      </c>
    </row>
    <row r="153">
      <c r="A153" s="61" t="n">
        <v>21671</v>
      </c>
      <c r="B153" s="68">
        <f>VLOOKUP(Table2[[#This Row],[Date]],Database!A:E,2,)</f>
        <v/>
      </c>
      <c r="C153" s="14">
        <f>(B153-B152)/B152</f>
        <v/>
      </c>
      <c r="D153" s="14">
        <f>(B153-B141)/B141</f>
        <v/>
      </c>
      <c r="E153" s="15">
        <f>VLOOKUP(Table2[[#This Row],[Date]],'Fed Fund New'!$A:$C,2,FALSE)</f>
        <v/>
      </c>
      <c r="F153" s="15">
        <f>VLOOKUP(Table2[[#This Row],[Date]],'Fed Fund New'!$A:$C,3,FALSE)</f>
        <v/>
      </c>
    </row>
    <row r="154">
      <c r="A154" s="61" t="n">
        <v>21702</v>
      </c>
      <c r="B154" s="68">
        <f>VLOOKUP(Table2[[#This Row],[Date]],Database!A:E,2,)</f>
        <v/>
      </c>
      <c r="C154" s="14">
        <f>(B154-B153)/B153</f>
        <v/>
      </c>
      <c r="D154" s="14">
        <f>(B154-B142)/B142</f>
        <v/>
      </c>
      <c r="E154" s="15">
        <f>VLOOKUP(Table2[[#This Row],[Date]],'Fed Fund New'!$A:$C,2,FALSE)</f>
        <v/>
      </c>
      <c r="F154" s="15">
        <f>VLOOKUP(Table2[[#This Row],[Date]],'Fed Fund New'!$A:$C,3,FALSE)</f>
        <v/>
      </c>
    </row>
    <row r="155">
      <c r="A155" s="61" t="n">
        <v>21732</v>
      </c>
      <c r="B155" s="68">
        <f>VLOOKUP(Table2[[#This Row],[Date]],Database!A:E,2,)</f>
        <v/>
      </c>
      <c r="C155" s="14">
        <f>(B155-B154)/B154</f>
        <v/>
      </c>
      <c r="D155" s="14">
        <f>(B155-B143)/B143</f>
        <v/>
      </c>
      <c r="E155" s="15">
        <f>VLOOKUP(Table2[[#This Row],[Date]],'Fed Fund New'!$A:$C,2,FALSE)</f>
        <v/>
      </c>
      <c r="F155" s="15">
        <f>VLOOKUP(Table2[[#This Row],[Date]],'Fed Fund New'!$A:$C,3,FALSE)</f>
        <v/>
      </c>
    </row>
    <row r="156">
      <c r="A156" s="61" t="n">
        <v>21763</v>
      </c>
      <c r="B156" s="68">
        <f>VLOOKUP(Table2[[#This Row],[Date]],Database!A:E,2,)</f>
        <v/>
      </c>
      <c r="C156" s="14">
        <f>(B156-B155)/B155</f>
        <v/>
      </c>
      <c r="D156" s="14">
        <f>(B156-B144)/B144</f>
        <v/>
      </c>
      <c r="E156" s="15">
        <f>VLOOKUP(Table2[[#This Row],[Date]],'Fed Fund New'!$A:$C,2,FALSE)</f>
        <v/>
      </c>
      <c r="F156" s="15">
        <f>VLOOKUP(Table2[[#This Row],[Date]],'Fed Fund New'!$A:$C,3,FALSE)</f>
        <v/>
      </c>
    </row>
    <row r="157">
      <c r="A157" s="61" t="n">
        <v>21794</v>
      </c>
      <c r="B157" s="68">
        <f>VLOOKUP(Table2[[#This Row],[Date]],Database!A:E,2,)</f>
        <v/>
      </c>
      <c r="C157" s="14">
        <f>(B157-B156)/B156</f>
        <v/>
      </c>
      <c r="D157" s="14">
        <f>(B157-B145)/B145</f>
        <v/>
      </c>
      <c r="E157" s="15">
        <f>VLOOKUP(Table2[[#This Row],[Date]],'Fed Fund New'!$A:$C,2,FALSE)</f>
        <v/>
      </c>
      <c r="F157" s="15">
        <f>VLOOKUP(Table2[[#This Row],[Date]],'Fed Fund New'!$A:$C,3,FALSE)</f>
        <v/>
      </c>
    </row>
    <row r="158">
      <c r="A158" s="61" t="n">
        <v>21824</v>
      </c>
      <c r="B158" s="68">
        <f>VLOOKUP(Table2[[#This Row],[Date]],Database!A:E,2,)</f>
        <v/>
      </c>
      <c r="C158" s="14">
        <f>(B158-B157)/B157</f>
        <v/>
      </c>
      <c r="D158" s="14">
        <f>(B158-B146)/B146</f>
        <v/>
      </c>
      <c r="E158" s="15">
        <f>VLOOKUP(Table2[[#This Row],[Date]],'Fed Fund New'!$A:$C,2,FALSE)</f>
        <v/>
      </c>
      <c r="F158" s="15">
        <f>VLOOKUP(Table2[[#This Row],[Date]],'Fed Fund New'!$A:$C,3,FALSE)</f>
        <v/>
      </c>
    </row>
    <row r="159">
      <c r="A159" s="61" t="n">
        <v>21855</v>
      </c>
      <c r="B159" s="68">
        <f>VLOOKUP(Table2[[#This Row],[Date]],Database!A:E,2,)</f>
        <v/>
      </c>
      <c r="C159" s="14">
        <f>(B159-B158)/B158</f>
        <v/>
      </c>
      <c r="D159" s="14">
        <f>(B159-B147)/B147</f>
        <v/>
      </c>
      <c r="E159" s="15">
        <f>VLOOKUP(Table2[[#This Row],[Date]],'Fed Fund New'!$A:$C,2,FALSE)</f>
        <v/>
      </c>
      <c r="F159" s="15">
        <f>VLOOKUP(Table2[[#This Row],[Date]],'Fed Fund New'!$A:$C,3,FALSE)</f>
        <v/>
      </c>
    </row>
    <row r="160">
      <c r="A160" s="61" t="n">
        <v>21885</v>
      </c>
      <c r="B160" s="68">
        <f>VLOOKUP(Table2[[#This Row],[Date]],Database!A:E,2,)</f>
        <v/>
      </c>
      <c r="C160" s="14">
        <f>(B160-B159)/B159</f>
        <v/>
      </c>
      <c r="D160" s="14">
        <f>(B160-B148)/B148</f>
        <v/>
      </c>
      <c r="E160" s="15">
        <f>VLOOKUP(Table2[[#This Row],[Date]],'Fed Fund New'!$A:$C,2,FALSE)</f>
        <v/>
      </c>
      <c r="F160" s="15">
        <f>VLOOKUP(Table2[[#This Row],[Date]],'Fed Fund New'!$A:$C,3,FALSE)</f>
        <v/>
      </c>
    </row>
    <row r="161">
      <c r="A161" s="61" t="n">
        <v>21916</v>
      </c>
      <c r="B161" s="68">
        <f>VLOOKUP(Table2[[#This Row],[Date]],Database!A:E,2,)</f>
        <v/>
      </c>
      <c r="C161" s="14">
        <f>(B161-B160)/B160</f>
        <v/>
      </c>
      <c r="D161" s="14">
        <f>(B161-B149)/B149</f>
        <v/>
      </c>
      <c r="E161" s="15">
        <f>VLOOKUP(Table2[[#This Row],[Date]],'Fed Fund New'!$A:$C,2,FALSE)</f>
        <v/>
      </c>
      <c r="F161" s="15">
        <f>VLOOKUP(Table2[[#This Row],[Date]],'Fed Fund New'!$A:$C,3,FALSE)</f>
        <v/>
      </c>
    </row>
    <row r="162">
      <c r="A162" s="61" t="n">
        <v>21947</v>
      </c>
      <c r="B162" s="68">
        <f>VLOOKUP(Table2[[#This Row],[Date]],Database!A:E,2,)</f>
        <v/>
      </c>
      <c r="C162" s="14">
        <f>(B162-B161)/B161</f>
        <v/>
      </c>
      <c r="D162" s="14">
        <f>(B162-B150)/B150</f>
        <v/>
      </c>
      <c r="E162" s="15">
        <f>VLOOKUP(Table2[[#This Row],[Date]],'Fed Fund New'!$A:$C,2,FALSE)</f>
        <v/>
      </c>
      <c r="F162" s="15">
        <f>VLOOKUP(Table2[[#This Row],[Date]],'Fed Fund New'!$A:$C,3,FALSE)</f>
        <v/>
      </c>
    </row>
    <row r="163">
      <c r="A163" s="61" t="n">
        <v>21976</v>
      </c>
      <c r="B163" s="68">
        <f>VLOOKUP(Table2[[#This Row],[Date]],Database!A:E,2,)</f>
        <v/>
      </c>
      <c r="C163" s="14">
        <f>(B163-B162)/B162</f>
        <v/>
      </c>
      <c r="D163" s="14">
        <f>(B163-B151)/B151</f>
        <v/>
      </c>
      <c r="E163" s="15">
        <f>VLOOKUP(Table2[[#This Row],[Date]],'Fed Fund New'!$A:$C,2,FALSE)</f>
        <v/>
      </c>
      <c r="F163" s="15">
        <f>VLOOKUP(Table2[[#This Row],[Date]],'Fed Fund New'!$A:$C,3,FALSE)</f>
        <v/>
      </c>
    </row>
    <row r="164">
      <c r="A164" s="61" t="n">
        <v>22007</v>
      </c>
      <c r="B164" s="68">
        <f>VLOOKUP(Table2[[#This Row],[Date]],Database!A:E,2,)</f>
        <v/>
      </c>
      <c r="C164" s="14">
        <f>(B164-B163)/B163</f>
        <v/>
      </c>
      <c r="D164" s="14">
        <f>(B164-B152)/B152</f>
        <v/>
      </c>
      <c r="E164" s="15">
        <f>VLOOKUP(Table2[[#This Row],[Date]],'Fed Fund New'!$A:$C,2,FALSE)</f>
        <v/>
      </c>
      <c r="F164" s="15">
        <f>VLOOKUP(Table2[[#This Row],[Date]],'Fed Fund New'!$A:$C,3,FALSE)</f>
        <v/>
      </c>
    </row>
    <row r="165">
      <c r="A165" s="61" t="n">
        <v>22037</v>
      </c>
      <c r="B165" s="68">
        <f>VLOOKUP(Table2[[#This Row],[Date]],Database!A:E,2,)</f>
        <v/>
      </c>
      <c r="C165" s="14">
        <f>(B165-B164)/B164</f>
        <v/>
      </c>
      <c r="D165" s="14">
        <f>(B165-B153)/B153</f>
        <v/>
      </c>
      <c r="E165" s="15">
        <f>VLOOKUP(Table2[[#This Row],[Date]],'Fed Fund New'!$A:$C,2,FALSE)</f>
        <v/>
      </c>
      <c r="F165" s="15">
        <f>VLOOKUP(Table2[[#This Row],[Date]],'Fed Fund New'!$A:$C,3,FALSE)</f>
        <v/>
      </c>
    </row>
    <row r="166">
      <c r="A166" s="61" t="n">
        <v>22068</v>
      </c>
      <c r="B166" s="68">
        <f>VLOOKUP(Table2[[#This Row],[Date]],Database!A:E,2,)</f>
        <v/>
      </c>
      <c r="C166" s="14">
        <f>(B166-B165)/B165</f>
        <v/>
      </c>
      <c r="D166" s="14">
        <f>(B166-B154)/B154</f>
        <v/>
      </c>
      <c r="E166" s="15">
        <f>VLOOKUP(Table2[[#This Row],[Date]],'Fed Fund New'!$A:$C,2,FALSE)</f>
        <v/>
      </c>
      <c r="F166" s="15">
        <f>VLOOKUP(Table2[[#This Row],[Date]],'Fed Fund New'!$A:$C,3,FALSE)</f>
        <v/>
      </c>
    </row>
    <row r="167">
      <c r="A167" s="61" t="n">
        <v>22098</v>
      </c>
      <c r="B167" s="68">
        <f>VLOOKUP(Table2[[#This Row],[Date]],Database!A:E,2,)</f>
        <v/>
      </c>
      <c r="C167" s="14">
        <f>(B167-B166)/B166</f>
        <v/>
      </c>
      <c r="D167" s="14">
        <f>(B167-B155)/B155</f>
        <v/>
      </c>
      <c r="E167" s="15">
        <f>VLOOKUP(Table2[[#This Row],[Date]],'Fed Fund New'!$A:$C,2,FALSE)</f>
        <v/>
      </c>
      <c r="F167" s="15">
        <f>VLOOKUP(Table2[[#This Row],[Date]],'Fed Fund New'!$A:$C,3,FALSE)</f>
        <v/>
      </c>
    </row>
    <row r="168">
      <c r="A168" s="61" t="n">
        <v>22129</v>
      </c>
      <c r="B168" s="68">
        <f>VLOOKUP(Table2[[#This Row],[Date]],Database!A:E,2,)</f>
        <v/>
      </c>
      <c r="C168" s="14">
        <f>(B168-B167)/B167</f>
        <v/>
      </c>
      <c r="D168" s="14">
        <f>(B168-B156)/B156</f>
        <v/>
      </c>
      <c r="E168" s="15">
        <f>VLOOKUP(Table2[[#This Row],[Date]],'Fed Fund New'!$A:$C,2,FALSE)</f>
        <v/>
      </c>
      <c r="F168" s="15">
        <f>VLOOKUP(Table2[[#This Row],[Date]],'Fed Fund New'!$A:$C,3,FALSE)</f>
        <v/>
      </c>
    </row>
    <row r="169">
      <c r="A169" s="61" t="n">
        <v>22160</v>
      </c>
      <c r="B169" s="68">
        <f>VLOOKUP(Table2[[#This Row],[Date]],Database!A:E,2,)</f>
        <v/>
      </c>
      <c r="C169" s="14">
        <f>(B169-B168)/B168</f>
        <v/>
      </c>
      <c r="D169" s="14">
        <f>(B169-B157)/B157</f>
        <v/>
      </c>
      <c r="E169" s="15">
        <f>VLOOKUP(Table2[[#This Row],[Date]],'Fed Fund New'!$A:$C,2,FALSE)</f>
        <v/>
      </c>
      <c r="F169" s="15">
        <f>VLOOKUP(Table2[[#This Row],[Date]],'Fed Fund New'!$A:$C,3,FALSE)</f>
        <v/>
      </c>
    </row>
    <row r="170">
      <c r="A170" s="61" t="n">
        <v>22190</v>
      </c>
      <c r="B170" s="68">
        <f>VLOOKUP(Table2[[#This Row],[Date]],Database!A:E,2,)</f>
        <v/>
      </c>
      <c r="C170" s="14">
        <f>(B170-B169)/B169</f>
        <v/>
      </c>
      <c r="D170" s="14">
        <f>(B170-B158)/B158</f>
        <v/>
      </c>
      <c r="E170" s="15">
        <f>VLOOKUP(Table2[[#This Row],[Date]],'Fed Fund New'!$A:$C,2,FALSE)</f>
        <v/>
      </c>
      <c r="F170" s="15">
        <f>VLOOKUP(Table2[[#This Row],[Date]],'Fed Fund New'!$A:$C,3,FALSE)</f>
        <v/>
      </c>
    </row>
    <row r="171">
      <c r="A171" s="61" t="n">
        <v>22221</v>
      </c>
      <c r="B171" s="68">
        <f>VLOOKUP(Table2[[#This Row],[Date]],Database!A:E,2,)</f>
        <v/>
      </c>
      <c r="C171" s="14">
        <f>(B171-B170)/B170</f>
        <v/>
      </c>
      <c r="D171" s="14">
        <f>(B171-B159)/B159</f>
        <v/>
      </c>
      <c r="E171" s="15">
        <f>VLOOKUP(Table2[[#This Row],[Date]],'Fed Fund New'!$A:$C,2,FALSE)</f>
        <v/>
      </c>
      <c r="F171" s="15">
        <f>VLOOKUP(Table2[[#This Row],[Date]],'Fed Fund New'!$A:$C,3,FALSE)</f>
        <v/>
      </c>
    </row>
    <row r="172">
      <c r="A172" s="61" t="n">
        <v>22251</v>
      </c>
      <c r="B172" s="68">
        <f>VLOOKUP(Table2[[#This Row],[Date]],Database!A:E,2,)</f>
        <v/>
      </c>
      <c r="C172" s="14">
        <f>(B172-B171)/B171</f>
        <v/>
      </c>
      <c r="D172" s="14">
        <f>(B172-B160)/B160</f>
        <v/>
      </c>
      <c r="E172" s="15">
        <f>VLOOKUP(Table2[[#This Row],[Date]],'Fed Fund New'!$A:$C,2,FALSE)</f>
        <v/>
      </c>
      <c r="F172" s="15">
        <f>VLOOKUP(Table2[[#This Row],[Date]],'Fed Fund New'!$A:$C,3,FALSE)</f>
        <v/>
      </c>
    </row>
    <row r="173">
      <c r="A173" s="61" t="n">
        <v>22282</v>
      </c>
      <c r="B173" s="68">
        <f>VLOOKUP(Table2[[#This Row],[Date]],Database!A:E,2,)</f>
        <v/>
      </c>
      <c r="C173" s="14">
        <f>(B173-B172)/B172</f>
        <v/>
      </c>
      <c r="D173" s="14">
        <f>(B173-B161)/B161</f>
        <v/>
      </c>
      <c r="E173" s="15">
        <f>VLOOKUP(Table2[[#This Row],[Date]],'Fed Fund New'!$A:$C,2,FALSE)</f>
        <v/>
      </c>
      <c r="F173" s="15">
        <f>VLOOKUP(Table2[[#This Row],[Date]],'Fed Fund New'!$A:$C,3,FALSE)</f>
        <v/>
      </c>
    </row>
    <row r="174">
      <c r="A174" s="61" t="n">
        <v>22313</v>
      </c>
      <c r="B174" s="68">
        <f>VLOOKUP(Table2[[#This Row],[Date]],Database!A:E,2,)</f>
        <v/>
      </c>
      <c r="C174" s="14">
        <f>(B174-B173)/B173</f>
        <v/>
      </c>
      <c r="D174" s="14">
        <f>(B174-B162)/B162</f>
        <v/>
      </c>
      <c r="E174" s="15">
        <f>VLOOKUP(Table2[[#This Row],[Date]],'Fed Fund New'!$A:$C,2,FALSE)</f>
        <v/>
      </c>
      <c r="F174" s="15">
        <f>VLOOKUP(Table2[[#This Row],[Date]],'Fed Fund New'!$A:$C,3,FALSE)</f>
        <v/>
      </c>
    </row>
    <row r="175">
      <c r="A175" s="61" t="n">
        <v>22341</v>
      </c>
      <c r="B175" s="68">
        <f>VLOOKUP(Table2[[#This Row],[Date]],Database!A:E,2,)</f>
        <v/>
      </c>
      <c r="C175" s="14">
        <f>(B175-B174)/B174</f>
        <v/>
      </c>
      <c r="D175" s="14">
        <f>(B175-B163)/B163</f>
        <v/>
      </c>
      <c r="E175" s="15">
        <f>VLOOKUP(Table2[[#This Row],[Date]],'Fed Fund New'!$A:$C,2,FALSE)</f>
        <v/>
      </c>
      <c r="F175" s="15">
        <f>VLOOKUP(Table2[[#This Row],[Date]],'Fed Fund New'!$A:$C,3,FALSE)</f>
        <v/>
      </c>
    </row>
    <row r="176">
      <c r="A176" s="61" t="n">
        <v>22372</v>
      </c>
      <c r="B176" s="68">
        <f>VLOOKUP(Table2[[#This Row],[Date]],Database!A:E,2,)</f>
        <v/>
      </c>
      <c r="C176" s="14">
        <f>(B176-B175)/B175</f>
        <v/>
      </c>
      <c r="D176" s="14">
        <f>(B176-B164)/B164</f>
        <v/>
      </c>
      <c r="E176" s="15">
        <f>VLOOKUP(Table2[[#This Row],[Date]],'Fed Fund New'!$A:$C,2,FALSE)</f>
        <v/>
      </c>
      <c r="F176" s="15">
        <f>VLOOKUP(Table2[[#This Row],[Date]],'Fed Fund New'!$A:$C,3,FALSE)</f>
        <v/>
      </c>
    </row>
    <row r="177">
      <c r="A177" s="61" t="n">
        <v>22402</v>
      </c>
      <c r="B177" s="68">
        <f>VLOOKUP(Table2[[#This Row],[Date]],Database!A:E,2,)</f>
        <v/>
      </c>
      <c r="C177" s="14">
        <f>(B177-B176)/B176</f>
        <v/>
      </c>
      <c r="D177" s="14">
        <f>(B177-B165)/B165</f>
        <v/>
      </c>
      <c r="E177" s="15">
        <f>VLOOKUP(Table2[[#This Row],[Date]],'Fed Fund New'!$A:$C,2,FALSE)</f>
        <v/>
      </c>
      <c r="F177" s="15">
        <f>VLOOKUP(Table2[[#This Row],[Date]],'Fed Fund New'!$A:$C,3,FALSE)</f>
        <v/>
      </c>
    </row>
    <row r="178">
      <c r="A178" s="61" t="n">
        <v>22433</v>
      </c>
      <c r="B178" s="68">
        <f>VLOOKUP(Table2[[#This Row],[Date]],Database!A:E,2,)</f>
        <v/>
      </c>
      <c r="C178" s="14">
        <f>(B178-B177)/B177</f>
        <v/>
      </c>
      <c r="D178" s="14">
        <f>(B178-B166)/B166</f>
        <v/>
      </c>
      <c r="E178" s="15">
        <f>VLOOKUP(Table2[[#This Row],[Date]],'Fed Fund New'!$A:$C,2,FALSE)</f>
        <v/>
      </c>
      <c r="F178" s="15">
        <f>VLOOKUP(Table2[[#This Row],[Date]],'Fed Fund New'!$A:$C,3,FALSE)</f>
        <v/>
      </c>
    </row>
    <row r="179">
      <c r="A179" s="61" t="n">
        <v>22463</v>
      </c>
      <c r="B179" s="68">
        <f>VLOOKUP(Table2[[#This Row],[Date]],Database!A:E,2,)</f>
        <v/>
      </c>
      <c r="C179" s="14">
        <f>(B179-B178)/B178</f>
        <v/>
      </c>
      <c r="D179" s="14">
        <f>(B179-B167)/B167</f>
        <v/>
      </c>
      <c r="E179" s="15">
        <f>VLOOKUP(Table2[[#This Row],[Date]],'Fed Fund New'!$A:$C,2,FALSE)</f>
        <v/>
      </c>
      <c r="F179" s="15">
        <f>VLOOKUP(Table2[[#This Row],[Date]],'Fed Fund New'!$A:$C,3,FALSE)</f>
        <v/>
      </c>
    </row>
    <row r="180">
      <c r="A180" s="61" t="n">
        <v>22494</v>
      </c>
      <c r="B180" s="68">
        <f>VLOOKUP(Table2[[#This Row],[Date]],Database!A:E,2,)</f>
        <v/>
      </c>
      <c r="C180" s="14">
        <f>(B180-B179)/B179</f>
        <v/>
      </c>
      <c r="D180" s="14">
        <f>(B180-B168)/B168</f>
        <v/>
      </c>
      <c r="E180" s="15">
        <f>VLOOKUP(Table2[[#This Row],[Date]],'Fed Fund New'!$A:$C,2,FALSE)</f>
        <v/>
      </c>
      <c r="F180" s="15">
        <f>VLOOKUP(Table2[[#This Row],[Date]],'Fed Fund New'!$A:$C,3,FALSE)</f>
        <v/>
      </c>
    </row>
    <row r="181">
      <c r="A181" s="61" t="n">
        <v>22525</v>
      </c>
      <c r="B181" s="68">
        <f>VLOOKUP(Table2[[#This Row],[Date]],Database!A:E,2,)</f>
        <v/>
      </c>
      <c r="C181" s="14">
        <f>(B181-B180)/B180</f>
        <v/>
      </c>
      <c r="D181" s="14">
        <f>(B181-B169)/B169</f>
        <v/>
      </c>
      <c r="E181" s="15">
        <f>VLOOKUP(Table2[[#This Row],[Date]],'Fed Fund New'!$A:$C,2,FALSE)</f>
        <v/>
      </c>
      <c r="F181" s="15">
        <f>VLOOKUP(Table2[[#This Row],[Date]],'Fed Fund New'!$A:$C,3,FALSE)</f>
        <v/>
      </c>
    </row>
    <row r="182">
      <c r="A182" s="61" t="n">
        <v>22555</v>
      </c>
      <c r="B182" s="68">
        <f>VLOOKUP(Table2[[#This Row],[Date]],Database!A:E,2,)</f>
        <v/>
      </c>
      <c r="C182" s="14">
        <f>(B182-B181)/B181</f>
        <v/>
      </c>
      <c r="D182" s="14">
        <f>(B182-B170)/B170</f>
        <v/>
      </c>
      <c r="E182" s="15">
        <f>VLOOKUP(Table2[[#This Row],[Date]],'Fed Fund New'!$A:$C,2,FALSE)</f>
        <v/>
      </c>
      <c r="F182" s="15">
        <f>VLOOKUP(Table2[[#This Row],[Date]],'Fed Fund New'!$A:$C,3,FALSE)</f>
        <v/>
      </c>
    </row>
    <row r="183">
      <c r="A183" s="61" t="n">
        <v>22586</v>
      </c>
      <c r="B183" s="68">
        <f>VLOOKUP(Table2[[#This Row],[Date]],Database!A:E,2,)</f>
        <v/>
      </c>
      <c r="C183" s="14">
        <f>(B183-B182)/B182</f>
        <v/>
      </c>
      <c r="D183" s="14">
        <f>(B183-B171)/B171</f>
        <v/>
      </c>
      <c r="E183" s="15">
        <f>VLOOKUP(Table2[[#This Row],[Date]],'Fed Fund New'!$A:$C,2,FALSE)</f>
        <v/>
      </c>
      <c r="F183" s="15">
        <f>VLOOKUP(Table2[[#This Row],[Date]],'Fed Fund New'!$A:$C,3,FALSE)</f>
        <v/>
      </c>
    </row>
    <row r="184">
      <c r="A184" s="61" t="n">
        <v>22616</v>
      </c>
      <c r="B184" s="68">
        <f>VLOOKUP(Table2[[#This Row],[Date]],Database!A:E,2,)</f>
        <v/>
      </c>
      <c r="C184" s="14">
        <f>(B184-B183)/B183</f>
        <v/>
      </c>
      <c r="D184" s="14">
        <f>(B184-B172)/B172</f>
        <v/>
      </c>
      <c r="E184" s="15">
        <f>VLOOKUP(Table2[[#This Row],[Date]],'Fed Fund New'!$A:$C,2,FALSE)</f>
        <v/>
      </c>
      <c r="F184" s="15">
        <f>VLOOKUP(Table2[[#This Row],[Date]],'Fed Fund New'!$A:$C,3,FALSE)</f>
        <v/>
      </c>
    </row>
    <row r="185">
      <c r="A185" s="61" t="n">
        <v>22647</v>
      </c>
      <c r="B185" s="68">
        <f>VLOOKUP(Table2[[#This Row],[Date]],Database!A:E,2,)</f>
        <v/>
      </c>
      <c r="C185" s="14">
        <f>(B185-B184)/B184</f>
        <v/>
      </c>
      <c r="D185" s="14">
        <f>(B185-B173)/B173</f>
        <v/>
      </c>
      <c r="E185" s="15">
        <f>VLOOKUP(Table2[[#This Row],[Date]],'Fed Fund New'!$A:$C,2,FALSE)</f>
        <v/>
      </c>
      <c r="F185" s="15">
        <f>VLOOKUP(Table2[[#This Row],[Date]],'Fed Fund New'!$A:$C,3,FALSE)</f>
        <v/>
      </c>
    </row>
    <row r="186">
      <c r="A186" s="61" t="n">
        <v>22678</v>
      </c>
      <c r="B186" s="68">
        <f>VLOOKUP(Table2[[#This Row],[Date]],Database!A:E,2,)</f>
        <v/>
      </c>
      <c r="C186" s="14">
        <f>(B186-B185)/B185</f>
        <v/>
      </c>
      <c r="D186" s="14">
        <f>(B186-B174)/B174</f>
        <v/>
      </c>
      <c r="E186" s="15">
        <f>VLOOKUP(Table2[[#This Row],[Date]],'Fed Fund New'!$A:$C,2,FALSE)</f>
        <v/>
      </c>
      <c r="F186" s="15">
        <f>VLOOKUP(Table2[[#This Row],[Date]],'Fed Fund New'!$A:$C,3,FALSE)</f>
        <v/>
      </c>
    </row>
    <row r="187">
      <c r="A187" s="61" t="n">
        <v>22706</v>
      </c>
      <c r="B187" s="68">
        <f>VLOOKUP(Table2[[#This Row],[Date]],Database!A:E,2,)</f>
        <v/>
      </c>
      <c r="C187" s="14">
        <f>(B187-B186)/B186</f>
        <v/>
      </c>
      <c r="D187" s="14">
        <f>(B187-B175)/B175</f>
        <v/>
      </c>
      <c r="E187" s="15">
        <f>VLOOKUP(Table2[[#This Row],[Date]],'Fed Fund New'!$A:$C,2,FALSE)</f>
        <v/>
      </c>
      <c r="F187" s="15">
        <f>VLOOKUP(Table2[[#This Row],[Date]],'Fed Fund New'!$A:$C,3,FALSE)</f>
        <v/>
      </c>
    </row>
    <row r="188">
      <c r="A188" s="61" t="n">
        <v>22737</v>
      </c>
      <c r="B188" s="68">
        <f>VLOOKUP(Table2[[#This Row],[Date]],Database!A:E,2,)</f>
        <v/>
      </c>
      <c r="C188" s="14">
        <f>(B188-B187)/B187</f>
        <v/>
      </c>
      <c r="D188" s="14">
        <f>(B188-B176)/B176</f>
        <v/>
      </c>
      <c r="E188" s="15">
        <f>VLOOKUP(Table2[[#This Row],[Date]],'Fed Fund New'!$A:$C,2,FALSE)</f>
        <v/>
      </c>
      <c r="F188" s="15">
        <f>VLOOKUP(Table2[[#This Row],[Date]],'Fed Fund New'!$A:$C,3,FALSE)</f>
        <v/>
      </c>
    </row>
    <row r="189">
      <c r="A189" s="61" t="n">
        <v>22767</v>
      </c>
      <c r="B189" s="68">
        <f>VLOOKUP(Table2[[#This Row],[Date]],Database!A:E,2,)</f>
        <v/>
      </c>
      <c r="C189" s="14">
        <f>(B189-B188)/B188</f>
        <v/>
      </c>
      <c r="D189" s="14">
        <f>(B189-B177)/B177</f>
        <v/>
      </c>
      <c r="E189" s="15">
        <f>VLOOKUP(Table2[[#This Row],[Date]],'Fed Fund New'!$A:$C,2,FALSE)</f>
        <v/>
      </c>
      <c r="F189" s="15">
        <f>VLOOKUP(Table2[[#This Row],[Date]],'Fed Fund New'!$A:$C,3,FALSE)</f>
        <v/>
      </c>
    </row>
    <row r="190">
      <c r="A190" s="61" t="n">
        <v>22798</v>
      </c>
      <c r="B190" s="68">
        <f>VLOOKUP(Table2[[#This Row],[Date]],Database!A:E,2,)</f>
        <v/>
      </c>
      <c r="C190" s="14">
        <f>(B190-B189)/B189</f>
        <v/>
      </c>
      <c r="D190" s="14">
        <f>(B190-B178)/B178</f>
        <v/>
      </c>
      <c r="E190" s="15">
        <f>VLOOKUP(Table2[[#This Row],[Date]],'Fed Fund New'!$A:$C,2,FALSE)</f>
        <v/>
      </c>
      <c r="F190" s="15">
        <f>VLOOKUP(Table2[[#This Row],[Date]],'Fed Fund New'!$A:$C,3,FALSE)</f>
        <v/>
      </c>
    </row>
    <row r="191">
      <c r="A191" s="61" t="n">
        <v>22828</v>
      </c>
      <c r="B191" s="68">
        <f>VLOOKUP(Table2[[#This Row],[Date]],Database!A:E,2,)</f>
        <v/>
      </c>
      <c r="C191" s="14">
        <f>(B191-B190)/B190</f>
        <v/>
      </c>
      <c r="D191" s="14">
        <f>(B191-B179)/B179</f>
        <v/>
      </c>
      <c r="E191" s="15">
        <f>VLOOKUP(Table2[[#This Row],[Date]],'Fed Fund New'!$A:$C,2,FALSE)</f>
        <v/>
      </c>
      <c r="F191" s="15">
        <f>VLOOKUP(Table2[[#This Row],[Date]],'Fed Fund New'!$A:$C,3,FALSE)</f>
        <v/>
      </c>
    </row>
    <row r="192">
      <c r="A192" s="61" t="n">
        <v>22859</v>
      </c>
      <c r="B192" s="68">
        <f>VLOOKUP(Table2[[#This Row],[Date]],Database!A:E,2,)</f>
        <v/>
      </c>
      <c r="C192" s="14">
        <f>(B192-B191)/B191</f>
        <v/>
      </c>
      <c r="D192" s="14">
        <f>(B192-B180)/B180</f>
        <v/>
      </c>
      <c r="E192" s="15">
        <f>VLOOKUP(Table2[[#This Row],[Date]],'Fed Fund New'!$A:$C,2,FALSE)</f>
        <v/>
      </c>
      <c r="F192" s="15">
        <f>VLOOKUP(Table2[[#This Row],[Date]],'Fed Fund New'!$A:$C,3,FALSE)</f>
        <v/>
      </c>
    </row>
    <row r="193">
      <c r="A193" s="61" t="n">
        <v>22890</v>
      </c>
      <c r="B193" s="68">
        <f>VLOOKUP(Table2[[#This Row],[Date]],Database!A:E,2,)</f>
        <v/>
      </c>
      <c r="C193" s="14">
        <f>(B193-B192)/B192</f>
        <v/>
      </c>
      <c r="D193" s="14">
        <f>(B193-B181)/B181</f>
        <v/>
      </c>
      <c r="E193" s="15">
        <f>VLOOKUP(Table2[[#This Row],[Date]],'Fed Fund New'!$A:$C,2,FALSE)</f>
        <v/>
      </c>
      <c r="F193" s="15">
        <f>VLOOKUP(Table2[[#This Row],[Date]],'Fed Fund New'!$A:$C,3,FALSE)</f>
        <v/>
      </c>
    </row>
    <row r="194">
      <c r="A194" s="61" t="n">
        <v>22920</v>
      </c>
      <c r="B194" s="68">
        <f>VLOOKUP(Table2[[#This Row],[Date]],Database!A:E,2,)</f>
        <v/>
      </c>
      <c r="C194" s="14">
        <f>(B194-B193)/B193</f>
        <v/>
      </c>
      <c r="D194" s="14">
        <f>(B194-B182)/B182</f>
        <v/>
      </c>
      <c r="E194" s="15">
        <f>VLOOKUP(Table2[[#This Row],[Date]],'Fed Fund New'!$A:$C,2,FALSE)</f>
        <v/>
      </c>
      <c r="F194" s="15">
        <f>VLOOKUP(Table2[[#This Row],[Date]],'Fed Fund New'!$A:$C,3,FALSE)</f>
        <v/>
      </c>
    </row>
    <row r="195">
      <c r="A195" s="61" t="n">
        <v>22951</v>
      </c>
      <c r="B195" s="68">
        <f>VLOOKUP(Table2[[#This Row],[Date]],Database!A:E,2,)</f>
        <v/>
      </c>
      <c r="C195" s="14">
        <f>(B195-B194)/B194</f>
        <v/>
      </c>
      <c r="D195" s="14">
        <f>(B195-B183)/B183</f>
        <v/>
      </c>
      <c r="E195" s="15">
        <f>VLOOKUP(Table2[[#This Row],[Date]],'Fed Fund New'!$A:$C,2,FALSE)</f>
        <v/>
      </c>
      <c r="F195" s="15">
        <f>VLOOKUP(Table2[[#This Row],[Date]],'Fed Fund New'!$A:$C,3,FALSE)</f>
        <v/>
      </c>
    </row>
    <row r="196">
      <c r="A196" s="61" t="n">
        <v>22981</v>
      </c>
      <c r="B196" s="68">
        <f>VLOOKUP(Table2[[#This Row],[Date]],Database!A:E,2,)</f>
        <v/>
      </c>
      <c r="C196" s="14">
        <f>(B196-B195)/B195</f>
        <v/>
      </c>
      <c r="D196" s="14">
        <f>(B196-B184)/B184</f>
        <v/>
      </c>
      <c r="E196" s="15">
        <f>VLOOKUP(Table2[[#This Row],[Date]],'Fed Fund New'!$A:$C,2,FALSE)</f>
        <v/>
      </c>
      <c r="F196" s="15">
        <f>VLOOKUP(Table2[[#This Row],[Date]],'Fed Fund New'!$A:$C,3,FALSE)</f>
        <v/>
      </c>
    </row>
    <row r="197">
      <c r="A197" s="61" t="n">
        <v>23012</v>
      </c>
      <c r="B197" s="68">
        <f>VLOOKUP(Table2[[#This Row],[Date]],Database!A:E,2,)</f>
        <v/>
      </c>
      <c r="C197" s="14">
        <f>(B197-B196)/B196</f>
        <v/>
      </c>
      <c r="D197" s="14">
        <f>(B197-B185)/B185</f>
        <v/>
      </c>
      <c r="E197" s="15">
        <f>VLOOKUP(Table2[[#This Row],[Date]],'Fed Fund New'!$A:$C,2,FALSE)</f>
        <v/>
      </c>
      <c r="F197" s="15">
        <f>VLOOKUP(Table2[[#This Row],[Date]],'Fed Fund New'!$A:$C,3,FALSE)</f>
        <v/>
      </c>
    </row>
    <row r="198">
      <c r="A198" s="61" t="n">
        <v>23043</v>
      </c>
      <c r="B198" s="68">
        <f>VLOOKUP(Table2[[#This Row],[Date]],Database!A:E,2,)</f>
        <v/>
      </c>
      <c r="C198" s="14">
        <f>(B198-B197)/B197</f>
        <v/>
      </c>
      <c r="D198" s="14">
        <f>(B198-B186)/B186</f>
        <v/>
      </c>
      <c r="E198" s="15">
        <f>VLOOKUP(Table2[[#This Row],[Date]],'Fed Fund New'!$A:$C,2,FALSE)</f>
        <v/>
      </c>
      <c r="F198" s="15">
        <f>VLOOKUP(Table2[[#This Row],[Date]],'Fed Fund New'!$A:$C,3,FALSE)</f>
        <v/>
      </c>
    </row>
    <row r="199">
      <c r="A199" s="61" t="n">
        <v>23071</v>
      </c>
      <c r="B199" s="68">
        <f>VLOOKUP(Table2[[#This Row],[Date]],Database!A:E,2,)</f>
        <v/>
      </c>
      <c r="C199" s="14">
        <f>(B199-B198)/B198</f>
        <v/>
      </c>
      <c r="D199" s="14">
        <f>(B199-B187)/B187</f>
        <v/>
      </c>
      <c r="E199" s="15">
        <f>VLOOKUP(Table2[[#This Row],[Date]],'Fed Fund New'!$A:$C,2,FALSE)</f>
        <v/>
      </c>
      <c r="F199" s="15">
        <f>VLOOKUP(Table2[[#This Row],[Date]],'Fed Fund New'!$A:$C,3,FALSE)</f>
        <v/>
      </c>
    </row>
    <row r="200">
      <c r="A200" s="61" t="n">
        <v>23102</v>
      </c>
      <c r="B200" s="68">
        <f>VLOOKUP(Table2[[#This Row],[Date]],Database!A:E,2,)</f>
        <v/>
      </c>
      <c r="C200" s="14">
        <f>(B200-B199)/B199</f>
        <v/>
      </c>
      <c r="D200" s="14">
        <f>(B200-B188)/B188</f>
        <v/>
      </c>
      <c r="E200" s="15">
        <f>VLOOKUP(Table2[[#This Row],[Date]],'Fed Fund New'!$A:$C,2,FALSE)</f>
        <v/>
      </c>
      <c r="F200" s="15">
        <f>VLOOKUP(Table2[[#This Row],[Date]],'Fed Fund New'!$A:$C,3,FALSE)</f>
        <v/>
      </c>
    </row>
    <row r="201">
      <c r="A201" s="61" t="n">
        <v>23132</v>
      </c>
      <c r="B201" s="68">
        <f>VLOOKUP(Table2[[#This Row],[Date]],Database!A:E,2,)</f>
        <v/>
      </c>
      <c r="C201" s="14">
        <f>(B201-B200)/B200</f>
        <v/>
      </c>
      <c r="D201" s="14">
        <f>(B201-B189)/B189</f>
        <v/>
      </c>
      <c r="E201" s="15">
        <f>VLOOKUP(Table2[[#This Row],[Date]],'Fed Fund New'!$A:$C,2,FALSE)</f>
        <v/>
      </c>
      <c r="F201" s="15">
        <f>VLOOKUP(Table2[[#This Row],[Date]],'Fed Fund New'!$A:$C,3,FALSE)</f>
        <v/>
      </c>
    </row>
    <row r="202">
      <c r="A202" s="61" t="n">
        <v>23163</v>
      </c>
      <c r="B202" s="68">
        <f>VLOOKUP(Table2[[#This Row],[Date]],Database!A:E,2,)</f>
        <v/>
      </c>
      <c r="C202" s="14">
        <f>(B202-B201)/B201</f>
        <v/>
      </c>
      <c r="D202" s="14">
        <f>(B202-B190)/B190</f>
        <v/>
      </c>
      <c r="E202" s="15">
        <f>VLOOKUP(Table2[[#This Row],[Date]],'Fed Fund New'!$A:$C,2,FALSE)</f>
        <v/>
      </c>
      <c r="F202" s="15">
        <f>VLOOKUP(Table2[[#This Row],[Date]],'Fed Fund New'!$A:$C,3,FALSE)</f>
        <v/>
      </c>
    </row>
    <row r="203">
      <c r="A203" s="61" t="n">
        <v>23193</v>
      </c>
      <c r="B203" s="68">
        <f>VLOOKUP(Table2[[#This Row],[Date]],Database!A:E,2,)</f>
        <v/>
      </c>
      <c r="C203" s="14">
        <f>(B203-B202)/B202</f>
        <v/>
      </c>
      <c r="D203" s="14">
        <f>(B203-B191)/B191</f>
        <v/>
      </c>
      <c r="E203" s="15">
        <f>VLOOKUP(Table2[[#This Row],[Date]],'Fed Fund New'!$A:$C,2,FALSE)</f>
        <v/>
      </c>
      <c r="F203" s="15">
        <f>VLOOKUP(Table2[[#This Row],[Date]],'Fed Fund New'!$A:$C,3,FALSE)</f>
        <v/>
      </c>
    </row>
    <row r="204">
      <c r="A204" s="61" t="n">
        <v>23224</v>
      </c>
      <c r="B204" s="68">
        <f>VLOOKUP(Table2[[#This Row],[Date]],Database!A:E,2,)</f>
        <v/>
      </c>
      <c r="C204" s="14">
        <f>(B204-B203)/B203</f>
        <v/>
      </c>
      <c r="D204" s="14">
        <f>(B204-B192)/B192</f>
        <v/>
      </c>
      <c r="E204" s="15">
        <f>VLOOKUP(Table2[[#This Row],[Date]],'Fed Fund New'!$A:$C,2,FALSE)</f>
        <v/>
      </c>
      <c r="F204" s="15">
        <f>VLOOKUP(Table2[[#This Row],[Date]],'Fed Fund New'!$A:$C,3,FALSE)</f>
        <v/>
      </c>
    </row>
    <row r="205">
      <c r="A205" s="61" t="n">
        <v>23255</v>
      </c>
      <c r="B205" s="68">
        <f>VLOOKUP(Table2[[#This Row],[Date]],Database!A:E,2,)</f>
        <v/>
      </c>
      <c r="C205" s="14">
        <f>(B205-B204)/B204</f>
        <v/>
      </c>
      <c r="D205" s="14">
        <f>(B205-B193)/B193</f>
        <v/>
      </c>
      <c r="E205" s="15">
        <f>VLOOKUP(Table2[[#This Row],[Date]],'Fed Fund New'!$A:$C,2,FALSE)</f>
        <v/>
      </c>
      <c r="F205" s="15">
        <f>VLOOKUP(Table2[[#This Row],[Date]],'Fed Fund New'!$A:$C,3,FALSE)</f>
        <v/>
      </c>
    </row>
    <row r="206">
      <c r="A206" s="61" t="n">
        <v>23285</v>
      </c>
      <c r="B206" s="68">
        <f>VLOOKUP(Table2[[#This Row],[Date]],Database!A:E,2,)</f>
        <v/>
      </c>
      <c r="C206" s="14">
        <f>(B206-B205)/B205</f>
        <v/>
      </c>
      <c r="D206" s="14">
        <f>(B206-B194)/B194</f>
        <v/>
      </c>
      <c r="E206" s="15">
        <f>VLOOKUP(Table2[[#This Row],[Date]],'Fed Fund New'!$A:$C,2,FALSE)</f>
        <v/>
      </c>
      <c r="F206" s="15">
        <f>VLOOKUP(Table2[[#This Row],[Date]],'Fed Fund New'!$A:$C,3,FALSE)</f>
        <v/>
      </c>
    </row>
    <row r="207">
      <c r="A207" s="61" t="n">
        <v>23316</v>
      </c>
      <c r="B207" s="68">
        <f>VLOOKUP(Table2[[#This Row],[Date]],Database!A:E,2,)</f>
        <v/>
      </c>
      <c r="C207" s="14">
        <f>(B207-B206)/B206</f>
        <v/>
      </c>
      <c r="D207" s="14">
        <f>(B207-B195)/B195</f>
        <v/>
      </c>
      <c r="E207" s="15">
        <f>VLOOKUP(Table2[[#This Row],[Date]],'Fed Fund New'!$A:$C,2,FALSE)</f>
        <v/>
      </c>
      <c r="F207" s="15">
        <f>VLOOKUP(Table2[[#This Row],[Date]],'Fed Fund New'!$A:$C,3,FALSE)</f>
        <v/>
      </c>
    </row>
    <row r="208">
      <c r="A208" s="61" t="n">
        <v>23346</v>
      </c>
      <c r="B208" s="68">
        <f>VLOOKUP(Table2[[#This Row],[Date]],Database!A:E,2,)</f>
        <v/>
      </c>
      <c r="C208" s="14">
        <f>(B208-B207)/B207</f>
        <v/>
      </c>
      <c r="D208" s="14">
        <f>(B208-B196)/B196</f>
        <v/>
      </c>
      <c r="E208" s="15">
        <f>VLOOKUP(Table2[[#This Row],[Date]],'Fed Fund New'!$A:$C,2,FALSE)</f>
        <v/>
      </c>
      <c r="F208" s="15">
        <f>VLOOKUP(Table2[[#This Row],[Date]],'Fed Fund New'!$A:$C,3,FALSE)</f>
        <v/>
      </c>
    </row>
    <row r="209">
      <c r="A209" s="61" t="n">
        <v>23377</v>
      </c>
      <c r="B209" s="68">
        <f>VLOOKUP(Table2[[#This Row],[Date]],Database!A:E,2,)</f>
        <v/>
      </c>
      <c r="C209" s="14">
        <f>(B209-B208)/B208</f>
        <v/>
      </c>
      <c r="D209" s="14">
        <f>(B209-B197)/B197</f>
        <v/>
      </c>
      <c r="E209" s="15">
        <f>VLOOKUP(Table2[[#This Row],[Date]],'Fed Fund New'!$A:$C,2,FALSE)</f>
        <v/>
      </c>
      <c r="F209" s="15">
        <f>VLOOKUP(Table2[[#This Row],[Date]],'Fed Fund New'!$A:$C,3,FALSE)</f>
        <v/>
      </c>
    </row>
    <row r="210">
      <c r="A210" s="61" t="n">
        <v>23408</v>
      </c>
      <c r="B210" s="68">
        <f>VLOOKUP(Table2[[#This Row],[Date]],Database!A:E,2,)</f>
        <v/>
      </c>
      <c r="C210" s="14">
        <f>(B210-B209)/B209</f>
        <v/>
      </c>
      <c r="D210" s="14">
        <f>(B210-B198)/B198</f>
        <v/>
      </c>
      <c r="E210" s="15">
        <f>VLOOKUP(Table2[[#This Row],[Date]],'Fed Fund New'!$A:$C,2,FALSE)</f>
        <v/>
      </c>
      <c r="F210" s="15">
        <f>VLOOKUP(Table2[[#This Row],[Date]],'Fed Fund New'!$A:$C,3,FALSE)</f>
        <v/>
      </c>
    </row>
    <row r="211">
      <c r="A211" s="61" t="n">
        <v>23437</v>
      </c>
      <c r="B211" s="68">
        <f>VLOOKUP(Table2[[#This Row],[Date]],Database!A:E,2,)</f>
        <v/>
      </c>
      <c r="C211" s="14">
        <f>(B211-B210)/B210</f>
        <v/>
      </c>
      <c r="D211" s="14">
        <f>(B211-B199)/B199</f>
        <v/>
      </c>
      <c r="E211" s="15">
        <f>VLOOKUP(Table2[[#This Row],[Date]],'Fed Fund New'!$A:$C,2,FALSE)</f>
        <v/>
      </c>
      <c r="F211" s="15">
        <f>VLOOKUP(Table2[[#This Row],[Date]],'Fed Fund New'!$A:$C,3,FALSE)</f>
        <v/>
      </c>
    </row>
    <row r="212">
      <c r="A212" s="61" t="n">
        <v>23468</v>
      </c>
      <c r="B212" s="68">
        <f>VLOOKUP(Table2[[#This Row],[Date]],Database!A:E,2,)</f>
        <v/>
      </c>
      <c r="C212" s="14">
        <f>(B212-B211)/B211</f>
        <v/>
      </c>
      <c r="D212" s="14">
        <f>(B212-B200)/B200</f>
        <v/>
      </c>
      <c r="E212" s="15">
        <f>VLOOKUP(Table2[[#This Row],[Date]],'Fed Fund New'!$A:$C,2,FALSE)</f>
        <v/>
      </c>
      <c r="F212" s="15">
        <f>VLOOKUP(Table2[[#This Row],[Date]],'Fed Fund New'!$A:$C,3,FALSE)</f>
        <v/>
      </c>
    </row>
    <row r="213">
      <c r="A213" s="61" t="n">
        <v>23498</v>
      </c>
      <c r="B213" s="68">
        <f>VLOOKUP(Table2[[#This Row],[Date]],Database!A:E,2,)</f>
        <v/>
      </c>
      <c r="C213" s="14">
        <f>(B213-B212)/B212</f>
        <v/>
      </c>
      <c r="D213" s="14">
        <f>(B213-B201)/B201</f>
        <v/>
      </c>
      <c r="E213" s="15">
        <f>VLOOKUP(Table2[[#This Row],[Date]],'Fed Fund New'!$A:$C,2,FALSE)</f>
        <v/>
      </c>
      <c r="F213" s="15">
        <f>VLOOKUP(Table2[[#This Row],[Date]],'Fed Fund New'!$A:$C,3,FALSE)</f>
        <v/>
      </c>
    </row>
    <row r="214">
      <c r="A214" s="61" t="n">
        <v>23529</v>
      </c>
      <c r="B214" s="68">
        <f>VLOOKUP(Table2[[#This Row],[Date]],Database!A:E,2,)</f>
        <v/>
      </c>
      <c r="C214" s="14">
        <f>(B214-B213)/B213</f>
        <v/>
      </c>
      <c r="D214" s="14">
        <f>(B214-B202)/B202</f>
        <v/>
      </c>
      <c r="E214" s="15">
        <f>VLOOKUP(Table2[[#This Row],[Date]],'Fed Fund New'!$A:$C,2,FALSE)</f>
        <v/>
      </c>
      <c r="F214" s="15">
        <f>VLOOKUP(Table2[[#This Row],[Date]],'Fed Fund New'!$A:$C,3,FALSE)</f>
        <v/>
      </c>
    </row>
    <row r="215">
      <c r="A215" s="61" t="n">
        <v>23559</v>
      </c>
      <c r="B215" s="68">
        <f>VLOOKUP(Table2[[#This Row],[Date]],Database!A:E,2,)</f>
        <v/>
      </c>
      <c r="C215" s="14">
        <f>(B215-B214)/B214</f>
        <v/>
      </c>
      <c r="D215" s="14">
        <f>(B215-B203)/B203</f>
        <v/>
      </c>
      <c r="E215" s="15">
        <f>VLOOKUP(Table2[[#This Row],[Date]],'Fed Fund New'!$A:$C,2,FALSE)</f>
        <v/>
      </c>
      <c r="F215" s="15">
        <f>VLOOKUP(Table2[[#This Row],[Date]],'Fed Fund New'!$A:$C,3,FALSE)</f>
        <v/>
      </c>
    </row>
    <row r="216">
      <c r="A216" s="61" t="n">
        <v>23590</v>
      </c>
      <c r="B216" s="68">
        <f>VLOOKUP(Table2[[#This Row],[Date]],Database!A:E,2,)</f>
        <v/>
      </c>
      <c r="C216" s="14">
        <f>(B216-B215)/B215</f>
        <v/>
      </c>
      <c r="D216" s="14">
        <f>(B216-B204)/B204</f>
        <v/>
      </c>
      <c r="E216" s="15">
        <f>VLOOKUP(Table2[[#This Row],[Date]],'Fed Fund New'!$A:$C,2,FALSE)</f>
        <v/>
      </c>
      <c r="F216" s="15">
        <f>VLOOKUP(Table2[[#This Row],[Date]],'Fed Fund New'!$A:$C,3,FALSE)</f>
        <v/>
      </c>
    </row>
    <row r="217">
      <c r="A217" s="61" t="n">
        <v>23621</v>
      </c>
      <c r="B217" s="68">
        <f>VLOOKUP(Table2[[#This Row],[Date]],Database!A:E,2,)</f>
        <v/>
      </c>
      <c r="C217" s="14">
        <f>(B217-B216)/B216</f>
        <v/>
      </c>
      <c r="D217" s="14">
        <f>(B217-B205)/B205</f>
        <v/>
      </c>
      <c r="E217" s="15">
        <f>VLOOKUP(Table2[[#This Row],[Date]],'Fed Fund New'!$A:$C,2,FALSE)</f>
        <v/>
      </c>
      <c r="F217" s="15">
        <f>VLOOKUP(Table2[[#This Row],[Date]],'Fed Fund New'!$A:$C,3,FALSE)</f>
        <v/>
      </c>
    </row>
    <row r="218">
      <c r="A218" s="61" t="n">
        <v>23651</v>
      </c>
      <c r="B218" s="68">
        <f>VLOOKUP(Table2[[#This Row],[Date]],Database!A:E,2,)</f>
        <v/>
      </c>
      <c r="C218" s="14">
        <f>(B218-B217)/B217</f>
        <v/>
      </c>
      <c r="D218" s="14">
        <f>(B218-B206)/B206</f>
        <v/>
      </c>
      <c r="E218" s="15">
        <f>VLOOKUP(Table2[[#This Row],[Date]],'Fed Fund New'!$A:$C,2,FALSE)</f>
        <v/>
      </c>
      <c r="F218" s="15">
        <f>VLOOKUP(Table2[[#This Row],[Date]],'Fed Fund New'!$A:$C,3,FALSE)</f>
        <v/>
      </c>
    </row>
    <row r="219">
      <c r="A219" s="61" t="n">
        <v>23682</v>
      </c>
      <c r="B219" s="68">
        <f>VLOOKUP(Table2[[#This Row],[Date]],Database!A:E,2,)</f>
        <v/>
      </c>
      <c r="C219" s="14">
        <f>(B219-B218)/B218</f>
        <v/>
      </c>
      <c r="D219" s="14">
        <f>(B219-B207)/B207</f>
        <v/>
      </c>
      <c r="E219" s="15">
        <f>VLOOKUP(Table2[[#This Row],[Date]],'Fed Fund New'!$A:$C,2,FALSE)</f>
        <v/>
      </c>
      <c r="F219" s="15">
        <f>VLOOKUP(Table2[[#This Row],[Date]],'Fed Fund New'!$A:$C,3,FALSE)</f>
        <v/>
      </c>
    </row>
    <row r="220">
      <c r="A220" s="61" t="n">
        <v>23712</v>
      </c>
      <c r="B220" s="68">
        <f>VLOOKUP(Table2[[#This Row],[Date]],Database!A:E,2,)</f>
        <v/>
      </c>
      <c r="C220" s="14">
        <f>(B220-B219)/B219</f>
        <v/>
      </c>
      <c r="D220" s="14">
        <f>(B220-B208)/B208</f>
        <v/>
      </c>
      <c r="E220" s="15">
        <f>VLOOKUP(Table2[[#This Row],[Date]],'Fed Fund New'!$A:$C,2,FALSE)</f>
        <v/>
      </c>
      <c r="F220" s="15">
        <f>VLOOKUP(Table2[[#This Row],[Date]],'Fed Fund New'!$A:$C,3,FALSE)</f>
        <v/>
      </c>
    </row>
    <row r="221">
      <c r="A221" s="61" t="n">
        <v>23743</v>
      </c>
      <c r="B221" s="68">
        <f>VLOOKUP(Table2[[#This Row],[Date]],Database!A:E,2,)</f>
        <v/>
      </c>
      <c r="C221" s="14">
        <f>(B221-B220)/B220</f>
        <v/>
      </c>
      <c r="D221" s="14">
        <f>(B221-B209)/B209</f>
        <v/>
      </c>
      <c r="E221" s="15">
        <f>VLOOKUP(Table2[[#This Row],[Date]],'Fed Fund New'!$A:$C,2,FALSE)</f>
        <v/>
      </c>
      <c r="F221" s="15">
        <f>VLOOKUP(Table2[[#This Row],[Date]],'Fed Fund New'!$A:$C,3,FALSE)</f>
        <v/>
      </c>
    </row>
    <row r="222">
      <c r="A222" s="61" t="n">
        <v>23774</v>
      </c>
      <c r="B222" s="68">
        <f>VLOOKUP(Table2[[#This Row],[Date]],Database!A:E,2,)</f>
        <v/>
      </c>
      <c r="C222" s="14">
        <f>(B222-B221)/B221</f>
        <v/>
      </c>
      <c r="D222" s="14">
        <f>(B222-B210)/B210</f>
        <v/>
      </c>
      <c r="E222" s="15">
        <f>VLOOKUP(Table2[[#This Row],[Date]],'Fed Fund New'!$A:$C,2,FALSE)</f>
        <v/>
      </c>
      <c r="F222" s="15">
        <f>VLOOKUP(Table2[[#This Row],[Date]],'Fed Fund New'!$A:$C,3,FALSE)</f>
        <v/>
      </c>
    </row>
    <row r="223">
      <c r="A223" s="61" t="n">
        <v>23802</v>
      </c>
      <c r="B223" s="68">
        <f>VLOOKUP(Table2[[#This Row],[Date]],Database!A:E,2,)</f>
        <v/>
      </c>
      <c r="C223" s="14">
        <f>(B223-B222)/B222</f>
        <v/>
      </c>
      <c r="D223" s="14">
        <f>(B223-B211)/B211</f>
        <v/>
      </c>
      <c r="E223" s="15">
        <f>VLOOKUP(Table2[[#This Row],[Date]],'Fed Fund New'!$A:$C,2,FALSE)</f>
        <v/>
      </c>
      <c r="F223" s="15">
        <f>VLOOKUP(Table2[[#This Row],[Date]],'Fed Fund New'!$A:$C,3,FALSE)</f>
        <v/>
      </c>
    </row>
    <row r="224">
      <c r="A224" s="61" t="n">
        <v>23833</v>
      </c>
      <c r="B224" s="68">
        <f>VLOOKUP(Table2[[#This Row],[Date]],Database!A:E,2,)</f>
        <v/>
      </c>
      <c r="C224" s="14">
        <f>(B224-B223)/B223</f>
        <v/>
      </c>
      <c r="D224" s="14">
        <f>(B224-B212)/B212</f>
        <v/>
      </c>
      <c r="E224" s="15">
        <f>VLOOKUP(Table2[[#This Row],[Date]],'Fed Fund New'!$A:$C,2,FALSE)</f>
        <v/>
      </c>
      <c r="F224" s="15">
        <f>VLOOKUP(Table2[[#This Row],[Date]],'Fed Fund New'!$A:$C,3,FALSE)</f>
        <v/>
      </c>
    </row>
    <row r="225">
      <c r="A225" s="61" t="n">
        <v>23863</v>
      </c>
      <c r="B225" s="68">
        <f>VLOOKUP(Table2[[#This Row],[Date]],Database!A:E,2,)</f>
        <v/>
      </c>
      <c r="C225" s="14">
        <f>(B225-B224)/B224</f>
        <v/>
      </c>
      <c r="D225" s="14">
        <f>(B225-B213)/B213</f>
        <v/>
      </c>
      <c r="E225" s="15">
        <f>VLOOKUP(Table2[[#This Row],[Date]],'Fed Fund New'!$A:$C,2,FALSE)</f>
        <v/>
      </c>
      <c r="F225" s="15">
        <f>VLOOKUP(Table2[[#This Row],[Date]],'Fed Fund New'!$A:$C,3,FALSE)</f>
        <v/>
      </c>
    </row>
    <row r="226">
      <c r="A226" s="61" t="n">
        <v>23894</v>
      </c>
      <c r="B226" s="68">
        <f>VLOOKUP(Table2[[#This Row],[Date]],Database!A:E,2,)</f>
        <v/>
      </c>
      <c r="C226" s="14">
        <f>(B226-B225)/B225</f>
        <v/>
      </c>
      <c r="D226" s="14">
        <f>(B226-B214)/B214</f>
        <v/>
      </c>
      <c r="E226" s="15">
        <f>VLOOKUP(Table2[[#This Row],[Date]],'Fed Fund New'!$A:$C,2,FALSE)</f>
        <v/>
      </c>
      <c r="F226" s="15">
        <f>VLOOKUP(Table2[[#This Row],[Date]],'Fed Fund New'!$A:$C,3,FALSE)</f>
        <v/>
      </c>
    </row>
    <row r="227">
      <c r="A227" s="61" t="n">
        <v>23924</v>
      </c>
      <c r="B227" s="68">
        <f>VLOOKUP(Table2[[#This Row],[Date]],Database!A:E,2,)</f>
        <v/>
      </c>
      <c r="C227" s="14">
        <f>(B227-B226)/B226</f>
        <v/>
      </c>
      <c r="D227" s="14">
        <f>(B227-B215)/B215</f>
        <v/>
      </c>
      <c r="E227" s="15">
        <f>VLOOKUP(Table2[[#This Row],[Date]],'Fed Fund New'!$A:$C,2,FALSE)</f>
        <v/>
      </c>
      <c r="F227" s="15">
        <f>VLOOKUP(Table2[[#This Row],[Date]],'Fed Fund New'!$A:$C,3,FALSE)</f>
        <v/>
      </c>
    </row>
    <row r="228">
      <c r="A228" s="61" t="n">
        <v>23955</v>
      </c>
      <c r="B228" s="68">
        <f>VLOOKUP(Table2[[#This Row],[Date]],Database!A:E,2,)</f>
        <v/>
      </c>
      <c r="C228" s="14">
        <f>(B228-B227)/B227</f>
        <v/>
      </c>
      <c r="D228" s="14">
        <f>(B228-B216)/B216</f>
        <v/>
      </c>
      <c r="E228" s="15">
        <f>VLOOKUP(Table2[[#This Row],[Date]],'Fed Fund New'!$A:$C,2,FALSE)</f>
        <v/>
      </c>
      <c r="F228" s="15">
        <f>VLOOKUP(Table2[[#This Row],[Date]],'Fed Fund New'!$A:$C,3,FALSE)</f>
        <v/>
      </c>
    </row>
    <row r="229">
      <c r="A229" s="61" t="n">
        <v>23986</v>
      </c>
      <c r="B229" s="68">
        <f>VLOOKUP(Table2[[#This Row],[Date]],Database!A:E,2,)</f>
        <v/>
      </c>
      <c r="C229" s="14">
        <f>(B229-B228)/B228</f>
        <v/>
      </c>
      <c r="D229" s="14">
        <f>(B229-B217)/B217</f>
        <v/>
      </c>
      <c r="E229" s="15">
        <f>VLOOKUP(Table2[[#This Row],[Date]],'Fed Fund New'!$A:$C,2,FALSE)</f>
        <v/>
      </c>
      <c r="F229" s="15">
        <f>VLOOKUP(Table2[[#This Row],[Date]],'Fed Fund New'!$A:$C,3,FALSE)</f>
        <v/>
      </c>
    </row>
    <row r="230">
      <c r="A230" s="61" t="n">
        <v>24016</v>
      </c>
      <c r="B230" s="68">
        <f>VLOOKUP(Table2[[#This Row],[Date]],Database!A:E,2,)</f>
        <v/>
      </c>
      <c r="C230" s="14">
        <f>(B230-B229)/B229</f>
        <v/>
      </c>
      <c r="D230" s="14">
        <f>(B230-B218)/B218</f>
        <v/>
      </c>
      <c r="E230" s="15">
        <f>VLOOKUP(Table2[[#This Row],[Date]],'Fed Fund New'!$A:$C,2,FALSE)</f>
        <v/>
      </c>
      <c r="F230" s="15">
        <f>VLOOKUP(Table2[[#This Row],[Date]],'Fed Fund New'!$A:$C,3,FALSE)</f>
        <v/>
      </c>
    </row>
    <row r="231">
      <c r="A231" s="61" t="n">
        <v>24047</v>
      </c>
      <c r="B231" s="68">
        <f>VLOOKUP(Table2[[#This Row],[Date]],Database!A:E,2,)</f>
        <v/>
      </c>
      <c r="C231" s="14">
        <f>(B231-B230)/B230</f>
        <v/>
      </c>
      <c r="D231" s="14">
        <f>(B231-B219)/B219</f>
        <v/>
      </c>
      <c r="E231" s="15">
        <f>VLOOKUP(Table2[[#This Row],[Date]],'Fed Fund New'!$A:$C,2,FALSE)</f>
        <v/>
      </c>
      <c r="F231" s="15">
        <f>VLOOKUP(Table2[[#This Row],[Date]],'Fed Fund New'!$A:$C,3,FALSE)</f>
        <v/>
      </c>
    </row>
    <row r="232">
      <c r="A232" s="61" t="n">
        <v>24077</v>
      </c>
      <c r="B232" s="68">
        <f>VLOOKUP(Table2[[#This Row],[Date]],Database!A:E,2,)</f>
        <v/>
      </c>
      <c r="C232" s="14">
        <f>(B232-B231)/B231</f>
        <v/>
      </c>
      <c r="D232" s="14">
        <f>(B232-B220)/B220</f>
        <v/>
      </c>
      <c r="E232" s="15">
        <f>VLOOKUP(Table2[[#This Row],[Date]],'Fed Fund New'!$A:$C,2,FALSE)</f>
        <v/>
      </c>
      <c r="F232" s="15">
        <f>VLOOKUP(Table2[[#This Row],[Date]],'Fed Fund New'!$A:$C,3,FALSE)</f>
        <v/>
      </c>
    </row>
    <row r="233">
      <c r="A233" s="61" t="n">
        <v>24108</v>
      </c>
      <c r="B233" s="68">
        <f>VLOOKUP(Table2[[#This Row],[Date]],Database!A:E,2,)</f>
        <v/>
      </c>
      <c r="C233" s="14">
        <f>(B233-B232)/B232</f>
        <v/>
      </c>
      <c r="D233" s="14">
        <f>(B233-B221)/B221</f>
        <v/>
      </c>
      <c r="E233" s="15">
        <f>VLOOKUP(Table2[[#This Row],[Date]],'Fed Fund New'!$A:$C,2,FALSE)</f>
        <v/>
      </c>
      <c r="F233" s="15">
        <f>VLOOKUP(Table2[[#This Row],[Date]],'Fed Fund New'!$A:$C,3,FALSE)</f>
        <v/>
      </c>
    </row>
    <row r="234">
      <c r="A234" s="61" t="n">
        <v>24139</v>
      </c>
      <c r="B234" s="68">
        <f>VLOOKUP(Table2[[#This Row],[Date]],Database!A:E,2,)</f>
        <v/>
      </c>
      <c r="C234" s="14">
        <f>(B234-B233)/B233</f>
        <v/>
      </c>
      <c r="D234" s="14">
        <f>(B234-B222)/B222</f>
        <v/>
      </c>
      <c r="E234" s="15">
        <f>VLOOKUP(Table2[[#This Row],[Date]],'Fed Fund New'!$A:$C,2,FALSE)</f>
        <v/>
      </c>
      <c r="F234" s="15">
        <f>VLOOKUP(Table2[[#This Row],[Date]],'Fed Fund New'!$A:$C,3,FALSE)</f>
        <v/>
      </c>
    </row>
    <row r="235">
      <c r="A235" s="61" t="n">
        <v>24167</v>
      </c>
      <c r="B235" s="68">
        <f>VLOOKUP(Table2[[#This Row],[Date]],Database!A:E,2,)</f>
        <v/>
      </c>
      <c r="C235" s="14">
        <f>(B235-B234)/B234</f>
        <v/>
      </c>
      <c r="D235" s="14">
        <f>(B235-B223)/B223</f>
        <v/>
      </c>
      <c r="E235" s="15">
        <f>VLOOKUP(Table2[[#This Row],[Date]],'Fed Fund New'!$A:$C,2,FALSE)</f>
        <v/>
      </c>
      <c r="F235" s="15">
        <f>VLOOKUP(Table2[[#This Row],[Date]],'Fed Fund New'!$A:$C,3,FALSE)</f>
        <v/>
      </c>
    </row>
    <row r="236">
      <c r="A236" s="61" t="n">
        <v>24198</v>
      </c>
      <c r="B236" s="68">
        <f>VLOOKUP(Table2[[#This Row],[Date]],Database!A:E,2,)</f>
        <v/>
      </c>
      <c r="C236" s="14">
        <f>(B236-B235)/B235</f>
        <v/>
      </c>
      <c r="D236" s="14">
        <f>(B236-B224)/B224</f>
        <v/>
      </c>
      <c r="E236" s="15">
        <f>VLOOKUP(Table2[[#This Row],[Date]],'Fed Fund New'!$A:$C,2,FALSE)</f>
        <v/>
      </c>
      <c r="F236" s="15">
        <f>VLOOKUP(Table2[[#This Row],[Date]],'Fed Fund New'!$A:$C,3,FALSE)</f>
        <v/>
      </c>
    </row>
    <row r="237">
      <c r="A237" s="61" t="n">
        <v>24228</v>
      </c>
      <c r="B237" s="68">
        <f>VLOOKUP(Table2[[#This Row],[Date]],Database!A:E,2,)</f>
        <v/>
      </c>
      <c r="C237" s="14">
        <f>(B237-B236)/B236</f>
        <v/>
      </c>
      <c r="D237" s="14">
        <f>(B237-B225)/B225</f>
        <v/>
      </c>
      <c r="E237" s="15">
        <f>VLOOKUP(Table2[[#This Row],[Date]],'Fed Fund New'!$A:$C,2,FALSE)</f>
        <v/>
      </c>
      <c r="F237" s="15">
        <f>VLOOKUP(Table2[[#This Row],[Date]],'Fed Fund New'!$A:$C,3,FALSE)</f>
        <v/>
      </c>
    </row>
    <row r="238">
      <c r="A238" s="61" t="n">
        <v>24259</v>
      </c>
      <c r="B238" s="68">
        <f>VLOOKUP(Table2[[#This Row],[Date]],Database!A:E,2,)</f>
        <v/>
      </c>
      <c r="C238" s="14">
        <f>(B238-B237)/B237</f>
        <v/>
      </c>
      <c r="D238" s="14">
        <f>(B238-B226)/B226</f>
        <v/>
      </c>
      <c r="E238" s="15">
        <f>VLOOKUP(Table2[[#This Row],[Date]],'Fed Fund New'!$A:$C,2,FALSE)</f>
        <v/>
      </c>
      <c r="F238" s="15">
        <f>VLOOKUP(Table2[[#This Row],[Date]],'Fed Fund New'!$A:$C,3,FALSE)</f>
        <v/>
      </c>
    </row>
    <row r="239">
      <c r="A239" s="61" t="n">
        <v>24289</v>
      </c>
      <c r="B239" s="68">
        <f>VLOOKUP(Table2[[#This Row],[Date]],Database!A:E,2,)</f>
        <v/>
      </c>
      <c r="C239" s="14">
        <f>(B239-B238)/B238</f>
        <v/>
      </c>
      <c r="D239" s="14">
        <f>(B239-B227)/B227</f>
        <v/>
      </c>
      <c r="E239" s="15">
        <f>VLOOKUP(Table2[[#This Row],[Date]],'Fed Fund New'!$A:$C,2,FALSE)</f>
        <v/>
      </c>
      <c r="F239" s="15">
        <f>VLOOKUP(Table2[[#This Row],[Date]],'Fed Fund New'!$A:$C,3,FALSE)</f>
        <v/>
      </c>
    </row>
    <row r="240">
      <c r="A240" s="61" t="n">
        <v>24320</v>
      </c>
      <c r="B240" s="68">
        <f>VLOOKUP(Table2[[#This Row],[Date]],Database!A:E,2,)</f>
        <v/>
      </c>
      <c r="C240" s="14">
        <f>(B240-B239)/B239</f>
        <v/>
      </c>
      <c r="D240" s="14">
        <f>(B240-B228)/B228</f>
        <v/>
      </c>
      <c r="E240" s="15">
        <f>VLOOKUP(Table2[[#This Row],[Date]],'Fed Fund New'!$A:$C,2,FALSE)</f>
        <v/>
      </c>
      <c r="F240" s="15">
        <f>VLOOKUP(Table2[[#This Row],[Date]],'Fed Fund New'!$A:$C,3,FALSE)</f>
        <v/>
      </c>
    </row>
    <row r="241">
      <c r="A241" s="61" t="n">
        <v>24351</v>
      </c>
      <c r="B241" s="68">
        <f>VLOOKUP(Table2[[#This Row],[Date]],Database!A:E,2,)</f>
        <v/>
      </c>
      <c r="C241" s="14">
        <f>(B241-B240)/B240</f>
        <v/>
      </c>
      <c r="D241" s="14">
        <f>(B241-B229)/B229</f>
        <v/>
      </c>
      <c r="E241" s="15">
        <f>VLOOKUP(Table2[[#This Row],[Date]],'Fed Fund New'!$A:$C,2,FALSE)</f>
        <v/>
      </c>
      <c r="F241" s="15">
        <f>VLOOKUP(Table2[[#This Row],[Date]],'Fed Fund New'!$A:$C,3,FALSE)</f>
        <v/>
      </c>
    </row>
    <row r="242">
      <c r="A242" s="61" t="n">
        <v>24381</v>
      </c>
      <c r="B242" s="68">
        <f>VLOOKUP(Table2[[#This Row],[Date]],Database!A:E,2,)</f>
        <v/>
      </c>
      <c r="C242" s="14">
        <f>(B242-B241)/B241</f>
        <v/>
      </c>
      <c r="D242" s="14">
        <f>(B242-B230)/B230</f>
        <v/>
      </c>
      <c r="E242" s="15">
        <f>VLOOKUP(Table2[[#This Row],[Date]],'Fed Fund New'!$A:$C,2,FALSE)</f>
        <v/>
      </c>
      <c r="F242" s="15">
        <f>VLOOKUP(Table2[[#This Row],[Date]],'Fed Fund New'!$A:$C,3,FALSE)</f>
        <v/>
      </c>
    </row>
    <row r="243">
      <c r="A243" s="61" t="n">
        <v>24412</v>
      </c>
      <c r="B243" s="68">
        <f>VLOOKUP(Table2[[#This Row],[Date]],Database!A:E,2,)</f>
        <v/>
      </c>
      <c r="C243" s="14">
        <f>(B243-B242)/B242</f>
        <v/>
      </c>
      <c r="D243" s="14">
        <f>(B243-B231)/B231</f>
        <v/>
      </c>
      <c r="E243" s="15">
        <f>VLOOKUP(Table2[[#This Row],[Date]],'Fed Fund New'!$A:$C,2,FALSE)</f>
        <v/>
      </c>
      <c r="F243" s="15">
        <f>VLOOKUP(Table2[[#This Row],[Date]],'Fed Fund New'!$A:$C,3,FALSE)</f>
        <v/>
      </c>
    </row>
    <row r="244">
      <c r="A244" s="61" t="n">
        <v>24442</v>
      </c>
      <c r="B244" s="68">
        <f>VLOOKUP(Table2[[#This Row],[Date]],Database!A:E,2,)</f>
        <v/>
      </c>
      <c r="C244" s="14">
        <f>(B244-B243)/B243</f>
        <v/>
      </c>
      <c r="D244" s="14">
        <f>(B244-B232)/B232</f>
        <v/>
      </c>
      <c r="E244" s="15">
        <f>VLOOKUP(Table2[[#This Row],[Date]],'Fed Fund New'!$A:$C,2,FALSE)</f>
        <v/>
      </c>
      <c r="F244" s="15">
        <f>VLOOKUP(Table2[[#This Row],[Date]],'Fed Fund New'!$A:$C,3,FALSE)</f>
        <v/>
      </c>
    </row>
    <row r="245">
      <c r="A245" s="61" t="n">
        <v>24473</v>
      </c>
      <c r="B245" s="68">
        <f>VLOOKUP(Table2[[#This Row],[Date]],Database!A:E,2,)</f>
        <v/>
      </c>
      <c r="C245" s="14">
        <f>(B245-B244)/B244</f>
        <v/>
      </c>
      <c r="D245" s="14">
        <f>(B245-B233)/B233</f>
        <v/>
      </c>
      <c r="E245" s="15">
        <f>VLOOKUP(Table2[[#This Row],[Date]],'Fed Fund New'!$A:$C,2,FALSE)</f>
        <v/>
      </c>
      <c r="F245" s="15">
        <f>VLOOKUP(Table2[[#This Row],[Date]],'Fed Fund New'!$A:$C,3,FALSE)</f>
        <v/>
      </c>
    </row>
    <row r="246">
      <c r="A246" s="61" t="n">
        <v>24504</v>
      </c>
      <c r="B246" s="68">
        <f>VLOOKUP(Table2[[#This Row],[Date]],Database!A:E,2,)</f>
        <v/>
      </c>
      <c r="C246" s="14">
        <f>(B246-B245)/B245</f>
        <v/>
      </c>
      <c r="D246" s="14">
        <f>(B246-B234)/B234</f>
        <v/>
      </c>
      <c r="E246" s="15">
        <f>VLOOKUP(Table2[[#This Row],[Date]],'Fed Fund New'!$A:$C,2,FALSE)</f>
        <v/>
      </c>
      <c r="F246" s="15">
        <f>VLOOKUP(Table2[[#This Row],[Date]],'Fed Fund New'!$A:$C,3,FALSE)</f>
        <v/>
      </c>
    </row>
    <row r="247">
      <c r="A247" s="61" t="n">
        <v>24532</v>
      </c>
      <c r="B247" s="68">
        <f>VLOOKUP(Table2[[#This Row],[Date]],Database!A:E,2,)</f>
        <v/>
      </c>
      <c r="C247" s="14">
        <f>(B247-B246)/B246</f>
        <v/>
      </c>
      <c r="D247" s="14">
        <f>(B247-B235)/B235</f>
        <v/>
      </c>
      <c r="E247" s="15">
        <f>VLOOKUP(Table2[[#This Row],[Date]],'Fed Fund New'!$A:$C,2,FALSE)</f>
        <v/>
      </c>
      <c r="F247" s="15">
        <f>VLOOKUP(Table2[[#This Row],[Date]],'Fed Fund New'!$A:$C,3,FALSE)</f>
        <v/>
      </c>
    </row>
    <row r="248">
      <c r="A248" s="61" t="n">
        <v>24563</v>
      </c>
      <c r="B248" s="68">
        <f>VLOOKUP(Table2[[#This Row],[Date]],Database!A:E,2,)</f>
        <v/>
      </c>
      <c r="C248" s="14">
        <f>(B248-B247)/B247</f>
        <v/>
      </c>
      <c r="D248" s="14">
        <f>(B248-B236)/B236</f>
        <v/>
      </c>
      <c r="E248" s="15">
        <f>VLOOKUP(Table2[[#This Row],[Date]],'Fed Fund New'!$A:$C,2,FALSE)</f>
        <v/>
      </c>
      <c r="F248" s="15">
        <f>VLOOKUP(Table2[[#This Row],[Date]],'Fed Fund New'!$A:$C,3,FALSE)</f>
        <v/>
      </c>
    </row>
    <row r="249">
      <c r="A249" s="61" t="n">
        <v>24593</v>
      </c>
      <c r="B249" s="68">
        <f>VLOOKUP(Table2[[#This Row],[Date]],Database!A:E,2,)</f>
        <v/>
      </c>
      <c r="C249" s="14">
        <f>(B249-B248)/B248</f>
        <v/>
      </c>
      <c r="D249" s="14">
        <f>(B249-B237)/B237</f>
        <v/>
      </c>
      <c r="E249" s="15">
        <f>VLOOKUP(Table2[[#This Row],[Date]],'Fed Fund New'!$A:$C,2,FALSE)</f>
        <v/>
      </c>
      <c r="F249" s="15">
        <f>VLOOKUP(Table2[[#This Row],[Date]],'Fed Fund New'!$A:$C,3,FALSE)</f>
        <v/>
      </c>
    </row>
    <row r="250">
      <c r="A250" s="61" t="n">
        <v>24624</v>
      </c>
      <c r="B250" s="68">
        <f>VLOOKUP(Table2[[#This Row],[Date]],Database!A:E,2,)</f>
        <v/>
      </c>
      <c r="C250" s="14">
        <f>(B250-B249)/B249</f>
        <v/>
      </c>
      <c r="D250" s="14">
        <f>(B250-B238)/B238</f>
        <v/>
      </c>
      <c r="E250" s="15">
        <f>VLOOKUP(Table2[[#This Row],[Date]],'Fed Fund New'!$A:$C,2,FALSE)</f>
        <v/>
      </c>
      <c r="F250" s="15">
        <f>VLOOKUP(Table2[[#This Row],[Date]],'Fed Fund New'!$A:$C,3,FALSE)</f>
        <v/>
      </c>
    </row>
    <row r="251">
      <c r="A251" s="61" t="n">
        <v>24654</v>
      </c>
      <c r="B251" s="68">
        <f>VLOOKUP(Table2[[#This Row],[Date]],Database!A:E,2,)</f>
        <v/>
      </c>
      <c r="C251" s="14">
        <f>(B251-B250)/B250</f>
        <v/>
      </c>
      <c r="D251" s="14">
        <f>(B251-B239)/B239</f>
        <v/>
      </c>
      <c r="E251" s="15">
        <f>VLOOKUP(Table2[[#This Row],[Date]],'Fed Fund New'!$A:$C,2,FALSE)</f>
        <v/>
      </c>
      <c r="F251" s="15">
        <f>VLOOKUP(Table2[[#This Row],[Date]],'Fed Fund New'!$A:$C,3,FALSE)</f>
        <v/>
      </c>
    </row>
    <row r="252">
      <c r="A252" s="61" t="n">
        <v>24685</v>
      </c>
      <c r="B252" s="68">
        <f>VLOOKUP(Table2[[#This Row],[Date]],Database!A:E,2,)</f>
        <v/>
      </c>
      <c r="C252" s="14">
        <f>(B252-B251)/B251</f>
        <v/>
      </c>
      <c r="D252" s="14">
        <f>(B252-B240)/B240</f>
        <v/>
      </c>
      <c r="E252" s="15">
        <f>VLOOKUP(Table2[[#This Row],[Date]],'Fed Fund New'!$A:$C,2,FALSE)</f>
        <v/>
      </c>
      <c r="F252" s="15">
        <f>VLOOKUP(Table2[[#This Row],[Date]],'Fed Fund New'!$A:$C,3,FALSE)</f>
        <v/>
      </c>
    </row>
    <row r="253">
      <c r="A253" s="61" t="n">
        <v>24716</v>
      </c>
      <c r="B253" s="68">
        <f>VLOOKUP(Table2[[#This Row],[Date]],Database!A:E,2,)</f>
        <v/>
      </c>
      <c r="C253" s="14">
        <f>(B253-B252)/B252</f>
        <v/>
      </c>
      <c r="D253" s="14">
        <f>(B253-B241)/B241</f>
        <v/>
      </c>
      <c r="E253" s="15">
        <f>VLOOKUP(Table2[[#This Row],[Date]],'Fed Fund New'!$A:$C,2,FALSE)</f>
        <v/>
      </c>
      <c r="F253" s="15">
        <f>VLOOKUP(Table2[[#This Row],[Date]],'Fed Fund New'!$A:$C,3,FALSE)</f>
        <v/>
      </c>
    </row>
    <row r="254">
      <c r="A254" s="61" t="n">
        <v>24746</v>
      </c>
      <c r="B254" s="68">
        <f>VLOOKUP(Table2[[#This Row],[Date]],Database!A:E,2,)</f>
        <v/>
      </c>
      <c r="C254" s="14">
        <f>(B254-B253)/B253</f>
        <v/>
      </c>
      <c r="D254" s="14">
        <f>(B254-B242)/B242</f>
        <v/>
      </c>
      <c r="E254" s="15">
        <f>VLOOKUP(Table2[[#This Row],[Date]],'Fed Fund New'!$A:$C,2,FALSE)</f>
        <v/>
      </c>
      <c r="F254" s="15">
        <f>VLOOKUP(Table2[[#This Row],[Date]],'Fed Fund New'!$A:$C,3,FALSE)</f>
        <v/>
      </c>
    </row>
    <row r="255">
      <c r="A255" s="61" t="n">
        <v>24777</v>
      </c>
      <c r="B255" s="68">
        <f>VLOOKUP(Table2[[#This Row],[Date]],Database!A:E,2,)</f>
        <v/>
      </c>
      <c r="C255" s="14">
        <f>(B255-B254)/B254</f>
        <v/>
      </c>
      <c r="D255" s="14">
        <f>(B255-B243)/B243</f>
        <v/>
      </c>
      <c r="E255" s="15">
        <f>VLOOKUP(Table2[[#This Row],[Date]],'Fed Fund New'!$A:$C,2,FALSE)</f>
        <v/>
      </c>
      <c r="F255" s="15">
        <f>VLOOKUP(Table2[[#This Row],[Date]],'Fed Fund New'!$A:$C,3,FALSE)</f>
        <v/>
      </c>
    </row>
    <row r="256">
      <c r="A256" s="61" t="n">
        <v>24807</v>
      </c>
      <c r="B256" s="68">
        <f>VLOOKUP(Table2[[#This Row],[Date]],Database!A:E,2,)</f>
        <v/>
      </c>
      <c r="C256" s="14">
        <f>(B256-B255)/B255</f>
        <v/>
      </c>
      <c r="D256" s="14">
        <f>(B256-B244)/B244</f>
        <v/>
      </c>
      <c r="E256" s="15">
        <f>VLOOKUP(Table2[[#This Row],[Date]],'Fed Fund New'!$A:$C,2,FALSE)</f>
        <v/>
      </c>
      <c r="F256" s="15">
        <f>VLOOKUP(Table2[[#This Row],[Date]],'Fed Fund New'!$A:$C,3,FALSE)</f>
        <v/>
      </c>
    </row>
    <row r="257">
      <c r="A257" s="61" t="n">
        <v>24838</v>
      </c>
      <c r="B257" s="68">
        <f>VLOOKUP(Table2[[#This Row],[Date]],Database!A:E,2,)</f>
        <v/>
      </c>
      <c r="C257" s="14">
        <f>(B257-B256)/B256</f>
        <v/>
      </c>
      <c r="D257" s="14">
        <f>(B257-B245)/B245</f>
        <v/>
      </c>
      <c r="E257" s="15">
        <f>VLOOKUP(Table2[[#This Row],[Date]],'Fed Fund New'!$A:$C,2,FALSE)</f>
        <v/>
      </c>
      <c r="F257" s="15">
        <f>VLOOKUP(Table2[[#This Row],[Date]],'Fed Fund New'!$A:$C,3,FALSE)</f>
        <v/>
      </c>
    </row>
    <row r="258">
      <c r="A258" s="61" t="n">
        <v>24869</v>
      </c>
      <c r="B258" s="68">
        <f>VLOOKUP(Table2[[#This Row],[Date]],Database!A:E,2,)</f>
        <v/>
      </c>
      <c r="C258" s="14">
        <f>(B258-B257)/B257</f>
        <v/>
      </c>
      <c r="D258" s="14">
        <f>(B258-B246)/B246</f>
        <v/>
      </c>
      <c r="E258" s="15">
        <f>VLOOKUP(Table2[[#This Row],[Date]],'Fed Fund New'!$A:$C,2,FALSE)</f>
        <v/>
      </c>
      <c r="F258" s="15">
        <f>VLOOKUP(Table2[[#This Row],[Date]],'Fed Fund New'!$A:$C,3,FALSE)</f>
        <v/>
      </c>
    </row>
    <row r="259">
      <c r="A259" s="61" t="n">
        <v>24898</v>
      </c>
      <c r="B259" s="68">
        <f>VLOOKUP(Table2[[#This Row],[Date]],Database!A:E,2,)</f>
        <v/>
      </c>
      <c r="C259" s="14">
        <f>(B259-B258)/B258</f>
        <v/>
      </c>
      <c r="D259" s="14">
        <f>(B259-B247)/B247</f>
        <v/>
      </c>
      <c r="E259" s="15">
        <f>VLOOKUP(Table2[[#This Row],[Date]],'Fed Fund New'!$A:$C,2,FALSE)</f>
        <v/>
      </c>
      <c r="F259" s="15">
        <f>VLOOKUP(Table2[[#This Row],[Date]],'Fed Fund New'!$A:$C,3,FALSE)</f>
        <v/>
      </c>
    </row>
    <row r="260">
      <c r="A260" s="61" t="n">
        <v>24929</v>
      </c>
      <c r="B260" s="68">
        <f>VLOOKUP(Table2[[#This Row],[Date]],Database!A:E,2,)</f>
        <v/>
      </c>
      <c r="C260" s="14">
        <f>(B260-B259)/B259</f>
        <v/>
      </c>
      <c r="D260" s="14">
        <f>(B260-B248)/B248</f>
        <v/>
      </c>
      <c r="E260" s="15">
        <f>VLOOKUP(Table2[[#This Row],[Date]],'Fed Fund New'!$A:$C,2,FALSE)</f>
        <v/>
      </c>
      <c r="F260" s="15">
        <f>VLOOKUP(Table2[[#This Row],[Date]],'Fed Fund New'!$A:$C,3,FALSE)</f>
        <v/>
      </c>
    </row>
    <row r="261">
      <c r="A261" s="61" t="n">
        <v>24959</v>
      </c>
      <c r="B261" s="68">
        <f>VLOOKUP(Table2[[#This Row],[Date]],Database!A:E,2,)</f>
        <v/>
      </c>
      <c r="C261" s="14">
        <f>(B261-B260)/B260</f>
        <v/>
      </c>
      <c r="D261" s="14">
        <f>(B261-B249)/B249</f>
        <v/>
      </c>
      <c r="E261" s="15">
        <f>VLOOKUP(Table2[[#This Row],[Date]],'Fed Fund New'!$A:$C,2,FALSE)</f>
        <v/>
      </c>
      <c r="F261" s="15">
        <f>VLOOKUP(Table2[[#This Row],[Date]],'Fed Fund New'!$A:$C,3,FALSE)</f>
        <v/>
      </c>
    </row>
    <row r="262">
      <c r="A262" s="61" t="n">
        <v>24990</v>
      </c>
      <c r="B262" s="68">
        <f>VLOOKUP(Table2[[#This Row],[Date]],Database!A:E,2,)</f>
        <v/>
      </c>
      <c r="C262" s="14">
        <f>(B262-B261)/B261</f>
        <v/>
      </c>
      <c r="D262" s="14">
        <f>(B262-B250)/B250</f>
        <v/>
      </c>
      <c r="E262" s="15">
        <f>VLOOKUP(Table2[[#This Row],[Date]],'Fed Fund New'!$A:$C,2,FALSE)</f>
        <v/>
      </c>
      <c r="F262" s="15">
        <f>VLOOKUP(Table2[[#This Row],[Date]],'Fed Fund New'!$A:$C,3,FALSE)</f>
        <v/>
      </c>
    </row>
    <row r="263">
      <c r="A263" s="61" t="n">
        <v>25020</v>
      </c>
      <c r="B263" s="68">
        <f>VLOOKUP(Table2[[#This Row],[Date]],Database!A:E,2,)</f>
        <v/>
      </c>
      <c r="C263" s="14">
        <f>(B263-B262)/B262</f>
        <v/>
      </c>
      <c r="D263" s="14">
        <f>(B263-B251)/B251</f>
        <v/>
      </c>
      <c r="E263" s="15">
        <f>VLOOKUP(Table2[[#This Row],[Date]],'Fed Fund New'!$A:$C,2,FALSE)</f>
        <v/>
      </c>
      <c r="F263" s="15">
        <f>VLOOKUP(Table2[[#This Row],[Date]],'Fed Fund New'!$A:$C,3,FALSE)</f>
        <v/>
      </c>
    </row>
    <row r="264">
      <c r="A264" s="61" t="n">
        <v>25051</v>
      </c>
      <c r="B264" s="68">
        <f>VLOOKUP(Table2[[#This Row],[Date]],Database!A:E,2,)</f>
        <v/>
      </c>
      <c r="C264" s="14">
        <f>(B264-B263)/B263</f>
        <v/>
      </c>
      <c r="D264" s="14">
        <f>(B264-B252)/B252</f>
        <v/>
      </c>
      <c r="E264" s="15">
        <f>VLOOKUP(Table2[[#This Row],[Date]],'Fed Fund New'!$A:$C,2,FALSE)</f>
        <v/>
      </c>
      <c r="F264" s="15">
        <f>VLOOKUP(Table2[[#This Row],[Date]],'Fed Fund New'!$A:$C,3,FALSE)</f>
        <v/>
      </c>
    </row>
    <row r="265">
      <c r="A265" s="61" t="n">
        <v>25082</v>
      </c>
      <c r="B265" s="68">
        <f>VLOOKUP(Table2[[#This Row],[Date]],Database!A:E,2,)</f>
        <v/>
      </c>
      <c r="C265" s="14">
        <f>(B265-B264)/B264</f>
        <v/>
      </c>
      <c r="D265" s="14">
        <f>(B265-B253)/B253</f>
        <v/>
      </c>
      <c r="E265" s="15">
        <f>VLOOKUP(Table2[[#This Row],[Date]],'Fed Fund New'!$A:$C,2,FALSE)</f>
        <v/>
      </c>
      <c r="F265" s="15">
        <f>VLOOKUP(Table2[[#This Row],[Date]],'Fed Fund New'!$A:$C,3,FALSE)</f>
        <v/>
      </c>
    </row>
    <row r="266">
      <c r="A266" s="61" t="n">
        <v>25112</v>
      </c>
      <c r="B266" s="68">
        <f>VLOOKUP(Table2[[#This Row],[Date]],Database!A:E,2,)</f>
        <v/>
      </c>
      <c r="C266" s="14">
        <f>(B266-B265)/B265</f>
        <v/>
      </c>
      <c r="D266" s="14">
        <f>(B266-B254)/B254</f>
        <v/>
      </c>
      <c r="E266" s="15">
        <f>VLOOKUP(Table2[[#This Row],[Date]],'Fed Fund New'!$A:$C,2,FALSE)</f>
        <v/>
      </c>
      <c r="F266" s="15">
        <f>VLOOKUP(Table2[[#This Row],[Date]],'Fed Fund New'!$A:$C,3,FALSE)</f>
        <v/>
      </c>
    </row>
    <row r="267">
      <c r="A267" s="61" t="n">
        <v>25143</v>
      </c>
      <c r="B267" s="68">
        <f>VLOOKUP(Table2[[#This Row],[Date]],Database!A:E,2,)</f>
        <v/>
      </c>
      <c r="C267" s="14">
        <f>(B267-B266)/B266</f>
        <v/>
      </c>
      <c r="D267" s="14">
        <f>(B267-B255)/B255</f>
        <v/>
      </c>
      <c r="E267" s="15">
        <f>VLOOKUP(Table2[[#This Row],[Date]],'Fed Fund New'!$A:$C,2,FALSE)</f>
        <v/>
      </c>
      <c r="F267" s="15">
        <f>VLOOKUP(Table2[[#This Row],[Date]],'Fed Fund New'!$A:$C,3,FALSE)</f>
        <v/>
      </c>
    </row>
    <row r="268">
      <c r="A268" s="61" t="n">
        <v>25173</v>
      </c>
      <c r="B268" s="68">
        <f>VLOOKUP(Table2[[#This Row],[Date]],Database!A:E,2,)</f>
        <v/>
      </c>
      <c r="C268" s="14">
        <f>(B268-B267)/B267</f>
        <v/>
      </c>
      <c r="D268" s="14">
        <f>(B268-B256)/B256</f>
        <v/>
      </c>
      <c r="E268" s="15">
        <f>VLOOKUP(Table2[[#This Row],[Date]],'Fed Fund New'!$A:$C,2,FALSE)</f>
        <v/>
      </c>
      <c r="F268" s="15">
        <f>VLOOKUP(Table2[[#This Row],[Date]],'Fed Fund New'!$A:$C,3,FALSE)</f>
        <v/>
      </c>
    </row>
    <row r="269">
      <c r="A269" s="61" t="n">
        <v>25204</v>
      </c>
      <c r="B269" s="68">
        <f>VLOOKUP(Table2[[#This Row],[Date]],Database!A:E,2,)</f>
        <v/>
      </c>
      <c r="C269" s="14">
        <f>(B269-B268)/B268</f>
        <v/>
      </c>
      <c r="D269" s="14">
        <f>(B269-B257)/B257</f>
        <v/>
      </c>
      <c r="E269" s="15">
        <f>VLOOKUP(Table2[[#This Row],[Date]],'Fed Fund New'!$A:$C,2,FALSE)</f>
        <v/>
      </c>
      <c r="F269" s="15">
        <f>VLOOKUP(Table2[[#This Row],[Date]],'Fed Fund New'!$A:$C,3,FALSE)</f>
        <v/>
      </c>
    </row>
    <row r="270">
      <c r="A270" s="61" t="n">
        <v>25235</v>
      </c>
      <c r="B270" s="68">
        <f>VLOOKUP(Table2[[#This Row],[Date]],Database!A:E,2,)</f>
        <v/>
      </c>
      <c r="C270" s="14">
        <f>(B270-B269)/B269</f>
        <v/>
      </c>
      <c r="D270" s="14">
        <f>(B270-B258)/B258</f>
        <v/>
      </c>
      <c r="E270" s="15">
        <f>VLOOKUP(Table2[[#This Row],[Date]],'Fed Fund New'!$A:$C,2,FALSE)</f>
        <v/>
      </c>
      <c r="F270" s="15">
        <f>VLOOKUP(Table2[[#This Row],[Date]],'Fed Fund New'!$A:$C,3,FALSE)</f>
        <v/>
      </c>
    </row>
    <row r="271">
      <c r="A271" s="61" t="n">
        <v>25263</v>
      </c>
      <c r="B271" s="68">
        <f>VLOOKUP(Table2[[#This Row],[Date]],Database!A:E,2,)</f>
        <v/>
      </c>
      <c r="C271" s="14">
        <f>(B271-B270)/B270</f>
        <v/>
      </c>
      <c r="D271" s="14">
        <f>(B271-B259)/B259</f>
        <v/>
      </c>
      <c r="E271" s="15">
        <f>VLOOKUP(Table2[[#This Row],[Date]],'Fed Fund New'!$A:$C,2,FALSE)</f>
        <v/>
      </c>
      <c r="F271" s="15">
        <f>VLOOKUP(Table2[[#This Row],[Date]],'Fed Fund New'!$A:$C,3,FALSE)</f>
        <v/>
      </c>
    </row>
    <row r="272">
      <c r="A272" s="61" t="n">
        <v>25294</v>
      </c>
      <c r="B272" s="68">
        <f>VLOOKUP(Table2[[#This Row],[Date]],Database!A:E,2,)</f>
        <v/>
      </c>
      <c r="C272" s="14">
        <f>(B272-B271)/B271</f>
        <v/>
      </c>
      <c r="D272" s="14">
        <f>(B272-B260)/B260</f>
        <v/>
      </c>
      <c r="E272" s="15">
        <f>VLOOKUP(Table2[[#This Row],[Date]],'Fed Fund New'!$A:$C,2,FALSE)</f>
        <v/>
      </c>
      <c r="F272" s="15">
        <f>VLOOKUP(Table2[[#This Row],[Date]],'Fed Fund New'!$A:$C,3,FALSE)</f>
        <v/>
      </c>
    </row>
    <row r="273">
      <c r="A273" s="61" t="n">
        <v>25324</v>
      </c>
      <c r="B273" s="68">
        <f>VLOOKUP(Table2[[#This Row],[Date]],Database!A:E,2,)</f>
        <v/>
      </c>
      <c r="C273" s="14">
        <f>(B273-B272)/B272</f>
        <v/>
      </c>
      <c r="D273" s="14">
        <f>(B273-B261)/B261</f>
        <v/>
      </c>
      <c r="E273" s="15">
        <f>VLOOKUP(Table2[[#This Row],[Date]],'Fed Fund New'!$A:$C,2,FALSE)</f>
        <v/>
      </c>
      <c r="F273" s="15">
        <f>VLOOKUP(Table2[[#This Row],[Date]],'Fed Fund New'!$A:$C,3,FALSE)</f>
        <v/>
      </c>
    </row>
    <row r="274">
      <c r="A274" s="61" t="n">
        <v>25355</v>
      </c>
      <c r="B274" s="68">
        <f>VLOOKUP(Table2[[#This Row],[Date]],Database!A:E,2,)</f>
        <v/>
      </c>
      <c r="C274" s="14">
        <f>(B274-B273)/B273</f>
        <v/>
      </c>
      <c r="D274" s="14">
        <f>(B274-B262)/B262</f>
        <v/>
      </c>
      <c r="E274" s="15">
        <f>VLOOKUP(Table2[[#This Row],[Date]],'Fed Fund New'!$A:$C,2,FALSE)</f>
        <v/>
      </c>
      <c r="F274" s="15">
        <f>VLOOKUP(Table2[[#This Row],[Date]],'Fed Fund New'!$A:$C,3,FALSE)</f>
        <v/>
      </c>
    </row>
    <row r="275">
      <c r="A275" s="61" t="n">
        <v>25385</v>
      </c>
      <c r="B275" s="68">
        <f>VLOOKUP(Table2[[#This Row],[Date]],Database!A:E,2,)</f>
        <v/>
      </c>
      <c r="C275" s="14">
        <f>(B275-B274)/B274</f>
        <v/>
      </c>
      <c r="D275" s="14">
        <f>(B275-B263)/B263</f>
        <v/>
      </c>
      <c r="E275" s="15">
        <f>VLOOKUP(Table2[[#This Row],[Date]],'Fed Fund New'!$A:$C,2,FALSE)</f>
        <v/>
      </c>
      <c r="F275" s="15">
        <f>VLOOKUP(Table2[[#This Row],[Date]],'Fed Fund New'!$A:$C,3,FALSE)</f>
        <v/>
      </c>
    </row>
    <row r="276">
      <c r="A276" s="61" t="n">
        <v>25416</v>
      </c>
      <c r="B276" s="68">
        <f>VLOOKUP(Table2[[#This Row],[Date]],Database!A:E,2,)</f>
        <v/>
      </c>
      <c r="C276" s="14">
        <f>(B276-B275)/B275</f>
        <v/>
      </c>
      <c r="D276" s="14">
        <f>(B276-B264)/B264</f>
        <v/>
      </c>
      <c r="E276" s="15">
        <f>VLOOKUP(Table2[[#This Row],[Date]],'Fed Fund New'!$A:$C,2,FALSE)</f>
        <v/>
      </c>
      <c r="F276" s="15">
        <f>VLOOKUP(Table2[[#This Row],[Date]],'Fed Fund New'!$A:$C,3,FALSE)</f>
        <v/>
      </c>
    </row>
    <row r="277">
      <c r="A277" s="61" t="n">
        <v>25447</v>
      </c>
      <c r="B277" s="68">
        <f>VLOOKUP(Table2[[#This Row],[Date]],Database!A:E,2,)</f>
        <v/>
      </c>
      <c r="C277" s="14">
        <f>(B277-B276)/B276</f>
        <v/>
      </c>
      <c r="D277" s="14">
        <f>(B277-B265)/B265</f>
        <v/>
      </c>
      <c r="E277" s="15">
        <f>VLOOKUP(Table2[[#This Row],[Date]],'Fed Fund New'!$A:$C,2,FALSE)</f>
        <v/>
      </c>
      <c r="F277" s="15">
        <f>VLOOKUP(Table2[[#This Row],[Date]],'Fed Fund New'!$A:$C,3,FALSE)</f>
        <v/>
      </c>
    </row>
    <row r="278">
      <c r="A278" s="61" t="n">
        <v>25477</v>
      </c>
      <c r="B278" s="68">
        <f>VLOOKUP(Table2[[#This Row],[Date]],Database!A:E,2,)</f>
        <v/>
      </c>
      <c r="C278" s="14">
        <f>(B278-B277)/B277</f>
        <v/>
      </c>
      <c r="D278" s="14">
        <f>(B278-B266)/B266</f>
        <v/>
      </c>
      <c r="E278" s="15">
        <f>VLOOKUP(Table2[[#This Row],[Date]],'Fed Fund New'!$A:$C,2,FALSE)</f>
        <v/>
      </c>
      <c r="F278" s="15">
        <f>VLOOKUP(Table2[[#This Row],[Date]],'Fed Fund New'!$A:$C,3,FALSE)</f>
        <v/>
      </c>
    </row>
    <row r="279">
      <c r="A279" s="61" t="n">
        <v>25508</v>
      </c>
      <c r="B279" s="68">
        <f>VLOOKUP(Table2[[#This Row],[Date]],Database!A:E,2,)</f>
        <v/>
      </c>
      <c r="C279" s="14">
        <f>(B279-B278)/B278</f>
        <v/>
      </c>
      <c r="D279" s="14">
        <f>(B279-B267)/B267</f>
        <v/>
      </c>
      <c r="E279" s="15">
        <f>VLOOKUP(Table2[[#This Row],[Date]],'Fed Fund New'!$A:$C,2,FALSE)</f>
        <v/>
      </c>
      <c r="F279" s="15">
        <f>VLOOKUP(Table2[[#This Row],[Date]],'Fed Fund New'!$A:$C,3,FALSE)</f>
        <v/>
      </c>
    </row>
    <row r="280">
      <c r="A280" s="61" t="n">
        <v>25538</v>
      </c>
      <c r="B280" s="68">
        <f>VLOOKUP(Table2[[#This Row],[Date]],Database!A:E,2,)</f>
        <v/>
      </c>
      <c r="C280" s="14">
        <f>(B280-B279)/B279</f>
        <v/>
      </c>
      <c r="D280" s="14">
        <f>(B280-B268)/B268</f>
        <v/>
      </c>
      <c r="E280" s="15">
        <f>VLOOKUP(Table2[[#This Row],[Date]],'Fed Fund New'!$A:$C,2,FALSE)</f>
        <v/>
      </c>
      <c r="F280" s="15">
        <f>VLOOKUP(Table2[[#This Row],[Date]],'Fed Fund New'!$A:$C,3,FALSE)</f>
        <v/>
      </c>
    </row>
    <row r="281">
      <c r="A281" s="61" t="n">
        <v>25569</v>
      </c>
      <c r="B281" s="68">
        <f>VLOOKUP(Table2[[#This Row],[Date]],Database!A:E,2,)</f>
        <v/>
      </c>
      <c r="C281" s="14">
        <f>(B281-B280)/B280</f>
        <v/>
      </c>
      <c r="D281" s="14">
        <f>(B281-B269)/B269</f>
        <v/>
      </c>
      <c r="E281" s="15">
        <f>VLOOKUP(Table2[[#This Row],[Date]],'Fed Fund New'!$A:$C,2,FALSE)</f>
        <v/>
      </c>
      <c r="F281" s="15">
        <f>VLOOKUP(Table2[[#This Row],[Date]],'Fed Fund New'!$A:$C,3,FALSE)</f>
        <v/>
      </c>
    </row>
    <row r="282">
      <c r="A282" s="61" t="n">
        <v>25600</v>
      </c>
      <c r="B282" s="68">
        <f>VLOOKUP(Table2[[#This Row],[Date]],Database!A:E,2,)</f>
        <v/>
      </c>
      <c r="C282" s="14">
        <f>(B282-B281)/B281</f>
        <v/>
      </c>
      <c r="D282" s="14">
        <f>(B282-B270)/B270</f>
        <v/>
      </c>
      <c r="E282" s="15">
        <f>VLOOKUP(Table2[[#This Row],[Date]],'Fed Fund New'!$A:$C,2,FALSE)</f>
        <v/>
      </c>
      <c r="F282" s="15">
        <f>VLOOKUP(Table2[[#This Row],[Date]],'Fed Fund New'!$A:$C,3,FALSE)</f>
        <v/>
      </c>
    </row>
    <row r="283">
      <c r="A283" s="61" t="n">
        <v>25628</v>
      </c>
      <c r="B283" s="68">
        <f>VLOOKUP(Table2[[#This Row],[Date]],Database!A:E,2,)</f>
        <v/>
      </c>
      <c r="C283" s="14">
        <f>(B283-B282)/B282</f>
        <v/>
      </c>
      <c r="D283" s="14">
        <f>(B283-B271)/B271</f>
        <v/>
      </c>
      <c r="E283" s="15">
        <f>VLOOKUP(Table2[[#This Row],[Date]],'Fed Fund New'!$A:$C,2,FALSE)</f>
        <v/>
      </c>
      <c r="F283" s="15">
        <f>VLOOKUP(Table2[[#This Row],[Date]],'Fed Fund New'!$A:$C,3,FALSE)</f>
        <v/>
      </c>
    </row>
    <row r="284">
      <c r="A284" s="61" t="n">
        <v>25659</v>
      </c>
      <c r="B284" s="68">
        <f>VLOOKUP(Table2[[#This Row],[Date]],Database!A:E,2,)</f>
        <v/>
      </c>
      <c r="C284" s="14">
        <f>(B284-B283)/B283</f>
        <v/>
      </c>
      <c r="D284" s="14">
        <f>(B284-B272)/B272</f>
        <v/>
      </c>
      <c r="E284" s="15">
        <f>VLOOKUP(Table2[[#This Row],[Date]],'Fed Fund New'!$A:$C,2,FALSE)</f>
        <v/>
      </c>
      <c r="F284" s="15">
        <f>VLOOKUP(Table2[[#This Row],[Date]],'Fed Fund New'!$A:$C,3,FALSE)</f>
        <v/>
      </c>
    </row>
    <row r="285">
      <c r="A285" s="61" t="n">
        <v>25689</v>
      </c>
      <c r="B285" s="68">
        <f>VLOOKUP(Table2[[#This Row],[Date]],Database!A:E,2,)</f>
        <v/>
      </c>
      <c r="C285" s="14">
        <f>(B285-B284)/B284</f>
        <v/>
      </c>
      <c r="D285" s="14">
        <f>(B285-B273)/B273</f>
        <v/>
      </c>
      <c r="E285" s="15">
        <f>VLOOKUP(Table2[[#This Row],[Date]],'Fed Fund New'!$A:$C,2,FALSE)</f>
        <v/>
      </c>
      <c r="F285" s="15">
        <f>VLOOKUP(Table2[[#This Row],[Date]],'Fed Fund New'!$A:$C,3,FALSE)</f>
        <v/>
      </c>
    </row>
    <row r="286">
      <c r="A286" s="61" t="n">
        <v>25720</v>
      </c>
      <c r="B286" s="68">
        <f>VLOOKUP(Table2[[#This Row],[Date]],Database!A:E,2,)</f>
        <v/>
      </c>
      <c r="C286" s="14">
        <f>(B286-B285)/B285</f>
        <v/>
      </c>
      <c r="D286" s="14">
        <f>(B286-B274)/B274</f>
        <v/>
      </c>
      <c r="E286" s="15">
        <f>VLOOKUP(Table2[[#This Row],[Date]],'Fed Fund New'!$A:$C,2,FALSE)</f>
        <v/>
      </c>
      <c r="F286" s="15">
        <f>VLOOKUP(Table2[[#This Row],[Date]],'Fed Fund New'!$A:$C,3,FALSE)</f>
        <v/>
      </c>
    </row>
    <row r="287">
      <c r="A287" s="61" t="n">
        <v>25750</v>
      </c>
      <c r="B287" s="68">
        <f>VLOOKUP(Table2[[#This Row],[Date]],Database!A:E,2,)</f>
        <v/>
      </c>
      <c r="C287" s="14">
        <f>(B287-B286)/B286</f>
        <v/>
      </c>
      <c r="D287" s="14">
        <f>(B287-B275)/B275</f>
        <v/>
      </c>
      <c r="E287" s="15">
        <f>VLOOKUP(Table2[[#This Row],[Date]],'Fed Fund New'!$A:$C,2,FALSE)</f>
        <v/>
      </c>
      <c r="F287" s="15">
        <f>VLOOKUP(Table2[[#This Row],[Date]],'Fed Fund New'!$A:$C,3,FALSE)</f>
        <v/>
      </c>
    </row>
    <row r="288">
      <c r="A288" s="61" t="n">
        <v>25781</v>
      </c>
      <c r="B288" s="68">
        <f>VLOOKUP(Table2[[#This Row],[Date]],Database!A:E,2,)</f>
        <v/>
      </c>
      <c r="C288" s="14">
        <f>(B288-B287)/B287</f>
        <v/>
      </c>
      <c r="D288" s="14">
        <f>(B288-B276)/B276</f>
        <v/>
      </c>
      <c r="E288" s="15">
        <f>VLOOKUP(Table2[[#This Row],[Date]],'Fed Fund New'!$A:$C,2,FALSE)</f>
        <v/>
      </c>
      <c r="F288" s="15">
        <f>VLOOKUP(Table2[[#This Row],[Date]],'Fed Fund New'!$A:$C,3,FALSE)</f>
        <v/>
      </c>
    </row>
    <row r="289">
      <c r="A289" s="61" t="n">
        <v>25812</v>
      </c>
      <c r="B289" s="68">
        <f>VLOOKUP(Table2[[#This Row],[Date]],Database!A:E,2,)</f>
        <v/>
      </c>
      <c r="C289" s="14">
        <f>(B289-B288)/B288</f>
        <v/>
      </c>
      <c r="D289" s="14">
        <f>(B289-B277)/B277</f>
        <v/>
      </c>
      <c r="E289" s="15">
        <f>VLOOKUP(Table2[[#This Row],[Date]],'Fed Fund New'!$A:$C,2,FALSE)</f>
        <v/>
      </c>
      <c r="F289" s="15">
        <f>VLOOKUP(Table2[[#This Row],[Date]],'Fed Fund New'!$A:$C,3,FALSE)</f>
        <v/>
      </c>
    </row>
    <row r="290">
      <c r="A290" s="61" t="n">
        <v>25842</v>
      </c>
      <c r="B290" s="68">
        <f>VLOOKUP(Table2[[#This Row],[Date]],Database!A:E,2,)</f>
        <v/>
      </c>
      <c r="C290" s="14">
        <f>(B290-B289)/B289</f>
        <v/>
      </c>
      <c r="D290" s="14">
        <f>(B290-B278)/B278</f>
        <v/>
      </c>
      <c r="E290" s="15">
        <f>VLOOKUP(Table2[[#This Row],[Date]],'Fed Fund New'!$A:$C,2,FALSE)</f>
        <v/>
      </c>
      <c r="F290" s="15">
        <f>VLOOKUP(Table2[[#This Row],[Date]],'Fed Fund New'!$A:$C,3,FALSE)</f>
        <v/>
      </c>
    </row>
    <row r="291">
      <c r="A291" s="61" t="n">
        <v>25873</v>
      </c>
      <c r="B291" s="68">
        <f>VLOOKUP(Table2[[#This Row],[Date]],Database!A:E,2,)</f>
        <v/>
      </c>
      <c r="C291" s="14">
        <f>(B291-B290)/B290</f>
        <v/>
      </c>
      <c r="D291" s="14">
        <f>(B291-B279)/B279</f>
        <v/>
      </c>
      <c r="E291" s="15">
        <f>VLOOKUP(Table2[[#This Row],[Date]],'Fed Fund New'!$A:$C,2,FALSE)</f>
        <v/>
      </c>
      <c r="F291" s="15">
        <f>VLOOKUP(Table2[[#This Row],[Date]],'Fed Fund New'!$A:$C,3,FALSE)</f>
        <v/>
      </c>
    </row>
    <row r="292">
      <c r="A292" s="61" t="n">
        <v>25903</v>
      </c>
      <c r="B292" s="68">
        <f>VLOOKUP(Table2[[#This Row],[Date]],Database!A:E,2,)</f>
        <v/>
      </c>
      <c r="C292" s="14">
        <f>(B292-B291)/B291</f>
        <v/>
      </c>
      <c r="D292" s="14">
        <f>(B292-B280)/B280</f>
        <v/>
      </c>
      <c r="E292" s="15">
        <f>VLOOKUP(Table2[[#This Row],[Date]],'Fed Fund New'!$A:$C,2,FALSE)</f>
        <v/>
      </c>
      <c r="F292" s="15">
        <f>VLOOKUP(Table2[[#This Row],[Date]],'Fed Fund New'!$A:$C,3,FALSE)</f>
        <v/>
      </c>
    </row>
    <row r="293">
      <c r="A293" s="61" t="n">
        <v>25934</v>
      </c>
      <c r="B293" s="68">
        <f>VLOOKUP(Table2[[#This Row],[Date]],Database!A:E,2,)</f>
        <v/>
      </c>
      <c r="C293" s="14">
        <f>(B293-B292)/B292</f>
        <v/>
      </c>
      <c r="D293" s="14">
        <f>(B293-B281)/B281</f>
        <v/>
      </c>
      <c r="E293" s="15">
        <f>VLOOKUP(Table2[[#This Row],[Date]],'Fed Fund New'!$A:$C,2,FALSE)</f>
        <v/>
      </c>
      <c r="F293" s="15">
        <f>VLOOKUP(Table2[[#This Row],[Date]],'Fed Fund New'!$A:$C,3,FALSE)</f>
        <v/>
      </c>
    </row>
    <row r="294">
      <c r="A294" s="61" t="n">
        <v>25965</v>
      </c>
      <c r="B294" s="68">
        <f>VLOOKUP(Table2[[#This Row],[Date]],Database!A:E,2,)</f>
        <v/>
      </c>
      <c r="C294" s="14">
        <f>(B294-B293)/B293</f>
        <v/>
      </c>
      <c r="D294" s="14">
        <f>(B294-B282)/B282</f>
        <v/>
      </c>
      <c r="E294" s="15">
        <f>VLOOKUP(Table2[[#This Row],[Date]],'Fed Fund New'!$A:$C,2,FALSE)</f>
        <v/>
      </c>
      <c r="F294" s="15">
        <f>VLOOKUP(Table2[[#This Row],[Date]],'Fed Fund New'!$A:$C,3,FALSE)</f>
        <v/>
      </c>
    </row>
    <row r="295">
      <c r="A295" s="61" t="n">
        <v>25993</v>
      </c>
      <c r="B295" s="68">
        <f>VLOOKUP(Table2[[#This Row],[Date]],Database!A:E,2,)</f>
        <v/>
      </c>
      <c r="C295" s="14">
        <f>(B295-B294)/B294</f>
        <v/>
      </c>
      <c r="D295" s="14">
        <f>(B295-B283)/B283</f>
        <v/>
      </c>
      <c r="E295" s="15">
        <f>VLOOKUP(Table2[[#This Row],[Date]],'Fed Fund New'!$A:$C,2,FALSE)</f>
        <v/>
      </c>
      <c r="F295" s="15">
        <f>VLOOKUP(Table2[[#This Row],[Date]],'Fed Fund New'!$A:$C,3,FALSE)</f>
        <v/>
      </c>
    </row>
    <row r="296">
      <c r="A296" s="61" t="n">
        <v>26024</v>
      </c>
      <c r="B296" s="68">
        <f>VLOOKUP(Table2[[#This Row],[Date]],Database!A:E,2,)</f>
        <v/>
      </c>
      <c r="C296" s="14">
        <f>(B296-B295)/B295</f>
        <v/>
      </c>
      <c r="D296" s="14">
        <f>(B296-B284)/B284</f>
        <v/>
      </c>
      <c r="E296" s="15">
        <f>VLOOKUP(Table2[[#This Row],[Date]],'Fed Fund New'!$A:$C,2,FALSE)</f>
        <v/>
      </c>
      <c r="F296" s="15">
        <f>VLOOKUP(Table2[[#This Row],[Date]],'Fed Fund New'!$A:$C,3,FALSE)</f>
        <v/>
      </c>
    </row>
    <row r="297">
      <c r="A297" s="61" t="n">
        <v>26054</v>
      </c>
      <c r="B297" s="68">
        <f>VLOOKUP(Table2[[#This Row],[Date]],Database!A:E,2,)</f>
        <v/>
      </c>
      <c r="C297" s="14">
        <f>(B297-B296)/B296</f>
        <v/>
      </c>
      <c r="D297" s="14">
        <f>(B297-B285)/B285</f>
        <v/>
      </c>
      <c r="E297" s="15">
        <f>VLOOKUP(Table2[[#This Row],[Date]],'Fed Fund New'!$A:$C,2,FALSE)</f>
        <v/>
      </c>
      <c r="F297" s="15">
        <f>VLOOKUP(Table2[[#This Row],[Date]],'Fed Fund New'!$A:$C,3,FALSE)</f>
        <v/>
      </c>
    </row>
    <row r="298">
      <c r="A298" s="61" t="n">
        <v>26085</v>
      </c>
      <c r="B298" s="68">
        <f>VLOOKUP(Table2[[#This Row],[Date]],Database!A:E,2,)</f>
        <v/>
      </c>
      <c r="C298" s="14">
        <f>(B298-B297)/B297</f>
        <v/>
      </c>
      <c r="D298" s="14">
        <f>(B298-B286)/B286</f>
        <v/>
      </c>
      <c r="E298" s="15">
        <f>VLOOKUP(Table2[[#This Row],[Date]],'Fed Fund New'!$A:$C,2,FALSE)</f>
        <v/>
      </c>
      <c r="F298" s="15">
        <f>VLOOKUP(Table2[[#This Row],[Date]],'Fed Fund New'!$A:$C,3,FALSE)</f>
        <v/>
      </c>
    </row>
    <row r="299">
      <c r="A299" s="61" t="n">
        <v>26115</v>
      </c>
      <c r="B299" s="68">
        <f>VLOOKUP(Table2[[#This Row],[Date]],Database!A:E,2,)</f>
        <v/>
      </c>
      <c r="C299" s="14">
        <f>(B299-B298)/B298</f>
        <v/>
      </c>
      <c r="D299" s="14">
        <f>(B299-B287)/B287</f>
        <v/>
      </c>
      <c r="E299" s="15">
        <f>VLOOKUP(Table2[[#This Row],[Date]],'Fed Fund New'!$A:$C,2,FALSE)</f>
        <v/>
      </c>
      <c r="F299" s="15">
        <f>VLOOKUP(Table2[[#This Row],[Date]],'Fed Fund New'!$A:$C,3,FALSE)</f>
        <v/>
      </c>
    </row>
    <row r="300">
      <c r="A300" s="61" t="n">
        <v>26146</v>
      </c>
      <c r="B300" s="68">
        <f>VLOOKUP(Table2[[#This Row],[Date]],Database!A:E,2,)</f>
        <v/>
      </c>
      <c r="C300" s="14">
        <f>(B300-B299)/B299</f>
        <v/>
      </c>
      <c r="D300" s="14">
        <f>(B300-B288)/B288</f>
        <v/>
      </c>
      <c r="E300" s="15">
        <f>VLOOKUP(Table2[[#This Row],[Date]],'Fed Fund New'!$A:$C,2,FALSE)</f>
        <v/>
      </c>
      <c r="F300" s="15">
        <f>VLOOKUP(Table2[[#This Row],[Date]],'Fed Fund New'!$A:$C,3,FALSE)</f>
        <v/>
      </c>
    </row>
    <row r="301">
      <c r="A301" s="61" t="n">
        <v>26177</v>
      </c>
      <c r="B301" s="68">
        <f>VLOOKUP(Table2[[#This Row],[Date]],Database!A:E,2,)</f>
        <v/>
      </c>
      <c r="C301" s="14">
        <f>(B301-B300)/B300</f>
        <v/>
      </c>
      <c r="D301" s="14">
        <f>(B301-B289)/B289</f>
        <v/>
      </c>
      <c r="E301" s="15">
        <f>VLOOKUP(Table2[[#This Row],[Date]],'Fed Fund New'!$A:$C,2,FALSE)</f>
        <v/>
      </c>
      <c r="F301" s="15">
        <f>VLOOKUP(Table2[[#This Row],[Date]],'Fed Fund New'!$A:$C,3,FALSE)</f>
        <v/>
      </c>
    </row>
    <row r="302">
      <c r="A302" s="61" t="n">
        <v>26207</v>
      </c>
      <c r="B302" s="68">
        <f>VLOOKUP(Table2[[#This Row],[Date]],Database!A:E,2,)</f>
        <v/>
      </c>
      <c r="C302" s="14">
        <f>(B302-B301)/B301</f>
        <v/>
      </c>
      <c r="D302" s="14">
        <f>(B302-B290)/B290</f>
        <v/>
      </c>
      <c r="E302" s="15">
        <f>VLOOKUP(Table2[[#This Row],[Date]],'Fed Fund New'!$A:$C,2,FALSE)</f>
        <v/>
      </c>
      <c r="F302" s="15">
        <f>VLOOKUP(Table2[[#This Row],[Date]],'Fed Fund New'!$A:$C,3,FALSE)</f>
        <v/>
      </c>
    </row>
    <row r="303">
      <c r="A303" s="61" t="n">
        <v>26238</v>
      </c>
      <c r="B303" s="68">
        <f>VLOOKUP(Table2[[#This Row],[Date]],Database!A:E,2,)</f>
        <v/>
      </c>
      <c r="C303" s="14">
        <f>(B303-B302)/B302</f>
        <v/>
      </c>
      <c r="D303" s="14">
        <f>(B303-B291)/B291</f>
        <v/>
      </c>
      <c r="E303" s="15">
        <f>VLOOKUP(Table2[[#This Row],[Date]],'Fed Fund New'!$A:$C,2,FALSE)</f>
        <v/>
      </c>
      <c r="F303" s="15">
        <f>VLOOKUP(Table2[[#This Row],[Date]],'Fed Fund New'!$A:$C,3,FALSE)</f>
        <v/>
      </c>
    </row>
    <row r="304">
      <c r="A304" s="61" t="n">
        <v>26268</v>
      </c>
      <c r="B304" s="68">
        <f>VLOOKUP(Table2[[#This Row],[Date]],Database!A:E,2,)</f>
        <v/>
      </c>
      <c r="C304" s="14">
        <f>(B304-B303)/B303</f>
        <v/>
      </c>
      <c r="D304" s="14">
        <f>(B304-B292)/B292</f>
        <v/>
      </c>
      <c r="E304" s="15">
        <f>VLOOKUP(Table2[[#This Row],[Date]],'Fed Fund New'!$A:$C,2,FALSE)</f>
        <v/>
      </c>
      <c r="F304" s="15">
        <f>VLOOKUP(Table2[[#This Row],[Date]],'Fed Fund New'!$A:$C,3,FALSE)</f>
        <v/>
      </c>
    </row>
    <row r="305">
      <c r="A305" s="61" t="n">
        <v>26299</v>
      </c>
      <c r="B305" s="68">
        <f>VLOOKUP(Table2[[#This Row],[Date]],Database!A:E,2,)</f>
        <v/>
      </c>
      <c r="C305" s="14">
        <f>(B305-B304)/B304</f>
        <v/>
      </c>
      <c r="D305" s="14">
        <f>(B305-B293)/B293</f>
        <v/>
      </c>
      <c r="E305" s="15">
        <f>VLOOKUP(Table2[[#This Row],[Date]],'Fed Fund New'!$A:$C,2,FALSE)</f>
        <v/>
      </c>
      <c r="F305" s="15">
        <f>VLOOKUP(Table2[[#This Row],[Date]],'Fed Fund New'!$A:$C,3,FALSE)</f>
        <v/>
      </c>
    </row>
    <row r="306">
      <c r="A306" s="61" t="n">
        <v>26330</v>
      </c>
      <c r="B306" s="68">
        <f>VLOOKUP(Table2[[#This Row],[Date]],Database!A:E,2,)</f>
        <v/>
      </c>
      <c r="C306" s="14">
        <f>(B306-B305)/B305</f>
        <v/>
      </c>
      <c r="D306" s="14">
        <f>(B306-B294)/B294</f>
        <v/>
      </c>
      <c r="E306" s="15">
        <f>VLOOKUP(Table2[[#This Row],[Date]],'Fed Fund New'!$A:$C,2,FALSE)</f>
        <v/>
      </c>
      <c r="F306" s="15">
        <f>VLOOKUP(Table2[[#This Row],[Date]],'Fed Fund New'!$A:$C,3,FALSE)</f>
        <v/>
      </c>
    </row>
    <row r="307">
      <c r="A307" s="61" t="n">
        <v>26359</v>
      </c>
      <c r="B307" s="68">
        <f>VLOOKUP(Table2[[#This Row],[Date]],Database!A:E,2,)</f>
        <v/>
      </c>
      <c r="C307" s="14">
        <f>(B307-B306)/B306</f>
        <v/>
      </c>
      <c r="D307" s="14">
        <f>(B307-B295)/B295</f>
        <v/>
      </c>
      <c r="E307" s="15">
        <f>VLOOKUP(Table2[[#This Row],[Date]],'Fed Fund New'!$A:$C,2,FALSE)</f>
        <v/>
      </c>
      <c r="F307" s="15">
        <f>VLOOKUP(Table2[[#This Row],[Date]],'Fed Fund New'!$A:$C,3,FALSE)</f>
        <v/>
      </c>
    </row>
    <row r="308">
      <c r="A308" s="61" t="n">
        <v>26390</v>
      </c>
      <c r="B308" s="68">
        <f>VLOOKUP(Table2[[#This Row],[Date]],Database!A:E,2,)</f>
        <v/>
      </c>
      <c r="C308" s="14">
        <f>(B308-B307)/B307</f>
        <v/>
      </c>
      <c r="D308" s="14">
        <f>(B308-B296)/B296</f>
        <v/>
      </c>
      <c r="E308" s="15">
        <f>VLOOKUP(Table2[[#This Row],[Date]],'Fed Fund New'!$A:$C,2,FALSE)</f>
        <v/>
      </c>
      <c r="F308" s="15">
        <f>VLOOKUP(Table2[[#This Row],[Date]],'Fed Fund New'!$A:$C,3,FALSE)</f>
        <v/>
      </c>
    </row>
    <row r="309">
      <c r="A309" s="61" t="n">
        <v>26420</v>
      </c>
      <c r="B309" s="68">
        <f>VLOOKUP(Table2[[#This Row],[Date]],Database!A:E,2,)</f>
        <v/>
      </c>
      <c r="C309" s="14">
        <f>(B309-B308)/B308</f>
        <v/>
      </c>
      <c r="D309" s="14">
        <f>(B309-B297)/B297</f>
        <v/>
      </c>
      <c r="E309" s="15">
        <f>VLOOKUP(Table2[[#This Row],[Date]],'Fed Fund New'!$A:$C,2,FALSE)</f>
        <v/>
      </c>
      <c r="F309" s="15">
        <f>VLOOKUP(Table2[[#This Row],[Date]],'Fed Fund New'!$A:$C,3,FALSE)</f>
        <v/>
      </c>
    </row>
    <row r="310">
      <c r="A310" s="61" t="n">
        <v>26451</v>
      </c>
      <c r="B310" s="68">
        <f>VLOOKUP(Table2[[#This Row],[Date]],Database!A:E,2,)</f>
        <v/>
      </c>
      <c r="C310" s="14">
        <f>(B310-B309)/B309</f>
        <v/>
      </c>
      <c r="D310" s="14">
        <f>(B310-B298)/B298</f>
        <v/>
      </c>
      <c r="E310" s="15">
        <f>VLOOKUP(Table2[[#This Row],[Date]],'Fed Fund New'!$A:$C,2,FALSE)</f>
        <v/>
      </c>
      <c r="F310" s="15">
        <f>VLOOKUP(Table2[[#This Row],[Date]],'Fed Fund New'!$A:$C,3,FALSE)</f>
        <v/>
      </c>
    </row>
    <row r="311">
      <c r="A311" s="61" t="n">
        <v>26481</v>
      </c>
      <c r="B311" s="68">
        <f>VLOOKUP(Table2[[#This Row],[Date]],Database!A:E,2,)</f>
        <v/>
      </c>
      <c r="C311" s="14">
        <f>(B311-B310)/B310</f>
        <v/>
      </c>
      <c r="D311" s="14">
        <f>(B311-B299)/B299</f>
        <v/>
      </c>
      <c r="E311" s="15">
        <f>VLOOKUP(Table2[[#This Row],[Date]],'Fed Fund New'!$A:$C,2,FALSE)</f>
        <v/>
      </c>
      <c r="F311" s="15">
        <f>VLOOKUP(Table2[[#This Row],[Date]],'Fed Fund New'!$A:$C,3,FALSE)</f>
        <v/>
      </c>
    </row>
    <row r="312">
      <c r="A312" s="61" t="n">
        <v>26512</v>
      </c>
      <c r="B312" s="68">
        <f>VLOOKUP(Table2[[#This Row],[Date]],Database!A:E,2,)</f>
        <v/>
      </c>
      <c r="C312" s="14">
        <f>(B312-B311)/B311</f>
        <v/>
      </c>
      <c r="D312" s="14">
        <f>(B312-B300)/B300</f>
        <v/>
      </c>
      <c r="E312" s="15">
        <f>VLOOKUP(Table2[[#This Row],[Date]],'Fed Fund New'!$A:$C,2,FALSE)</f>
        <v/>
      </c>
      <c r="F312" s="15">
        <f>VLOOKUP(Table2[[#This Row],[Date]],'Fed Fund New'!$A:$C,3,FALSE)</f>
        <v/>
      </c>
    </row>
    <row r="313">
      <c r="A313" s="61" t="n">
        <v>26543</v>
      </c>
      <c r="B313" s="68">
        <f>VLOOKUP(Table2[[#This Row],[Date]],Database!A:E,2,)</f>
        <v/>
      </c>
      <c r="C313" s="14">
        <f>(B313-B312)/B312</f>
        <v/>
      </c>
      <c r="D313" s="14">
        <f>(B313-B301)/B301</f>
        <v/>
      </c>
      <c r="E313" s="15">
        <f>VLOOKUP(Table2[[#This Row],[Date]],'Fed Fund New'!$A:$C,2,FALSE)</f>
        <v/>
      </c>
      <c r="F313" s="15">
        <f>VLOOKUP(Table2[[#This Row],[Date]],'Fed Fund New'!$A:$C,3,FALSE)</f>
        <v/>
      </c>
    </row>
    <row r="314">
      <c r="A314" s="61" t="n">
        <v>26573</v>
      </c>
      <c r="B314" s="68">
        <f>VLOOKUP(Table2[[#This Row],[Date]],Database!A:E,2,)</f>
        <v/>
      </c>
      <c r="C314" s="14">
        <f>(B314-B313)/B313</f>
        <v/>
      </c>
      <c r="D314" s="14">
        <f>(B314-B302)/B302</f>
        <v/>
      </c>
      <c r="E314" s="15">
        <f>VLOOKUP(Table2[[#This Row],[Date]],'Fed Fund New'!$A:$C,2,FALSE)</f>
        <v/>
      </c>
      <c r="F314" s="15">
        <f>VLOOKUP(Table2[[#This Row],[Date]],'Fed Fund New'!$A:$C,3,FALSE)</f>
        <v/>
      </c>
    </row>
    <row r="315">
      <c r="A315" s="61" t="n">
        <v>26604</v>
      </c>
      <c r="B315" s="68">
        <f>VLOOKUP(Table2[[#This Row],[Date]],Database!A:E,2,)</f>
        <v/>
      </c>
      <c r="C315" s="14">
        <f>(B315-B314)/B314</f>
        <v/>
      </c>
      <c r="D315" s="14">
        <f>(B315-B303)/B303</f>
        <v/>
      </c>
      <c r="E315" s="15">
        <f>VLOOKUP(Table2[[#This Row],[Date]],'Fed Fund New'!$A:$C,2,FALSE)</f>
        <v/>
      </c>
      <c r="F315" s="15">
        <f>VLOOKUP(Table2[[#This Row],[Date]],'Fed Fund New'!$A:$C,3,FALSE)</f>
        <v/>
      </c>
    </row>
    <row r="316">
      <c r="A316" s="61" t="n">
        <v>26634</v>
      </c>
      <c r="B316" s="68">
        <f>VLOOKUP(Table2[[#This Row],[Date]],Database!A:E,2,)</f>
        <v/>
      </c>
      <c r="C316" s="14">
        <f>(B316-B315)/B315</f>
        <v/>
      </c>
      <c r="D316" s="14">
        <f>(B316-B304)/B304</f>
        <v/>
      </c>
      <c r="E316" s="15">
        <f>VLOOKUP(Table2[[#This Row],[Date]],'Fed Fund New'!$A:$C,2,FALSE)</f>
        <v/>
      </c>
      <c r="F316" s="15">
        <f>VLOOKUP(Table2[[#This Row],[Date]],'Fed Fund New'!$A:$C,3,FALSE)</f>
        <v/>
      </c>
    </row>
    <row r="317">
      <c r="A317" s="61" t="n">
        <v>26665</v>
      </c>
      <c r="B317" s="68">
        <f>VLOOKUP(Table2[[#This Row],[Date]],Database!A:E,2,)</f>
        <v/>
      </c>
      <c r="C317" s="14">
        <f>(B317-B316)/B316</f>
        <v/>
      </c>
      <c r="D317" s="14">
        <f>(B317-B305)/B305</f>
        <v/>
      </c>
      <c r="E317" s="15">
        <f>VLOOKUP(Table2[[#This Row],[Date]],'Fed Fund New'!$A:$C,2,FALSE)</f>
        <v/>
      </c>
      <c r="F317" s="15">
        <f>VLOOKUP(Table2[[#This Row],[Date]],'Fed Fund New'!$A:$C,3,FALSE)</f>
        <v/>
      </c>
    </row>
    <row r="318">
      <c r="A318" s="61" t="n">
        <v>26696</v>
      </c>
      <c r="B318" s="68">
        <f>VLOOKUP(Table2[[#This Row],[Date]],Database!A:E,2,)</f>
        <v/>
      </c>
      <c r="C318" s="14">
        <f>(B318-B317)/B317</f>
        <v/>
      </c>
      <c r="D318" s="14">
        <f>(B318-B306)/B306</f>
        <v/>
      </c>
      <c r="E318" s="15">
        <f>VLOOKUP(Table2[[#This Row],[Date]],'Fed Fund New'!$A:$C,2,FALSE)</f>
        <v/>
      </c>
      <c r="F318" s="15">
        <f>VLOOKUP(Table2[[#This Row],[Date]],'Fed Fund New'!$A:$C,3,FALSE)</f>
        <v/>
      </c>
    </row>
    <row r="319">
      <c r="A319" s="61" t="n">
        <v>26724</v>
      </c>
      <c r="B319" s="68">
        <f>VLOOKUP(Table2[[#This Row],[Date]],Database!A:E,2,)</f>
        <v/>
      </c>
      <c r="C319" s="14">
        <f>(B319-B318)/B318</f>
        <v/>
      </c>
      <c r="D319" s="14">
        <f>(B319-B307)/B307</f>
        <v/>
      </c>
      <c r="E319" s="15">
        <f>VLOOKUP(Table2[[#This Row],[Date]],'Fed Fund New'!$A:$C,2,FALSE)</f>
        <v/>
      </c>
      <c r="F319" s="15">
        <f>VLOOKUP(Table2[[#This Row],[Date]],'Fed Fund New'!$A:$C,3,FALSE)</f>
        <v/>
      </c>
    </row>
    <row r="320">
      <c r="A320" s="61" t="n">
        <v>26755</v>
      </c>
      <c r="B320" s="68">
        <f>VLOOKUP(Table2[[#This Row],[Date]],Database!A:E,2,)</f>
        <v/>
      </c>
      <c r="C320" s="14">
        <f>(B320-B319)/B319</f>
        <v/>
      </c>
      <c r="D320" s="14">
        <f>(B320-B308)/B308</f>
        <v/>
      </c>
      <c r="E320" s="15">
        <f>VLOOKUP(Table2[[#This Row],[Date]],'Fed Fund New'!$A:$C,2,FALSE)</f>
        <v/>
      </c>
      <c r="F320" s="15">
        <f>VLOOKUP(Table2[[#This Row],[Date]],'Fed Fund New'!$A:$C,3,FALSE)</f>
        <v/>
      </c>
    </row>
    <row r="321">
      <c r="A321" s="61" t="n">
        <v>26785</v>
      </c>
      <c r="B321" s="68">
        <f>VLOOKUP(Table2[[#This Row],[Date]],Database!A:E,2,)</f>
        <v/>
      </c>
      <c r="C321" s="14">
        <f>(B321-B320)/B320</f>
        <v/>
      </c>
      <c r="D321" s="14">
        <f>(B321-B309)/B309</f>
        <v/>
      </c>
      <c r="E321" s="15">
        <f>VLOOKUP(Table2[[#This Row],[Date]],'Fed Fund New'!$A:$C,2,FALSE)</f>
        <v/>
      </c>
      <c r="F321" s="15">
        <f>VLOOKUP(Table2[[#This Row],[Date]],'Fed Fund New'!$A:$C,3,FALSE)</f>
        <v/>
      </c>
    </row>
    <row r="322">
      <c r="A322" s="61" t="n">
        <v>26816</v>
      </c>
      <c r="B322" s="68">
        <f>VLOOKUP(Table2[[#This Row],[Date]],Database!A:E,2,)</f>
        <v/>
      </c>
      <c r="C322" s="14">
        <f>(B322-B321)/B321</f>
        <v/>
      </c>
      <c r="D322" s="14">
        <f>(B322-B310)/B310</f>
        <v/>
      </c>
      <c r="E322" s="15">
        <f>VLOOKUP(Table2[[#This Row],[Date]],'Fed Fund New'!$A:$C,2,FALSE)</f>
        <v/>
      </c>
      <c r="F322" s="15">
        <f>VLOOKUP(Table2[[#This Row],[Date]],'Fed Fund New'!$A:$C,3,FALSE)</f>
        <v/>
      </c>
    </row>
    <row r="323">
      <c r="A323" s="61" t="n">
        <v>26846</v>
      </c>
      <c r="B323" s="68">
        <f>VLOOKUP(Table2[[#This Row],[Date]],Database!A:E,2,)</f>
        <v/>
      </c>
      <c r="C323" s="14">
        <f>(B323-B322)/B322</f>
        <v/>
      </c>
      <c r="D323" s="14">
        <f>(B323-B311)/B311</f>
        <v/>
      </c>
      <c r="E323" s="15">
        <f>VLOOKUP(Table2[[#This Row],[Date]],'Fed Fund New'!$A:$C,2,FALSE)</f>
        <v/>
      </c>
      <c r="F323" s="15">
        <f>VLOOKUP(Table2[[#This Row],[Date]],'Fed Fund New'!$A:$C,3,FALSE)</f>
        <v/>
      </c>
    </row>
    <row r="324">
      <c r="A324" s="61" t="n">
        <v>26877</v>
      </c>
      <c r="B324" s="68">
        <f>VLOOKUP(Table2[[#This Row],[Date]],Database!A:E,2,)</f>
        <v/>
      </c>
      <c r="C324" s="14">
        <f>(B324-B323)/B323</f>
        <v/>
      </c>
      <c r="D324" s="14">
        <f>(B324-B312)/B312</f>
        <v/>
      </c>
      <c r="E324" s="15">
        <f>VLOOKUP(Table2[[#This Row],[Date]],'Fed Fund New'!$A:$C,2,FALSE)</f>
        <v/>
      </c>
      <c r="F324" s="15">
        <f>VLOOKUP(Table2[[#This Row],[Date]],'Fed Fund New'!$A:$C,3,FALSE)</f>
        <v/>
      </c>
    </row>
    <row r="325">
      <c r="A325" s="61" t="n">
        <v>26908</v>
      </c>
      <c r="B325" s="68">
        <f>VLOOKUP(Table2[[#This Row],[Date]],Database!A:E,2,)</f>
        <v/>
      </c>
      <c r="C325" s="14">
        <f>(B325-B324)/B324</f>
        <v/>
      </c>
      <c r="D325" s="14">
        <f>(B325-B313)/B313</f>
        <v/>
      </c>
      <c r="E325" s="15">
        <f>VLOOKUP(Table2[[#This Row],[Date]],'Fed Fund New'!$A:$C,2,FALSE)</f>
        <v/>
      </c>
      <c r="F325" s="15">
        <f>VLOOKUP(Table2[[#This Row],[Date]],'Fed Fund New'!$A:$C,3,FALSE)</f>
        <v/>
      </c>
    </row>
    <row r="326">
      <c r="A326" s="61" t="n">
        <v>26938</v>
      </c>
      <c r="B326" s="68">
        <f>VLOOKUP(Table2[[#This Row],[Date]],Database!A:E,2,)</f>
        <v/>
      </c>
      <c r="C326" s="14">
        <f>(B326-B325)/B325</f>
        <v/>
      </c>
      <c r="D326" s="14">
        <f>(B326-B314)/B314</f>
        <v/>
      </c>
      <c r="E326" s="15">
        <f>VLOOKUP(Table2[[#This Row],[Date]],'Fed Fund New'!$A:$C,2,FALSE)</f>
        <v/>
      </c>
      <c r="F326" s="15">
        <f>VLOOKUP(Table2[[#This Row],[Date]],'Fed Fund New'!$A:$C,3,FALSE)</f>
        <v/>
      </c>
    </row>
    <row r="327">
      <c r="A327" s="61" t="n">
        <v>26969</v>
      </c>
      <c r="B327" s="68">
        <f>VLOOKUP(Table2[[#This Row],[Date]],Database!A:E,2,)</f>
        <v/>
      </c>
      <c r="C327" s="14">
        <f>(B327-B326)/B326</f>
        <v/>
      </c>
      <c r="D327" s="14">
        <f>(B327-B315)/B315</f>
        <v/>
      </c>
      <c r="E327" s="15">
        <f>VLOOKUP(Table2[[#This Row],[Date]],'Fed Fund New'!$A:$C,2,FALSE)</f>
        <v/>
      </c>
      <c r="F327" s="15">
        <f>VLOOKUP(Table2[[#This Row],[Date]],'Fed Fund New'!$A:$C,3,FALSE)</f>
        <v/>
      </c>
    </row>
    <row r="328">
      <c r="A328" s="61" t="n">
        <v>26999</v>
      </c>
      <c r="B328" s="68">
        <f>VLOOKUP(Table2[[#This Row],[Date]],Database!A:E,2,)</f>
        <v/>
      </c>
      <c r="C328" s="14">
        <f>(B328-B327)/B327</f>
        <v/>
      </c>
      <c r="D328" s="14">
        <f>(B328-B316)/B316</f>
        <v/>
      </c>
      <c r="E328" s="15">
        <f>VLOOKUP(Table2[[#This Row],[Date]],'Fed Fund New'!$A:$C,2,FALSE)</f>
        <v/>
      </c>
      <c r="F328" s="15">
        <f>VLOOKUP(Table2[[#This Row],[Date]],'Fed Fund New'!$A:$C,3,FALSE)</f>
        <v/>
      </c>
    </row>
    <row r="329">
      <c r="A329" s="61" t="n">
        <v>27030</v>
      </c>
      <c r="B329" s="68">
        <f>VLOOKUP(Table2[[#This Row],[Date]],Database!A:E,2,)</f>
        <v/>
      </c>
      <c r="C329" s="14">
        <f>(B329-B328)/B328</f>
        <v/>
      </c>
      <c r="D329" s="14">
        <f>(B329-B317)/B317</f>
        <v/>
      </c>
      <c r="E329" s="15">
        <f>VLOOKUP(Table2[[#This Row],[Date]],'Fed Fund New'!$A:$C,2,FALSE)</f>
        <v/>
      </c>
      <c r="F329" s="15">
        <f>VLOOKUP(Table2[[#This Row],[Date]],'Fed Fund New'!$A:$C,3,FALSE)</f>
        <v/>
      </c>
    </row>
    <row r="330">
      <c r="A330" s="61" t="n">
        <v>27061</v>
      </c>
      <c r="B330" s="68">
        <f>VLOOKUP(Table2[[#This Row],[Date]],Database!A:E,2,)</f>
        <v/>
      </c>
      <c r="C330" s="14">
        <f>(B330-B329)/B329</f>
        <v/>
      </c>
      <c r="D330" s="14">
        <f>(B330-B318)/B318</f>
        <v/>
      </c>
      <c r="E330" s="15">
        <f>VLOOKUP(Table2[[#This Row],[Date]],'Fed Fund New'!$A:$C,2,FALSE)</f>
        <v/>
      </c>
      <c r="F330" s="15">
        <f>VLOOKUP(Table2[[#This Row],[Date]],'Fed Fund New'!$A:$C,3,FALSE)</f>
        <v/>
      </c>
    </row>
    <row r="331">
      <c r="A331" s="61" t="n">
        <v>27089</v>
      </c>
      <c r="B331" s="68">
        <f>VLOOKUP(Table2[[#This Row],[Date]],Database!A:E,2,)</f>
        <v/>
      </c>
      <c r="C331" s="14">
        <f>(B331-B330)/B330</f>
        <v/>
      </c>
      <c r="D331" s="14">
        <f>(B331-B319)/B319</f>
        <v/>
      </c>
      <c r="E331" s="15">
        <f>VLOOKUP(Table2[[#This Row],[Date]],'Fed Fund New'!$A:$C,2,FALSE)</f>
        <v/>
      </c>
      <c r="F331" s="15">
        <f>VLOOKUP(Table2[[#This Row],[Date]],'Fed Fund New'!$A:$C,3,FALSE)</f>
        <v/>
      </c>
    </row>
    <row r="332">
      <c r="A332" s="61" t="n">
        <v>27120</v>
      </c>
      <c r="B332" s="68">
        <f>VLOOKUP(Table2[[#This Row],[Date]],Database!A:E,2,)</f>
        <v/>
      </c>
      <c r="C332" s="14">
        <f>(B332-B331)/B331</f>
        <v/>
      </c>
      <c r="D332" s="14">
        <f>(B332-B320)/B320</f>
        <v/>
      </c>
      <c r="E332" s="15">
        <f>VLOOKUP(Table2[[#This Row],[Date]],'Fed Fund New'!$A:$C,2,FALSE)</f>
        <v/>
      </c>
      <c r="F332" s="15">
        <f>VLOOKUP(Table2[[#This Row],[Date]],'Fed Fund New'!$A:$C,3,FALSE)</f>
        <v/>
      </c>
    </row>
    <row r="333">
      <c r="A333" s="61" t="n">
        <v>27150</v>
      </c>
      <c r="B333" s="68">
        <f>VLOOKUP(Table2[[#This Row],[Date]],Database!A:E,2,)</f>
        <v/>
      </c>
      <c r="C333" s="14">
        <f>(B333-B332)/B332</f>
        <v/>
      </c>
      <c r="D333" s="14">
        <f>(B333-B321)/B321</f>
        <v/>
      </c>
      <c r="E333" s="15">
        <f>VLOOKUP(Table2[[#This Row],[Date]],'Fed Fund New'!$A:$C,2,FALSE)</f>
        <v/>
      </c>
      <c r="F333" s="15">
        <f>VLOOKUP(Table2[[#This Row],[Date]],'Fed Fund New'!$A:$C,3,FALSE)</f>
        <v/>
      </c>
    </row>
    <row r="334">
      <c r="A334" s="61" t="n">
        <v>27181</v>
      </c>
      <c r="B334" s="68">
        <f>VLOOKUP(Table2[[#This Row],[Date]],Database!A:E,2,)</f>
        <v/>
      </c>
      <c r="C334" s="14">
        <f>(B334-B333)/B333</f>
        <v/>
      </c>
      <c r="D334" s="14">
        <f>(B334-B322)/B322</f>
        <v/>
      </c>
      <c r="E334" s="15">
        <f>VLOOKUP(Table2[[#This Row],[Date]],'Fed Fund New'!$A:$C,2,FALSE)</f>
        <v/>
      </c>
      <c r="F334" s="15">
        <f>VLOOKUP(Table2[[#This Row],[Date]],'Fed Fund New'!$A:$C,3,FALSE)</f>
        <v/>
      </c>
    </row>
    <row r="335">
      <c r="A335" s="61" t="n">
        <v>27211</v>
      </c>
      <c r="B335" s="68">
        <f>VLOOKUP(Table2[[#This Row],[Date]],Database!A:E,2,)</f>
        <v/>
      </c>
      <c r="C335" s="14">
        <f>(B335-B334)/B334</f>
        <v/>
      </c>
      <c r="D335" s="14">
        <f>(B335-B323)/B323</f>
        <v/>
      </c>
      <c r="E335" s="15">
        <f>VLOOKUP(Table2[[#This Row],[Date]],'Fed Fund New'!$A:$C,2,FALSE)</f>
        <v/>
      </c>
      <c r="F335" s="15">
        <f>VLOOKUP(Table2[[#This Row],[Date]],'Fed Fund New'!$A:$C,3,FALSE)</f>
        <v/>
      </c>
    </row>
    <row r="336">
      <c r="A336" s="61" t="n">
        <v>27242</v>
      </c>
      <c r="B336" s="68">
        <f>VLOOKUP(Table2[[#This Row],[Date]],Database!A:E,2,)</f>
        <v/>
      </c>
      <c r="C336" s="14">
        <f>(B336-B335)/B335</f>
        <v/>
      </c>
      <c r="D336" s="14">
        <f>(B336-B324)/B324</f>
        <v/>
      </c>
      <c r="E336" s="15">
        <f>VLOOKUP(Table2[[#This Row],[Date]],'Fed Fund New'!$A:$C,2,FALSE)</f>
        <v/>
      </c>
      <c r="F336" s="15">
        <f>VLOOKUP(Table2[[#This Row],[Date]],'Fed Fund New'!$A:$C,3,FALSE)</f>
        <v/>
      </c>
    </row>
    <row r="337">
      <c r="A337" s="61" t="n">
        <v>27273</v>
      </c>
      <c r="B337" s="68">
        <f>VLOOKUP(Table2[[#This Row],[Date]],Database!A:E,2,)</f>
        <v/>
      </c>
      <c r="C337" s="14">
        <f>(B337-B336)/B336</f>
        <v/>
      </c>
      <c r="D337" s="14">
        <f>(B337-B325)/B325</f>
        <v/>
      </c>
      <c r="E337" s="15">
        <f>VLOOKUP(Table2[[#This Row],[Date]],'Fed Fund New'!$A:$C,2,FALSE)</f>
        <v/>
      </c>
      <c r="F337" s="15">
        <f>VLOOKUP(Table2[[#This Row],[Date]],'Fed Fund New'!$A:$C,3,FALSE)</f>
        <v/>
      </c>
    </row>
    <row r="338">
      <c r="A338" s="61" t="n">
        <v>27303</v>
      </c>
      <c r="B338" s="68">
        <f>VLOOKUP(Table2[[#This Row],[Date]],Database!A:E,2,)</f>
        <v/>
      </c>
      <c r="C338" s="14">
        <f>(B338-B337)/B337</f>
        <v/>
      </c>
      <c r="D338" s="14">
        <f>(B338-B326)/B326</f>
        <v/>
      </c>
      <c r="E338" s="15">
        <f>VLOOKUP(Table2[[#This Row],[Date]],'Fed Fund New'!$A:$C,2,FALSE)</f>
        <v/>
      </c>
      <c r="F338" s="15">
        <f>VLOOKUP(Table2[[#This Row],[Date]],'Fed Fund New'!$A:$C,3,FALSE)</f>
        <v/>
      </c>
    </row>
    <row r="339">
      <c r="A339" s="61" t="n">
        <v>27334</v>
      </c>
      <c r="B339" s="68">
        <f>VLOOKUP(Table2[[#This Row],[Date]],Database!A:E,2,)</f>
        <v/>
      </c>
      <c r="C339" s="14">
        <f>(B339-B338)/B338</f>
        <v/>
      </c>
      <c r="D339" s="14">
        <f>(B339-B327)/B327</f>
        <v/>
      </c>
      <c r="E339" s="15">
        <f>VLOOKUP(Table2[[#This Row],[Date]],'Fed Fund New'!$A:$C,2,FALSE)</f>
        <v/>
      </c>
      <c r="F339" s="15">
        <f>VLOOKUP(Table2[[#This Row],[Date]],'Fed Fund New'!$A:$C,3,FALSE)</f>
        <v/>
      </c>
    </row>
    <row r="340">
      <c r="A340" s="61" t="n">
        <v>27364</v>
      </c>
      <c r="B340" s="68">
        <f>VLOOKUP(Table2[[#This Row],[Date]],Database!A:E,2,)</f>
        <v/>
      </c>
      <c r="C340" s="14">
        <f>(B340-B339)/B339</f>
        <v/>
      </c>
      <c r="D340" s="14">
        <f>(B340-B328)/B328</f>
        <v/>
      </c>
      <c r="E340" s="15">
        <f>VLOOKUP(Table2[[#This Row],[Date]],'Fed Fund New'!$A:$C,2,FALSE)</f>
        <v/>
      </c>
      <c r="F340" s="15">
        <f>VLOOKUP(Table2[[#This Row],[Date]],'Fed Fund New'!$A:$C,3,FALSE)</f>
        <v/>
      </c>
    </row>
    <row r="341">
      <c r="A341" s="61" t="n">
        <v>27395</v>
      </c>
      <c r="B341" s="68">
        <f>VLOOKUP(Table2[[#This Row],[Date]],Database!A:E,2,)</f>
        <v/>
      </c>
      <c r="C341" s="14">
        <f>(B341-B340)/B340</f>
        <v/>
      </c>
      <c r="D341" s="14">
        <f>(B341-B329)/B329</f>
        <v/>
      </c>
      <c r="E341" s="15">
        <f>VLOOKUP(Table2[[#This Row],[Date]],'Fed Fund New'!$A:$C,2,FALSE)</f>
        <v/>
      </c>
      <c r="F341" s="15">
        <f>VLOOKUP(Table2[[#This Row],[Date]],'Fed Fund New'!$A:$C,3,FALSE)</f>
        <v/>
      </c>
    </row>
    <row r="342">
      <c r="A342" s="61" t="n">
        <v>27426</v>
      </c>
      <c r="B342" s="68">
        <f>VLOOKUP(Table2[[#This Row],[Date]],Database!A:E,2,)</f>
        <v/>
      </c>
      <c r="C342" s="14">
        <f>(B342-B341)/B341</f>
        <v/>
      </c>
      <c r="D342" s="14">
        <f>(B342-B330)/B330</f>
        <v/>
      </c>
      <c r="E342" s="15">
        <f>VLOOKUP(Table2[[#This Row],[Date]],'Fed Fund New'!$A:$C,2,FALSE)</f>
        <v/>
      </c>
      <c r="F342" s="15">
        <f>VLOOKUP(Table2[[#This Row],[Date]],'Fed Fund New'!$A:$C,3,FALSE)</f>
        <v/>
      </c>
    </row>
    <row r="343">
      <c r="A343" s="61" t="n">
        <v>27454</v>
      </c>
      <c r="B343" s="68">
        <f>VLOOKUP(Table2[[#This Row],[Date]],Database!A:E,2,)</f>
        <v/>
      </c>
      <c r="C343" s="14">
        <f>(B343-B342)/B342</f>
        <v/>
      </c>
      <c r="D343" s="14">
        <f>(B343-B331)/B331</f>
        <v/>
      </c>
      <c r="E343" s="15">
        <f>VLOOKUP(Table2[[#This Row],[Date]],'Fed Fund New'!$A:$C,2,FALSE)</f>
        <v/>
      </c>
      <c r="F343" s="15">
        <f>VLOOKUP(Table2[[#This Row],[Date]],'Fed Fund New'!$A:$C,3,FALSE)</f>
        <v/>
      </c>
    </row>
    <row r="344">
      <c r="A344" s="61" t="n">
        <v>27485</v>
      </c>
      <c r="B344" s="68">
        <f>VLOOKUP(Table2[[#This Row],[Date]],Database!A:E,2,)</f>
        <v/>
      </c>
      <c r="C344" s="14">
        <f>(B344-B343)/B343</f>
        <v/>
      </c>
      <c r="D344" s="14">
        <f>(B344-B332)/B332</f>
        <v/>
      </c>
      <c r="E344" s="15">
        <f>VLOOKUP(Table2[[#This Row],[Date]],'Fed Fund New'!$A:$C,2,FALSE)</f>
        <v/>
      </c>
      <c r="F344" s="15">
        <f>VLOOKUP(Table2[[#This Row],[Date]],'Fed Fund New'!$A:$C,3,FALSE)</f>
        <v/>
      </c>
    </row>
    <row r="345">
      <c r="A345" s="61" t="n">
        <v>27515</v>
      </c>
      <c r="B345" s="68">
        <f>VLOOKUP(Table2[[#This Row],[Date]],Database!A:E,2,)</f>
        <v/>
      </c>
      <c r="C345" s="14">
        <f>(B345-B344)/B344</f>
        <v/>
      </c>
      <c r="D345" s="14">
        <f>(B345-B333)/B333</f>
        <v/>
      </c>
      <c r="E345" s="15">
        <f>VLOOKUP(Table2[[#This Row],[Date]],'Fed Fund New'!$A:$C,2,FALSE)</f>
        <v/>
      </c>
      <c r="F345" s="15">
        <f>VLOOKUP(Table2[[#This Row],[Date]],'Fed Fund New'!$A:$C,3,FALSE)</f>
        <v/>
      </c>
    </row>
    <row r="346">
      <c r="A346" s="61" t="n">
        <v>27546</v>
      </c>
      <c r="B346" s="68">
        <f>VLOOKUP(Table2[[#This Row],[Date]],Database!A:E,2,)</f>
        <v/>
      </c>
      <c r="C346" s="14">
        <f>(B346-B345)/B345</f>
        <v/>
      </c>
      <c r="D346" s="14">
        <f>(B346-B334)/B334</f>
        <v/>
      </c>
      <c r="E346" s="15">
        <f>VLOOKUP(Table2[[#This Row],[Date]],'Fed Fund New'!$A:$C,2,FALSE)</f>
        <v/>
      </c>
      <c r="F346" s="15">
        <f>VLOOKUP(Table2[[#This Row],[Date]],'Fed Fund New'!$A:$C,3,FALSE)</f>
        <v/>
      </c>
    </row>
    <row r="347">
      <c r="A347" s="61" t="n">
        <v>27576</v>
      </c>
      <c r="B347" s="68">
        <f>VLOOKUP(Table2[[#This Row],[Date]],Database!A:E,2,)</f>
        <v/>
      </c>
      <c r="C347" s="14">
        <f>(B347-B346)/B346</f>
        <v/>
      </c>
      <c r="D347" s="14">
        <f>(B347-B335)/B335</f>
        <v/>
      </c>
      <c r="E347" s="15">
        <f>VLOOKUP(Table2[[#This Row],[Date]],'Fed Fund New'!$A:$C,2,FALSE)</f>
        <v/>
      </c>
      <c r="F347" s="15">
        <f>VLOOKUP(Table2[[#This Row],[Date]],'Fed Fund New'!$A:$C,3,FALSE)</f>
        <v/>
      </c>
    </row>
    <row r="348">
      <c r="A348" s="61" t="n">
        <v>27607</v>
      </c>
      <c r="B348" s="68">
        <f>VLOOKUP(Table2[[#This Row],[Date]],Database!A:E,2,)</f>
        <v/>
      </c>
      <c r="C348" s="14">
        <f>(B348-B347)/B347</f>
        <v/>
      </c>
      <c r="D348" s="14">
        <f>(B348-B336)/B336</f>
        <v/>
      </c>
      <c r="E348" s="15">
        <f>VLOOKUP(Table2[[#This Row],[Date]],'Fed Fund New'!$A:$C,2,FALSE)</f>
        <v/>
      </c>
      <c r="F348" s="15">
        <f>VLOOKUP(Table2[[#This Row],[Date]],'Fed Fund New'!$A:$C,3,FALSE)</f>
        <v/>
      </c>
    </row>
    <row r="349">
      <c r="A349" s="61" t="n">
        <v>27638</v>
      </c>
      <c r="B349" s="68">
        <f>VLOOKUP(Table2[[#This Row],[Date]],Database!A:E,2,)</f>
        <v/>
      </c>
      <c r="C349" s="14">
        <f>(B349-B348)/B348</f>
        <v/>
      </c>
      <c r="D349" s="14">
        <f>(B349-B337)/B337</f>
        <v/>
      </c>
      <c r="E349" s="15">
        <f>VLOOKUP(Table2[[#This Row],[Date]],'Fed Fund New'!$A:$C,2,FALSE)</f>
        <v/>
      </c>
      <c r="F349" s="15">
        <f>VLOOKUP(Table2[[#This Row],[Date]],'Fed Fund New'!$A:$C,3,FALSE)</f>
        <v/>
      </c>
    </row>
    <row r="350">
      <c r="A350" s="61" t="n">
        <v>27668</v>
      </c>
      <c r="B350" s="68">
        <f>VLOOKUP(Table2[[#This Row],[Date]],Database!A:E,2,)</f>
        <v/>
      </c>
      <c r="C350" s="14">
        <f>(B350-B349)/B349</f>
        <v/>
      </c>
      <c r="D350" s="14">
        <f>(B350-B338)/B338</f>
        <v/>
      </c>
      <c r="E350" s="15">
        <f>VLOOKUP(Table2[[#This Row],[Date]],'Fed Fund New'!$A:$C,2,FALSE)</f>
        <v/>
      </c>
      <c r="F350" s="15">
        <f>VLOOKUP(Table2[[#This Row],[Date]],'Fed Fund New'!$A:$C,3,FALSE)</f>
        <v/>
      </c>
    </row>
    <row r="351">
      <c r="A351" s="61" t="n">
        <v>27699</v>
      </c>
      <c r="B351" s="68">
        <f>VLOOKUP(Table2[[#This Row],[Date]],Database!A:E,2,)</f>
        <v/>
      </c>
      <c r="C351" s="14">
        <f>(B351-B350)/B350</f>
        <v/>
      </c>
      <c r="D351" s="14">
        <f>(B351-B339)/B339</f>
        <v/>
      </c>
      <c r="E351" s="15">
        <f>VLOOKUP(Table2[[#This Row],[Date]],'Fed Fund New'!$A:$C,2,FALSE)</f>
        <v/>
      </c>
      <c r="F351" s="15">
        <f>VLOOKUP(Table2[[#This Row],[Date]],'Fed Fund New'!$A:$C,3,FALSE)</f>
        <v/>
      </c>
    </row>
    <row r="352">
      <c r="A352" s="61" t="n">
        <v>27729</v>
      </c>
      <c r="B352" s="68">
        <f>VLOOKUP(Table2[[#This Row],[Date]],Database!A:E,2,)</f>
        <v/>
      </c>
      <c r="C352" s="14">
        <f>(B352-B351)/B351</f>
        <v/>
      </c>
      <c r="D352" s="14">
        <f>(B352-B340)/B340</f>
        <v/>
      </c>
      <c r="E352" s="15">
        <f>VLOOKUP(Table2[[#This Row],[Date]],'Fed Fund New'!$A:$C,2,FALSE)</f>
        <v/>
      </c>
      <c r="F352" s="15">
        <f>VLOOKUP(Table2[[#This Row],[Date]],'Fed Fund New'!$A:$C,3,FALSE)</f>
        <v/>
      </c>
    </row>
    <row r="353">
      <c r="A353" s="61" t="n">
        <v>27760</v>
      </c>
      <c r="B353" s="68">
        <f>VLOOKUP(Table2[[#This Row],[Date]],Database!A:E,2,)</f>
        <v/>
      </c>
      <c r="C353" s="14">
        <f>(B353-B352)/B352</f>
        <v/>
      </c>
      <c r="D353" s="14">
        <f>(B353-B341)/B341</f>
        <v/>
      </c>
      <c r="E353" s="15">
        <f>VLOOKUP(Table2[[#This Row],[Date]],'Fed Fund New'!$A:$C,2,FALSE)</f>
        <v/>
      </c>
      <c r="F353" s="15">
        <f>VLOOKUP(Table2[[#This Row],[Date]],'Fed Fund New'!$A:$C,3,FALSE)</f>
        <v/>
      </c>
    </row>
    <row r="354">
      <c r="A354" s="61" t="n">
        <v>27791</v>
      </c>
      <c r="B354" s="68">
        <f>VLOOKUP(Table2[[#This Row],[Date]],Database!A:E,2,)</f>
        <v/>
      </c>
      <c r="C354" s="14">
        <f>(B354-B353)/B353</f>
        <v/>
      </c>
      <c r="D354" s="14">
        <f>(B354-B342)/B342</f>
        <v/>
      </c>
      <c r="E354" s="15">
        <f>VLOOKUP(Table2[[#This Row],[Date]],'Fed Fund New'!$A:$C,2,FALSE)</f>
        <v/>
      </c>
      <c r="F354" s="15">
        <f>VLOOKUP(Table2[[#This Row],[Date]],'Fed Fund New'!$A:$C,3,FALSE)</f>
        <v/>
      </c>
    </row>
    <row r="355">
      <c r="A355" s="61" t="n">
        <v>27820</v>
      </c>
      <c r="B355" s="68">
        <f>VLOOKUP(Table2[[#This Row],[Date]],Database!A:E,2,)</f>
        <v/>
      </c>
      <c r="C355" s="14">
        <f>(B355-B354)/B354</f>
        <v/>
      </c>
      <c r="D355" s="14">
        <f>(B355-B343)/B343</f>
        <v/>
      </c>
      <c r="E355" s="15">
        <f>VLOOKUP(Table2[[#This Row],[Date]],'Fed Fund New'!$A:$C,2,FALSE)</f>
        <v/>
      </c>
      <c r="F355" s="15">
        <f>VLOOKUP(Table2[[#This Row],[Date]],'Fed Fund New'!$A:$C,3,FALSE)</f>
        <v/>
      </c>
    </row>
    <row r="356">
      <c r="A356" s="61" t="n">
        <v>27851</v>
      </c>
      <c r="B356" s="68">
        <f>VLOOKUP(Table2[[#This Row],[Date]],Database!A:E,2,)</f>
        <v/>
      </c>
      <c r="C356" s="14">
        <f>(B356-B355)/B355</f>
        <v/>
      </c>
      <c r="D356" s="14">
        <f>(B356-B344)/B344</f>
        <v/>
      </c>
      <c r="E356" s="15">
        <f>VLOOKUP(Table2[[#This Row],[Date]],'Fed Fund New'!$A:$C,2,FALSE)</f>
        <v/>
      </c>
      <c r="F356" s="15">
        <f>VLOOKUP(Table2[[#This Row],[Date]],'Fed Fund New'!$A:$C,3,FALSE)</f>
        <v/>
      </c>
    </row>
    <row r="357">
      <c r="A357" s="61" t="n">
        <v>27881</v>
      </c>
      <c r="B357" s="68">
        <f>VLOOKUP(Table2[[#This Row],[Date]],Database!A:E,2,)</f>
        <v/>
      </c>
      <c r="C357" s="14">
        <f>(B357-B356)/B356</f>
        <v/>
      </c>
      <c r="D357" s="14">
        <f>(B357-B345)/B345</f>
        <v/>
      </c>
      <c r="E357" s="15">
        <f>VLOOKUP(Table2[[#This Row],[Date]],'Fed Fund New'!$A:$C,2,FALSE)</f>
        <v/>
      </c>
      <c r="F357" s="15">
        <f>VLOOKUP(Table2[[#This Row],[Date]],'Fed Fund New'!$A:$C,3,FALSE)</f>
        <v/>
      </c>
    </row>
    <row r="358">
      <c r="A358" s="61" t="n">
        <v>27912</v>
      </c>
      <c r="B358" s="68">
        <f>VLOOKUP(Table2[[#This Row],[Date]],Database!A:E,2,)</f>
        <v/>
      </c>
      <c r="C358" s="14">
        <f>(B358-B357)/B357</f>
        <v/>
      </c>
      <c r="D358" s="14">
        <f>(B358-B346)/B346</f>
        <v/>
      </c>
      <c r="E358" s="15">
        <f>VLOOKUP(Table2[[#This Row],[Date]],'Fed Fund New'!$A:$C,2,FALSE)</f>
        <v/>
      </c>
      <c r="F358" s="15">
        <f>VLOOKUP(Table2[[#This Row],[Date]],'Fed Fund New'!$A:$C,3,FALSE)</f>
        <v/>
      </c>
    </row>
    <row r="359">
      <c r="A359" s="61" t="n">
        <v>27942</v>
      </c>
      <c r="B359" s="68">
        <f>VLOOKUP(Table2[[#This Row],[Date]],Database!A:E,2,)</f>
        <v/>
      </c>
      <c r="C359" s="14">
        <f>(B359-B358)/B358</f>
        <v/>
      </c>
      <c r="D359" s="14">
        <f>(B359-B347)/B347</f>
        <v/>
      </c>
      <c r="E359" s="15">
        <f>VLOOKUP(Table2[[#This Row],[Date]],'Fed Fund New'!$A:$C,2,FALSE)</f>
        <v/>
      </c>
      <c r="F359" s="15">
        <f>VLOOKUP(Table2[[#This Row],[Date]],'Fed Fund New'!$A:$C,3,FALSE)</f>
        <v/>
      </c>
    </row>
    <row r="360">
      <c r="A360" s="61" t="n">
        <v>27973</v>
      </c>
      <c r="B360" s="68">
        <f>VLOOKUP(Table2[[#This Row],[Date]],Database!A:E,2,)</f>
        <v/>
      </c>
      <c r="C360" s="14">
        <f>(B360-B359)/B359</f>
        <v/>
      </c>
      <c r="D360" s="14">
        <f>(B360-B348)/B348</f>
        <v/>
      </c>
      <c r="E360" s="15">
        <f>VLOOKUP(Table2[[#This Row],[Date]],'Fed Fund New'!$A:$C,2,FALSE)</f>
        <v/>
      </c>
      <c r="F360" s="15">
        <f>VLOOKUP(Table2[[#This Row],[Date]],'Fed Fund New'!$A:$C,3,FALSE)</f>
        <v/>
      </c>
    </row>
    <row r="361">
      <c r="A361" s="61" t="n">
        <v>28004</v>
      </c>
      <c r="B361" s="68">
        <f>VLOOKUP(Table2[[#This Row],[Date]],Database!A:E,2,)</f>
        <v/>
      </c>
      <c r="C361" s="14">
        <f>(B361-B360)/B360</f>
        <v/>
      </c>
      <c r="D361" s="14">
        <f>(B361-B349)/B349</f>
        <v/>
      </c>
      <c r="E361" s="15">
        <f>VLOOKUP(Table2[[#This Row],[Date]],'Fed Fund New'!$A:$C,2,FALSE)</f>
        <v/>
      </c>
      <c r="F361" s="15">
        <f>VLOOKUP(Table2[[#This Row],[Date]],'Fed Fund New'!$A:$C,3,FALSE)</f>
        <v/>
      </c>
    </row>
    <row r="362">
      <c r="A362" s="61" t="n">
        <v>28034</v>
      </c>
      <c r="B362" s="68">
        <f>VLOOKUP(Table2[[#This Row],[Date]],Database!A:E,2,)</f>
        <v/>
      </c>
      <c r="C362" s="14">
        <f>(B362-B361)/B361</f>
        <v/>
      </c>
      <c r="D362" s="14">
        <f>(B362-B350)/B350</f>
        <v/>
      </c>
      <c r="E362" s="15">
        <f>VLOOKUP(Table2[[#This Row],[Date]],'Fed Fund New'!$A:$C,2,FALSE)</f>
        <v/>
      </c>
      <c r="F362" s="15">
        <f>VLOOKUP(Table2[[#This Row],[Date]],'Fed Fund New'!$A:$C,3,FALSE)</f>
        <v/>
      </c>
    </row>
    <row r="363">
      <c r="A363" s="61" t="n">
        <v>28065</v>
      </c>
      <c r="B363" s="68">
        <f>VLOOKUP(Table2[[#This Row],[Date]],Database!A:E,2,)</f>
        <v/>
      </c>
      <c r="C363" s="14">
        <f>(B363-B362)/B362</f>
        <v/>
      </c>
      <c r="D363" s="14">
        <f>(B363-B351)/B351</f>
        <v/>
      </c>
      <c r="E363" s="15">
        <f>VLOOKUP(Table2[[#This Row],[Date]],'Fed Fund New'!$A:$C,2,FALSE)</f>
        <v/>
      </c>
      <c r="F363" s="15">
        <f>VLOOKUP(Table2[[#This Row],[Date]],'Fed Fund New'!$A:$C,3,FALSE)</f>
        <v/>
      </c>
    </row>
    <row r="364">
      <c r="A364" s="61" t="n">
        <v>28095</v>
      </c>
      <c r="B364" s="68">
        <f>VLOOKUP(Table2[[#This Row],[Date]],Database!A:E,2,)</f>
        <v/>
      </c>
      <c r="C364" s="14">
        <f>(B364-B363)/B363</f>
        <v/>
      </c>
      <c r="D364" s="14">
        <f>(B364-B352)/B352</f>
        <v/>
      </c>
      <c r="E364" s="15">
        <f>VLOOKUP(Table2[[#This Row],[Date]],'Fed Fund New'!$A:$C,2,FALSE)</f>
        <v/>
      </c>
      <c r="F364" s="15">
        <f>VLOOKUP(Table2[[#This Row],[Date]],'Fed Fund New'!$A:$C,3,FALSE)</f>
        <v/>
      </c>
    </row>
    <row r="365">
      <c r="A365" s="61" t="n">
        <v>28126</v>
      </c>
      <c r="B365" s="68">
        <f>VLOOKUP(Table2[[#This Row],[Date]],Database!A:E,2,)</f>
        <v/>
      </c>
      <c r="C365" s="14">
        <f>(B365-B364)/B364</f>
        <v/>
      </c>
      <c r="D365" s="14">
        <f>(B365-B353)/B353</f>
        <v/>
      </c>
      <c r="E365" s="15">
        <f>VLOOKUP(Table2[[#This Row],[Date]],'Fed Fund New'!$A:$C,2,FALSE)</f>
        <v/>
      </c>
      <c r="F365" s="15">
        <f>VLOOKUP(Table2[[#This Row],[Date]],'Fed Fund New'!$A:$C,3,FALSE)</f>
        <v/>
      </c>
    </row>
    <row r="366">
      <c r="A366" s="61" t="n">
        <v>28157</v>
      </c>
      <c r="B366" s="68">
        <f>VLOOKUP(Table2[[#This Row],[Date]],Database!A:E,2,)</f>
        <v/>
      </c>
      <c r="C366" s="14">
        <f>(B366-B365)/B365</f>
        <v/>
      </c>
      <c r="D366" s="14">
        <f>(B366-B354)/B354</f>
        <v/>
      </c>
      <c r="E366" s="15">
        <f>VLOOKUP(Table2[[#This Row],[Date]],'Fed Fund New'!$A:$C,2,FALSE)</f>
        <v/>
      </c>
      <c r="F366" s="15">
        <f>VLOOKUP(Table2[[#This Row],[Date]],'Fed Fund New'!$A:$C,3,FALSE)</f>
        <v/>
      </c>
    </row>
    <row r="367">
      <c r="A367" s="61" t="n">
        <v>28185</v>
      </c>
      <c r="B367" s="68">
        <f>VLOOKUP(Table2[[#This Row],[Date]],Database!A:E,2,)</f>
        <v/>
      </c>
      <c r="C367" s="14">
        <f>(B367-B366)/B366</f>
        <v/>
      </c>
      <c r="D367" s="14">
        <f>(B367-B355)/B355</f>
        <v/>
      </c>
      <c r="E367" s="15">
        <f>VLOOKUP(Table2[[#This Row],[Date]],'Fed Fund New'!$A:$C,2,FALSE)</f>
        <v/>
      </c>
      <c r="F367" s="15">
        <f>VLOOKUP(Table2[[#This Row],[Date]],'Fed Fund New'!$A:$C,3,FALSE)</f>
        <v/>
      </c>
    </row>
    <row r="368">
      <c r="A368" s="61" t="n">
        <v>28216</v>
      </c>
      <c r="B368" s="68">
        <f>VLOOKUP(Table2[[#This Row],[Date]],Database!A:E,2,)</f>
        <v/>
      </c>
      <c r="C368" s="14">
        <f>(B368-B367)/B367</f>
        <v/>
      </c>
      <c r="D368" s="14">
        <f>(B368-B356)/B356</f>
        <v/>
      </c>
      <c r="E368" s="15">
        <f>VLOOKUP(Table2[[#This Row],[Date]],'Fed Fund New'!$A:$C,2,FALSE)</f>
        <v/>
      </c>
      <c r="F368" s="15">
        <f>VLOOKUP(Table2[[#This Row],[Date]],'Fed Fund New'!$A:$C,3,FALSE)</f>
        <v/>
      </c>
    </row>
    <row r="369">
      <c r="A369" s="61" t="n">
        <v>28246</v>
      </c>
      <c r="B369" s="68">
        <f>VLOOKUP(Table2[[#This Row],[Date]],Database!A:E,2,)</f>
        <v/>
      </c>
      <c r="C369" s="14">
        <f>(B369-B368)/B368</f>
        <v/>
      </c>
      <c r="D369" s="14">
        <f>(B369-B357)/B357</f>
        <v/>
      </c>
      <c r="E369" s="15">
        <f>VLOOKUP(Table2[[#This Row],[Date]],'Fed Fund New'!$A:$C,2,FALSE)</f>
        <v/>
      </c>
      <c r="F369" s="15">
        <f>VLOOKUP(Table2[[#This Row],[Date]],'Fed Fund New'!$A:$C,3,FALSE)</f>
        <v/>
      </c>
    </row>
    <row r="370">
      <c r="A370" s="61" t="n">
        <v>28277</v>
      </c>
      <c r="B370" s="68">
        <f>VLOOKUP(Table2[[#This Row],[Date]],Database!A:E,2,)</f>
        <v/>
      </c>
      <c r="C370" s="14">
        <f>(B370-B369)/B369</f>
        <v/>
      </c>
      <c r="D370" s="14">
        <f>(B370-B358)/B358</f>
        <v/>
      </c>
      <c r="E370" s="15">
        <f>VLOOKUP(Table2[[#This Row],[Date]],'Fed Fund New'!$A:$C,2,FALSE)</f>
        <v/>
      </c>
      <c r="F370" s="15">
        <f>VLOOKUP(Table2[[#This Row],[Date]],'Fed Fund New'!$A:$C,3,FALSE)</f>
        <v/>
      </c>
    </row>
    <row r="371">
      <c r="A371" s="61" t="n">
        <v>28307</v>
      </c>
      <c r="B371" s="68">
        <f>VLOOKUP(Table2[[#This Row],[Date]],Database!A:E,2,)</f>
        <v/>
      </c>
      <c r="C371" s="14">
        <f>(B371-B370)/B370</f>
        <v/>
      </c>
      <c r="D371" s="14">
        <f>(B371-B359)/B359</f>
        <v/>
      </c>
      <c r="E371" s="15">
        <f>VLOOKUP(Table2[[#This Row],[Date]],'Fed Fund New'!$A:$C,2,FALSE)</f>
        <v/>
      </c>
      <c r="F371" s="15">
        <f>VLOOKUP(Table2[[#This Row],[Date]],'Fed Fund New'!$A:$C,3,FALSE)</f>
        <v/>
      </c>
    </row>
    <row r="372">
      <c r="A372" s="61" t="n">
        <v>28338</v>
      </c>
      <c r="B372" s="68">
        <f>VLOOKUP(Table2[[#This Row],[Date]],Database!A:E,2,)</f>
        <v/>
      </c>
      <c r="C372" s="14">
        <f>(B372-B371)/B371</f>
        <v/>
      </c>
      <c r="D372" s="14">
        <f>(B372-B360)/B360</f>
        <v/>
      </c>
      <c r="E372" s="15">
        <f>VLOOKUP(Table2[[#This Row],[Date]],'Fed Fund New'!$A:$C,2,FALSE)</f>
        <v/>
      </c>
      <c r="F372" s="15">
        <f>VLOOKUP(Table2[[#This Row],[Date]],'Fed Fund New'!$A:$C,3,FALSE)</f>
        <v/>
      </c>
    </row>
    <row r="373">
      <c r="A373" s="61" t="n">
        <v>28369</v>
      </c>
      <c r="B373" s="68">
        <f>VLOOKUP(Table2[[#This Row],[Date]],Database!A:E,2,)</f>
        <v/>
      </c>
      <c r="C373" s="14">
        <f>(B373-B372)/B372</f>
        <v/>
      </c>
      <c r="D373" s="14">
        <f>(B373-B361)/B361</f>
        <v/>
      </c>
      <c r="E373" s="15">
        <f>VLOOKUP(Table2[[#This Row],[Date]],'Fed Fund New'!$A:$C,2,FALSE)</f>
        <v/>
      </c>
      <c r="F373" s="15">
        <f>VLOOKUP(Table2[[#This Row],[Date]],'Fed Fund New'!$A:$C,3,FALSE)</f>
        <v/>
      </c>
    </row>
    <row r="374">
      <c r="A374" s="61" t="n">
        <v>28399</v>
      </c>
      <c r="B374" s="68">
        <f>VLOOKUP(Table2[[#This Row],[Date]],Database!A:E,2,)</f>
        <v/>
      </c>
      <c r="C374" s="14">
        <f>(B374-B373)/B373</f>
        <v/>
      </c>
      <c r="D374" s="14">
        <f>(B374-B362)/B362</f>
        <v/>
      </c>
      <c r="E374" s="15">
        <f>VLOOKUP(Table2[[#This Row],[Date]],'Fed Fund New'!$A:$C,2,FALSE)</f>
        <v/>
      </c>
      <c r="F374" s="15">
        <f>VLOOKUP(Table2[[#This Row],[Date]],'Fed Fund New'!$A:$C,3,FALSE)</f>
        <v/>
      </c>
    </row>
    <row r="375">
      <c r="A375" s="61" t="n">
        <v>28430</v>
      </c>
      <c r="B375" s="68">
        <f>VLOOKUP(Table2[[#This Row],[Date]],Database!A:E,2,)</f>
        <v/>
      </c>
      <c r="C375" s="14">
        <f>(B375-B374)/B374</f>
        <v/>
      </c>
      <c r="D375" s="14">
        <f>(B375-B363)/B363</f>
        <v/>
      </c>
      <c r="E375" s="15">
        <f>VLOOKUP(Table2[[#This Row],[Date]],'Fed Fund New'!$A:$C,2,FALSE)</f>
        <v/>
      </c>
      <c r="F375" s="15">
        <f>VLOOKUP(Table2[[#This Row],[Date]],'Fed Fund New'!$A:$C,3,FALSE)</f>
        <v/>
      </c>
    </row>
    <row r="376">
      <c r="A376" s="61" t="n">
        <v>28460</v>
      </c>
      <c r="B376" s="68">
        <f>VLOOKUP(Table2[[#This Row],[Date]],Database!A:E,2,)</f>
        <v/>
      </c>
      <c r="C376" s="14">
        <f>(B376-B375)/B375</f>
        <v/>
      </c>
      <c r="D376" s="14">
        <f>(B376-B364)/B364</f>
        <v/>
      </c>
      <c r="E376" s="15">
        <f>VLOOKUP(Table2[[#This Row],[Date]],'Fed Fund New'!$A:$C,2,FALSE)</f>
        <v/>
      </c>
      <c r="F376" s="15">
        <f>VLOOKUP(Table2[[#This Row],[Date]],'Fed Fund New'!$A:$C,3,FALSE)</f>
        <v/>
      </c>
    </row>
    <row r="377">
      <c r="A377" s="61" t="n">
        <v>28491</v>
      </c>
      <c r="B377" s="68">
        <f>VLOOKUP(Table2[[#This Row],[Date]],Database!A:E,2,)</f>
        <v/>
      </c>
      <c r="C377" s="14">
        <f>(B377-B376)/B376</f>
        <v/>
      </c>
      <c r="D377" s="14">
        <f>(B377-B365)/B365</f>
        <v/>
      </c>
      <c r="E377" s="15">
        <f>VLOOKUP(Table2[[#This Row],[Date]],'Fed Fund New'!$A:$C,2,FALSE)</f>
        <v/>
      </c>
      <c r="F377" s="15">
        <f>VLOOKUP(Table2[[#This Row],[Date]],'Fed Fund New'!$A:$C,3,FALSE)</f>
        <v/>
      </c>
    </row>
    <row r="378">
      <c r="A378" s="61" t="n">
        <v>28522</v>
      </c>
      <c r="B378" s="68">
        <f>VLOOKUP(Table2[[#This Row],[Date]],Database!A:E,2,)</f>
        <v/>
      </c>
      <c r="C378" s="14">
        <f>(B378-B377)/B377</f>
        <v/>
      </c>
      <c r="D378" s="14">
        <f>(B378-B366)/B366</f>
        <v/>
      </c>
      <c r="E378" s="15">
        <f>VLOOKUP(Table2[[#This Row],[Date]],'Fed Fund New'!$A:$C,2,FALSE)</f>
        <v/>
      </c>
      <c r="F378" s="15">
        <f>VLOOKUP(Table2[[#This Row],[Date]],'Fed Fund New'!$A:$C,3,FALSE)</f>
        <v/>
      </c>
    </row>
    <row r="379">
      <c r="A379" s="61" t="n">
        <v>28550</v>
      </c>
      <c r="B379" s="68">
        <f>VLOOKUP(Table2[[#This Row],[Date]],Database!A:E,2,)</f>
        <v/>
      </c>
      <c r="C379" s="14">
        <f>(B379-B378)/B378</f>
        <v/>
      </c>
      <c r="D379" s="14">
        <f>(B379-B367)/B367</f>
        <v/>
      </c>
      <c r="E379" s="15">
        <f>VLOOKUP(Table2[[#This Row],[Date]],'Fed Fund New'!$A:$C,2,FALSE)</f>
        <v/>
      </c>
      <c r="F379" s="15">
        <f>VLOOKUP(Table2[[#This Row],[Date]],'Fed Fund New'!$A:$C,3,FALSE)</f>
        <v/>
      </c>
    </row>
    <row r="380">
      <c r="A380" s="61" t="n">
        <v>28581</v>
      </c>
      <c r="B380" s="68">
        <f>VLOOKUP(Table2[[#This Row],[Date]],Database!A:E,2,)</f>
        <v/>
      </c>
      <c r="C380" s="14">
        <f>(B380-B379)/B379</f>
        <v/>
      </c>
      <c r="D380" s="14">
        <f>(B380-B368)/B368</f>
        <v/>
      </c>
      <c r="E380" s="15">
        <f>VLOOKUP(Table2[[#This Row],[Date]],'Fed Fund New'!$A:$C,2,FALSE)</f>
        <v/>
      </c>
      <c r="F380" s="15">
        <f>VLOOKUP(Table2[[#This Row],[Date]],'Fed Fund New'!$A:$C,3,FALSE)</f>
        <v/>
      </c>
    </row>
    <row r="381">
      <c r="A381" s="61" t="n">
        <v>28611</v>
      </c>
      <c r="B381" s="68">
        <f>VLOOKUP(Table2[[#This Row],[Date]],Database!A:E,2,)</f>
        <v/>
      </c>
      <c r="C381" s="14">
        <f>(B381-B380)/B380</f>
        <v/>
      </c>
      <c r="D381" s="14">
        <f>(B381-B369)/B369</f>
        <v/>
      </c>
      <c r="E381" s="15">
        <f>VLOOKUP(Table2[[#This Row],[Date]],'Fed Fund New'!$A:$C,2,FALSE)</f>
        <v/>
      </c>
      <c r="F381" s="15">
        <f>VLOOKUP(Table2[[#This Row],[Date]],'Fed Fund New'!$A:$C,3,FALSE)</f>
        <v/>
      </c>
    </row>
    <row r="382">
      <c r="A382" s="61" t="n">
        <v>28642</v>
      </c>
      <c r="B382" s="68">
        <f>VLOOKUP(Table2[[#This Row],[Date]],Database!A:E,2,)</f>
        <v/>
      </c>
      <c r="C382" s="14">
        <f>(B382-B381)/B381</f>
        <v/>
      </c>
      <c r="D382" s="14">
        <f>(B382-B370)/B370</f>
        <v/>
      </c>
      <c r="E382" s="15">
        <f>VLOOKUP(Table2[[#This Row],[Date]],'Fed Fund New'!$A:$C,2,FALSE)</f>
        <v/>
      </c>
      <c r="F382" s="15">
        <f>VLOOKUP(Table2[[#This Row],[Date]],'Fed Fund New'!$A:$C,3,FALSE)</f>
        <v/>
      </c>
    </row>
    <row r="383">
      <c r="A383" s="61" t="n">
        <v>28672</v>
      </c>
      <c r="B383" s="68">
        <f>VLOOKUP(Table2[[#This Row],[Date]],Database!A:E,2,)</f>
        <v/>
      </c>
      <c r="C383" s="14">
        <f>(B383-B382)/B382</f>
        <v/>
      </c>
      <c r="D383" s="14">
        <f>(B383-B371)/B371</f>
        <v/>
      </c>
      <c r="E383" s="15">
        <f>VLOOKUP(Table2[[#This Row],[Date]],'Fed Fund New'!$A:$C,2,FALSE)</f>
        <v/>
      </c>
      <c r="F383" s="15">
        <f>VLOOKUP(Table2[[#This Row],[Date]],'Fed Fund New'!$A:$C,3,FALSE)</f>
        <v/>
      </c>
    </row>
    <row r="384">
      <c r="A384" s="61" t="n">
        <v>28703</v>
      </c>
      <c r="B384" s="68">
        <f>VLOOKUP(Table2[[#This Row],[Date]],Database!A:E,2,)</f>
        <v/>
      </c>
      <c r="C384" s="14">
        <f>(B384-B383)/B383</f>
        <v/>
      </c>
      <c r="D384" s="14">
        <f>(B384-B372)/B372</f>
        <v/>
      </c>
      <c r="E384" s="15">
        <f>VLOOKUP(Table2[[#This Row],[Date]],'Fed Fund New'!$A:$C,2,FALSE)</f>
        <v/>
      </c>
      <c r="F384" s="15">
        <f>VLOOKUP(Table2[[#This Row],[Date]],'Fed Fund New'!$A:$C,3,FALSE)</f>
        <v/>
      </c>
    </row>
    <row r="385">
      <c r="A385" s="61" t="n">
        <v>28734</v>
      </c>
      <c r="B385" s="68">
        <f>VLOOKUP(Table2[[#This Row],[Date]],Database!A:E,2,)</f>
        <v/>
      </c>
      <c r="C385" s="14">
        <f>(B385-B384)/B384</f>
        <v/>
      </c>
      <c r="D385" s="14">
        <f>(B385-B373)/B373</f>
        <v/>
      </c>
      <c r="E385" s="15">
        <f>VLOOKUP(Table2[[#This Row],[Date]],'Fed Fund New'!$A:$C,2,FALSE)</f>
        <v/>
      </c>
      <c r="F385" s="15">
        <f>VLOOKUP(Table2[[#This Row],[Date]],'Fed Fund New'!$A:$C,3,FALSE)</f>
        <v/>
      </c>
    </row>
    <row r="386">
      <c r="A386" s="61" t="n">
        <v>28764</v>
      </c>
      <c r="B386" s="68">
        <f>VLOOKUP(Table2[[#This Row],[Date]],Database!A:E,2,)</f>
        <v/>
      </c>
      <c r="C386" s="14">
        <f>(B386-B385)/B385</f>
        <v/>
      </c>
      <c r="D386" s="14">
        <f>(B386-B374)/B374</f>
        <v/>
      </c>
      <c r="E386" s="15">
        <f>VLOOKUP(Table2[[#This Row],[Date]],'Fed Fund New'!$A:$C,2,FALSE)</f>
        <v/>
      </c>
      <c r="F386" s="15">
        <f>VLOOKUP(Table2[[#This Row],[Date]],'Fed Fund New'!$A:$C,3,FALSE)</f>
        <v/>
      </c>
    </row>
    <row r="387">
      <c r="A387" s="61" t="n">
        <v>28795</v>
      </c>
      <c r="B387" s="68">
        <f>VLOOKUP(Table2[[#This Row],[Date]],Database!A:E,2,)</f>
        <v/>
      </c>
      <c r="C387" s="14">
        <f>(B387-B386)/B386</f>
        <v/>
      </c>
      <c r="D387" s="14">
        <f>(B387-B375)/B375</f>
        <v/>
      </c>
      <c r="E387" s="15">
        <f>VLOOKUP(Table2[[#This Row],[Date]],'Fed Fund New'!$A:$C,2,FALSE)</f>
        <v/>
      </c>
      <c r="F387" s="15">
        <f>VLOOKUP(Table2[[#This Row],[Date]],'Fed Fund New'!$A:$C,3,FALSE)</f>
        <v/>
      </c>
    </row>
    <row r="388">
      <c r="A388" s="61" t="n">
        <v>28825</v>
      </c>
      <c r="B388" s="68">
        <f>VLOOKUP(Table2[[#This Row],[Date]],Database!A:E,2,)</f>
        <v/>
      </c>
      <c r="C388" s="14">
        <f>(B388-B387)/B387</f>
        <v/>
      </c>
      <c r="D388" s="14">
        <f>(B388-B376)/B376</f>
        <v/>
      </c>
      <c r="E388" s="15">
        <f>VLOOKUP(Table2[[#This Row],[Date]],'Fed Fund New'!$A:$C,2,FALSE)</f>
        <v/>
      </c>
      <c r="F388" s="15">
        <f>VLOOKUP(Table2[[#This Row],[Date]],'Fed Fund New'!$A:$C,3,FALSE)</f>
        <v/>
      </c>
    </row>
    <row r="389">
      <c r="A389" s="61" t="n">
        <v>28856</v>
      </c>
      <c r="B389" s="68">
        <f>VLOOKUP(Table2[[#This Row],[Date]],Database!A:E,2,)</f>
        <v/>
      </c>
      <c r="C389" s="14">
        <f>(B389-B388)/B388</f>
        <v/>
      </c>
      <c r="D389" s="14">
        <f>(B389-B377)/B377</f>
        <v/>
      </c>
      <c r="E389" s="15">
        <f>VLOOKUP(Table2[[#This Row],[Date]],'Fed Fund New'!$A:$C,2,FALSE)</f>
        <v/>
      </c>
      <c r="F389" s="15">
        <f>VLOOKUP(Table2[[#This Row],[Date]],'Fed Fund New'!$A:$C,3,FALSE)</f>
        <v/>
      </c>
    </row>
    <row r="390">
      <c r="A390" s="61" t="n">
        <v>28887</v>
      </c>
      <c r="B390" s="68">
        <f>VLOOKUP(Table2[[#This Row],[Date]],Database!A:E,2,)</f>
        <v/>
      </c>
      <c r="C390" s="14">
        <f>(B390-B389)/B389</f>
        <v/>
      </c>
      <c r="D390" s="14">
        <f>(B390-B378)/B378</f>
        <v/>
      </c>
      <c r="E390" s="15">
        <f>VLOOKUP(Table2[[#This Row],[Date]],'Fed Fund New'!$A:$C,2,FALSE)</f>
        <v/>
      </c>
      <c r="F390" s="15">
        <f>VLOOKUP(Table2[[#This Row],[Date]],'Fed Fund New'!$A:$C,3,FALSE)</f>
        <v/>
      </c>
    </row>
    <row r="391">
      <c r="A391" s="61" t="n">
        <v>28915</v>
      </c>
      <c r="B391" s="68">
        <f>VLOOKUP(Table2[[#This Row],[Date]],Database!A:E,2,)</f>
        <v/>
      </c>
      <c r="C391" s="14">
        <f>(B391-B390)/B390</f>
        <v/>
      </c>
      <c r="D391" s="14">
        <f>(B391-B379)/B379</f>
        <v/>
      </c>
      <c r="E391" s="15">
        <f>VLOOKUP(Table2[[#This Row],[Date]],'Fed Fund New'!$A:$C,2,FALSE)</f>
        <v/>
      </c>
      <c r="F391" s="15">
        <f>VLOOKUP(Table2[[#This Row],[Date]],'Fed Fund New'!$A:$C,3,FALSE)</f>
        <v/>
      </c>
    </row>
    <row r="392">
      <c r="A392" s="61" t="n">
        <v>28946</v>
      </c>
      <c r="B392" s="68">
        <f>VLOOKUP(Table2[[#This Row],[Date]],Database!A:E,2,)</f>
        <v/>
      </c>
      <c r="C392" s="14">
        <f>(B392-B391)/B391</f>
        <v/>
      </c>
      <c r="D392" s="14">
        <f>(B392-B380)/B380</f>
        <v/>
      </c>
      <c r="E392" s="15">
        <f>VLOOKUP(Table2[[#This Row],[Date]],'Fed Fund New'!$A:$C,2,FALSE)</f>
        <v/>
      </c>
      <c r="F392" s="15">
        <f>VLOOKUP(Table2[[#This Row],[Date]],'Fed Fund New'!$A:$C,3,FALSE)</f>
        <v/>
      </c>
    </row>
    <row r="393">
      <c r="A393" s="61" t="n">
        <v>28976</v>
      </c>
      <c r="B393" s="68">
        <f>VLOOKUP(Table2[[#This Row],[Date]],Database!A:E,2,)</f>
        <v/>
      </c>
      <c r="C393" s="14">
        <f>(B393-B392)/B392</f>
        <v/>
      </c>
      <c r="D393" s="14">
        <f>(B393-B381)/B381</f>
        <v/>
      </c>
      <c r="E393" s="15">
        <f>VLOOKUP(Table2[[#This Row],[Date]],'Fed Fund New'!$A:$C,2,FALSE)</f>
        <v/>
      </c>
      <c r="F393" s="15">
        <f>VLOOKUP(Table2[[#This Row],[Date]],'Fed Fund New'!$A:$C,3,FALSE)</f>
        <v/>
      </c>
    </row>
    <row r="394">
      <c r="A394" s="61" t="n">
        <v>29007</v>
      </c>
      <c r="B394" s="68">
        <f>VLOOKUP(Table2[[#This Row],[Date]],Database!A:E,2,)</f>
        <v/>
      </c>
      <c r="C394" s="14">
        <f>(B394-B393)/B393</f>
        <v/>
      </c>
      <c r="D394" s="14">
        <f>(B394-B382)/B382</f>
        <v/>
      </c>
      <c r="E394" s="15">
        <f>VLOOKUP(Table2[[#This Row],[Date]],'Fed Fund New'!$A:$C,2,FALSE)</f>
        <v/>
      </c>
      <c r="F394" s="15">
        <f>VLOOKUP(Table2[[#This Row],[Date]],'Fed Fund New'!$A:$C,3,FALSE)</f>
        <v/>
      </c>
    </row>
    <row r="395">
      <c r="A395" s="61" t="n">
        <v>29037</v>
      </c>
      <c r="B395" s="68">
        <f>VLOOKUP(Table2[[#This Row],[Date]],Database!A:E,2,)</f>
        <v/>
      </c>
      <c r="C395" s="14">
        <f>(B395-B394)/B394</f>
        <v/>
      </c>
      <c r="D395" s="14">
        <f>(B395-B383)/B383</f>
        <v/>
      </c>
      <c r="E395" s="15">
        <f>VLOOKUP(Table2[[#This Row],[Date]],'Fed Fund New'!$A:$C,2,FALSE)</f>
        <v/>
      </c>
      <c r="F395" s="15">
        <f>VLOOKUP(Table2[[#This Row],[Date]],'Fed Fund New'!$A:$C,3,FALSE)</f>
        <v/>
      </c>
    </row>
    <row r="396">
      <c r="A396" s="61" t="n">
        <v>29068</v>
      </c>
      <c r="B396" s="68">
        <f>VLOOKUP(Table2[[#This Row],[Date]],Database!A:E,2,)</f>
        <v/>
      </c>
      <c r="C396" s="14">
        <f>(B396-B395)/B395</f>
        <v/>
      </c>
      <c r="D396" s="14">
        <f>(B396-B384)/B384</f>
        <v/>
      </c>
      <c r="E396" s="15">
        <f>VLOOKUP(Table2[[#This Row],[Date]],'Fed Fund New'!$A:$C,2,FALSE)</f>
        <v/>
      </c>
      <c r="F396" s="15">
        <f>VLOOKUP(Table2[[#This Row],[Date]],'Fed Fund New'!$A:$C,3,FALSE)</f>
        <v/>
      </c>
    </row>
    <row r="397">
      <c r="A397" s="61" t="n">
        <v>29099</v>
      </c>
      <c r="B397" s="68">
        <f>VLOOKUP(Table2[[#This Row],[Date]],Database!A:E,2,)</f>
        <v/>
      </c>
      <c r="C397" s="14">
        <f>(B397-B396)/B396</f>
        <v/>
      </c>
      <c r="D397" s="14">
        <f>(B397-B385)/B385</f>
        <v/>
      </c>
      <c r="E397" s="15">
        <f>VLOOKUP(Table2[[#This Row],[Date]],'Fed Fund New'!$A:$C,2,FALSE)</f>
        <v/>
      </c>
      <c r="F397" s="15">
        <f>VLOOKUP(Table2[[#This Row],[Date]],'Fed Fund New'!$A:$C,3,FALSE)</f>
        <v/>
      </c>
    </row>
    <row r="398">
      <c r="A398" s="61" t="n">
        <v>29129</v>
      </c>
      <c r="B398" s="68">
        <f>VLOOKUP(Table2[[#This Row],[Date]],Database!A:E,2,)</f>
        <v/>
      </c>
      <c r="C398" s="14">
        <f>(B398-B397)/B397</f>
        <v/>
      </c>
      <c r="D398" s="14">
        <f>(B398-B386)/B386</f>
        <v/>
      </c>
      <c r="E398" s="15">
        <f>VLOOKUP(Table2[[#This Row],[Date]],'Fed Fund New'!$A:$C,2,FALSE)</f>
        <v/>
      </c>
      <c r="F398" s="15">
        <f>VLOOKUP(Table2[[#This Row],[Date]],'Fed Fund New'!$A:$C,3,FALSE)</f>
        <v/>
      </c>
    </row>
    <row r="399">
      <c r="A399" s="61" t="n">
        <v>29160</v>
      </c>
      <c r="B399" s="68">
        <f>VLOOKUP(Table2[[#This Row],[Date]],Database!A:E,2,)</f>
        <v/>
      </c>
      <c r="C399" s="14">
        <f>(B399-B398)/B398</f>
        <v/>
      </c>
      <c r="D399" s="14">
        <f>(B399-B387)/B387</f>
        <v/>
      </c>
      <c r="E399" s="15">
        <f>VLOOKUP(Table2[[#This Row],[Date]],'Fed Fund New'!$A:$C,2,FALSE)</f>
        <v/>
      </c>
      <c r="F399" s="15">
        <f>VLOOKUP(Table2[[#This Row],[Date]],'Fed Fund New'!$A:$C,3,FALSE)</f>
        <v/>
      </c>
    </row>
    <row r="400">
      <c r="A400" s="61" t="n">
        <v>29190</v>
      </c>
      <c r="B400" s="68">
        <f>VLOOKUP(Table2[[#This Row],[Date]],Database!A:E,2,)</f>
        <v/>
      </c>
      <c r="C400" s="14">
        <f>(B400-B399)/B399</f>
        <v/>
      </c>
      <c r="D400" s="14">
        <f>(B400-B388)/B388</f>
        <v/>
      </c>
      <c r="E400" s="15">
        <f>VLOOKUP(Table2[[#This Row],[Date]],'Fed Fund New'!$A:$C,2,FALSE)</f>
        <v/>
      </c>
      <c r="F400" s="15">
        <f>VLOOKUP(Table2[[#This Row],[Date]],'Fed Fund New'!$A:$C,3,FALSE)</f>
        <v/>
      </c>
    </row>
    <row r="401">
      <c r="A401" s="61" t="n">
        <v>29221</v>
      </c>
      <c r="B401" s="68">
        <f>VLOOKUP(Table2[[#This Row],[Date]],Database!A:E,2,)</f>
        <v/>
      </c>
      <c r="C401" s="14">
        <f>(B401-B400)/B400</f>
        <v/>
      </c>
      <c r="D401" s="14">
        <f>(B401-B389)/B389</f>
        <v/>
      </c>
      <c r="E401" s="15">
        <f>VLOOKUP(Table2[[#This Row],[Date]],'Fed Fund New'!$A:$C,2,FALSE)</f>
        <v/>
      </c>
      <c r="F401" s="15">
        <f>VLOOKUP(Table2[[#This Row],[Date]],'Fed Fund New'!$A:$C,3,FALSE)</f>
        <v/>
      </c>
    </row>
    <row r="402">
      <c r="A402" s="61" t="n">
        <v>29252</v>
      </c>
      <c r="B402" s="68">
        <f>VLOOKUP(Table2[[#This Row],[Date]],Database!A:E,2,)</f>
        <v/>
      </c>
      <c r="C402" s="14">
        <f>(B402-B401)/B401</f>
        <v/>
      </c>
      <c r="D402" s="14">
        <f>(B402-B390)/B390</f>
        <v/>
      </c>
      <c r="E402" s="15">
        <f>VLOOKUP(Table2[[#This Row],[Date]],'Fed Fund New'!$A:$C,2,FALSE)</f>
        <v/>
      </c>
      <c r="F402" s="15">
        <f>VLOOKUP(Table2[[#This Row],[Date]],'Fed Fund New'!$A:$C,3,FALSE)</f>
        <v/>
      </c>
    </row>
    <row r="403">
      <c r="A403" s="61" t="n">
        <v>29281</v>
      </c>
      <c r="B403" s="68">
        <f>VLOOKUP(Table2[[#This Row],[Date]],Database!A:E,2,)</f>
        <v/>
      </c>
      <c r="C403" s="14">
        <f>(B403-B402)/B402</f>
        <v/>
      </c>
      <c r="D403" s="14">
        <f>(B403-B391)/B391</f>
        <v/>
      </c>
      <c r="E403" s="15">
        <f>VLOOKUP(Table2[[#This Row],[Date]],'Fed Fund New'!$A:$C,2,FALSE)</f>
        <v/>
      </c>
      <c r="F403" s="15">
        <f>VLOOKUP(Table2[[#This Row],[Date]],'Fed Fund New'!$A:$C,3,FALSE)</f>
        <v/>
      </c>
    </row>
    <row r="404">
      <c r="A404" s="61" t="n">
        <v>29312</v>
      </c>
      <c r="B404" s="68">
        <f>VLOOKUP(Table2[[#This Row],[Date]],Database!A:E,2,)</f>
        <v/>
      </c>
      <c r="C404" s="14">
        <f>(B404-B403)/B403</f>
        <v/>
      </c>
      <c r="D404" s="14">
        <f>(B404-B392)/B392</f>
        <v/>
      </c>
      <c r="E404" s="15">
        <f>VLOOKUP(Table2[[#This Row],[Date]],'Fed Fund New'!$A:$C,2,FALSE)</f>
        <v/>
      </c>
      <c r="F404" s="15">
        <f>VLOOKUP(Table2[[#This Row],[Date]],'Fed Fund New'!$A:$C,3,FALSE)</f>
        <v/>
      </c>
    </row>
    <row r="405">
      <c r="A405" s="61" t="n">
        <v>29342</v>
      </c>
      <c r="B405" s="68">
        <f>VLOOKUP(Table2[[#This Row],[Date]],Database!A:E,2,)</f>
        <v/>
      </c>
      <c r="C405" s="14">
        <f>(B405-B404)/B404</f>
        <v/>
      </c>
      <c r="D405" s="14">
        <f>(B405-B393)/B393</f>
        <v/>
      </c>
      <c r="E405" s="15">
        <f>VLOOKUP(Table2[[#This Row],[Date]],'Fed Fund New'!$A:$C,2,FALSE)</f>
        <v/>
      </c>
      <c r="F405" s="15">
        <f>VLOOKUP(Table2[[#This Row],[Date]],'Fed Fund New'!$A:$C,3,FALSE)</f>
        <v/>
      </c>
    </row>
    <row r="406">
      <c r="A406" s="61" t="n">
        <v>29373</v>
      </c>
      <c r="B406" s="68">
        <f>VLOOKUP(Table2[[#This Row],[Date]],Database!A:E,2,)</f>
        <v/>
      </c>
      <c r="C406" s="14">
        <f>(B406-B405)/B405</f>
        <v/>
      </c>
      <c r="D406" s="14">
        <f>(B406-B394)/B394</f>
        <v/>
      </c>
      <c r="E406" s="15">
        <f>VLOOKUP(Table2[[#This Row],[Date]],'Fed Fund New'!$A:$C,2,FALSE)</f>
        <v/>
      </c>
      <c r="F406" s="15">
        <f>VLOOKUP(Table2[[#This Row],[Date]],'Fed Fund New'!$A:$C,3,FALSE)</f>
        <v/>
      </c>
    </row>
    <row r="407">
      <c r="A407" s="61" t="n">
        <v>29403</v>
      </c>
      <c r="B407" s="68">
        <f>VLOOKUP(Table2[[#This Row],[Date]],Database!A:E,2,)</f>
        <v/>
      </c>
      <c r="C407" s="14">
        <f>(B407-B406)/B406</f>
        <v/>
      </c>
      <c r="D407" s="14">
        <f>(B407-B395)/B395</f>
        <v/>
      </c>
      <c r="E407" s="15">
        <f>VLOOKUP(Table2[[#This Row],[Date]],'Fed Fund New'!$A:$C,2,FALSE)</f>
        <v/>
      </c>
      <c r="F407" s="15">
        <f>VLOOKUP(Table2[[#This Row],[Date]],'Fed Fund New'!$A:$C,3,FALSE)</f>
        <v/>
      </c>
    </row>
    <row r="408">
      <c r="A408" s="61" t="n">
        <v>29434</v>
      </c>
      <c r="B408" s="68">
        <f>VLOOKUP(Table2[[#This Row],[Date]],Database!A:E,2,)</f>
        <v/>
      </c>
      <c r="C408" s="14">
        <f>(B408-B407)/B407</f>
        <v/>
      </c>
      <c r="D408" s="14">
        <f>(B408-B396)/B396</f>
        <v/>
      </c>
      <c r="E408" s="15">
        <f>VLOOKUP(Table2[[#This Row],[Date]],'Fed Fund New'!$A:$C,2,FALSE)</f>
        <v/>
      </c>
      <c r="F408" s="15">
        <f>VLOOKUP(Table2[[#This Row],[Date]],'Fed Fund New'!$A:$C,3,FALSE)</f>
        <v/>
      </c>
    </row>
    <row r="409">
      <c r="A409" s="61" t="n">
        <v>29465</v>
      </c>
      <c r="B409" s="68">
        <f>VLOOKUP(Table2[[#This Row],[Date]],Database!A:E,2,)</f>
        <v/>
      </c>
      <c r="C409" s="14">
        <f>(B409-B408)/B408</f>
        <v/>
      </c>
      <c r="D409" s="14">
        <f>(B409-B397)/B397</f>
        <v/>
      </c>
      <c r="E409" s="15">
        <f>VLOOKUP(Table2[[#This Row],[Date]],'Fed Fund New'!$A:$C,2,FALSE)</f>
        <v/>
      </c>
      <c r="F409" s="15">
        <f>VLOOKUP(Table2[[#This Row],[Date]],'Fed Fund New'!$A:$C,3,FALSE)</f>
        <v/>
      </c>
    </row>
    <row r="410">
      <c r="A410" s="61" t="n">
        <v>29495</v>
      </c>
      <c r="B410" s="68">
        <f>VLOOKUP(Table2[[#This Row],[Date]],Database!A:E,2,)</f>
        <v/>
      </c>
      <c r="C410" s="14">
        <f>(B410-B409)/B409</f>
        <v/>
      </c>
      <c r="D410" s="14">
        <f>(B410-B398)/B398</f>
        <v/>
      </c>
      <c r="E410" s="15">
        <f>VLOOKUP(Table2[[#This Row],[Date]],'Fed Fund New'!$A:$C,2,FALSE)</f>
        <v/>
      </c>
      <c r="F410" s="15">
        <f>VLOOKUP(Table2[[#This Row],[Date]],'Fed Fund New'!$A:$C,3,FALSE)</f>
        <v/>
      </c>
    </row>
    <row r="411">
      <c r="A411" s="61" t="n">
        <v>29526</v>
      </c>
      <c r="B411" s="68">
        <f>VLOOKUP(Table2[[#This Row],[Date]],Database!A:E,2,)</f>
        <v/>
      </c>
      <c r="C411" s="14">
        <f>(B411-B410)/B410</f>
        <v/>
      </c>
      <c r="D411" s="14">
        <f>(B411-B399)/B399</f>
        <v/>
      </c>
      <c r="E411" s="15">
        <f>VLOOKUP(Table2[[#This Row],[Date]],'Fed Fund New'!$A:$C,2,FALSE)</f>
        <v/>
      </c>
      <c r="F411" s="15">
        <f>VLOOKUP(Table2[[#This Row],[Date]],'Fed Fund New'!$A:$C,3,FALSE)</f>
        <v/>
      </c>
    </row>
    <row r="412">
      <c r="A412" s="61" t="n">
        <v>29556</v>
      </c>
      <c r="B412" s="68">
        <f>VLOOKUP(Table2[[#This Row],[Date]],Database!A:E,2,)</f>
        <v/>
      </c>
      <c r="C412" s="14">
        <f>(B412-B411)/B411</f>
        <v/>
      </c>
      <c r="D412" s="14">
        <f>(B412-B400)/B400</f>
        <v/>
      </c>
      <c r="E412" s="15">
        <f>VLOOKUP(Table2[[#This Row],[Date]],'Fed Fund New'!$A:$C,2,FALSE)</f>
        <v/>
      </c>
      <c r="F412" s="15">
        <f>VLOOKUP(Table2[[#This Row],[Date]],'Fed Fund New'!$A:$C,3,FALSE)</f>
        <v/>
      </c>
    </row>
    <row r="413">
      <c r="A413" s="61" t="n">
        <v>29587</v>
      </c>
      <c r="B413" s="68">
        <f>VLOOKUP(Table2[[#This Row],[Date]],Database!A:E,2,)</f>
        <v/>
      </c>
      <c r="C413" s="14">
        <f>(B413-B412)/B412</f>
        <v/>
      </c>
      <c r="D413" s="14">
        <f>(B413-B401)/B401</f>
        <v/>
      </c>
      <c r="E413" s="15">
        <f>VLOOKUP(Table2[[#This Row],[Date]],'Fed Fund New'!$A:$C,2,FALSE)</f>
        <v/>
      </c>
      <c r="F413" s="15">
        <f>VLOOKUP(Table2[[#This Row],[Date]],'Fed Fund New'!$A:$C,3,FALSE)</f>
        <v/>
      </c>
    </row>
    <row r="414">
      <c r="A414" s="61" t="n">
        <v>29618</v>
      </c>
      <c r="B414" s="68">
        <f>VLOOKUP(Table2[[#This Row],[Date]],Database!A:E,2,)</f>
        <v/>
      </c>
      <c r="C414" s="14">
        <f>(B414-B413)/B413</f>
        <v/>
      </c>
      <c r="D414" s="14">
        <f>(B414-B402)/B402</f>
        <v/>
      </c>
      <c r="E414" s="15">
        <f>VLOOKUP(Table2[[#This Row],[Date]],'Fed Fund New'!$A:$C,2,FALSE)</f>
        <v/>
      </c>
      <c r="F414" s="15">
        <f>VLOOKUP(Table2[[#This Row],[Date]],'Fed Fund New'!$A:$C,3,FALSE)</f>
        <v/>
      </c>
    </row>
    <row r="415">
      <c r="A415" s="61" t="n">
        <v>29646</v>
      </c>
      <c r="B415" s="68">
        <f>VLOOKUP(Table2[[#This Row],[Date]],Database!A:E,2,)</f>
        <v/>
      </c>
      <c r="C415" s="14">
        <f>(B415-B414)/B414</f>
        <v/>
      </c>
      <c r="D415" s="14">
        <f>(B415-B403)/B403</f>
        <v/>
      </c>
      <c r="E415" s="15">
        <f>VLOOKUP(Table2[[#This Row],[Date]],'Fed Fund New'!$A:$C,2,FALSE)</f>
        <v/>
      </c>
      <c r="F415" s="15">
        <f>VLOOKUP(Table2[[#This Row],[Date]],'Fed Fund New'!$A:$C,3,FALSE)</f>
        <v/>
      </c>
    </row>
    <row r="416">
      <c r="A416" s="61" t="n">
        <v>29677</v>
      </c>
      <c r="B416" s="68">
        <f>VLOOKUP(Table2[[#This Row],[Date]],Database!A:E,2,)</f>
        <v/>
      </c>
      <c r="C416" s="14">
        <f>(B416-B415)/B415</f>
        <v/>
      </c>
      <c r="D416" s="14">
        <f>(B416-B404)/B404</f>
        <v/>
      </c>
      <c r="E416" s="15">
        <f>VLOOKUP(Table2[[#This Row],[Date]],'Fed Fund New'!$A:$C,2,FALSE)</f>
        <v/>
      </c>
      <c r="F416" s="15">
        <f>VLOOKUP(Table2[[#This Row],[Date]],'Fed Fund New'!$A:$C,3,FALSE)</f>
        <v/>
      </c>
    </row>
    <row r="417">
      <c r="A417" s="61" t="n">
        <v>29707</v>
      </c>
      <c r="B417" s="68">
        <f>VLOOKUP(Table2[[#This Row],[Date]],Database!A:E,2,)</f>
        <v/>
      </c>
      <c r="C417" s="14">
        <f>(B417-B416)/B416</f>
        <v/>
      </c>
      <c r="D417" s="14">
        <f>(B417-B405)/B405</f>
        <v/>
      </c>
      <c r="E417" s="15">
        <f>VLOOKUP(Table2[[#This Row],[Date]],'Fed Fund New'!$A:$C,2,FALSE)</f>
        <v/>
      </c>
      <c r="F417" s="15">
        <f>VLOOKUP(Table2[[#This Row],[Date]],'Fed Fund New'!$A:$C,3,FALSE)</f>
        <v/>
      </c>
    </row>
    <row r="418">
      <c r="A418" s="61" t="n">
        <v>29738</v>
      </c>
      <c r="B418" s="68">
        <f>VLOOKUP(Table2[[#This Row],[Date]],Database!A:E,2,)</f>
        <v/>
      </c>
      <c r="C418" s="14">
        <f>(B418-B417)/B417</f>
        <v/>
      </c>
      <c r="D418" s="14">
        <f>(B418-B406)/B406</f>
        <v/>
      </c>
      <c r="E418" s="15">
        <f>VLOOKUP(Table2[[#This Row],[Date]],'Fed Fund New'!$A:$C,2,FALSE)</f>
        <v/>
      </c>
      <c r="F418" s="15">
        <f>VLOOKUP(Table2[[#This Row],[Date]],'Fed Fund New'!$A:$C,3,FALSE)</f>
        <v/>
      </c>
    </row>
    <row r="419">
      <c r="A419" s="61" t="n">
        <v>29768</v>
      </c>
      <c r="B419" s="68">
        <f>VLOOKUP(Table2[[#This Row],[Date]],Database!A:E,2,)</f>
        <v/>
      </c>
      <c r="C419" s="14">
        <f>(B419-B418)/B418</f>
        <v/>
      </c>
      <c r="D419" s="14">
        <f>(B419-B407)/B407</f>
        <v/>
      </c>
      <c r="E419" s="15">
        <f>VLOOKUP(Table2[[#This Row],[Date]],'Fed Fund New'!$A:$C,2,FALSE)</f>
        <v/>
      </c>
      <c r="F419" s="15">
        <f>VLOOKUP(Table2[[#This Row],[Date]],'Fed Fund New'!$A:$C,3,FALSE)</f>
        <v/>
      </c>
    </row>
    <row r="420">
      <c r="A420" s="61" t="n">
        <v>29799</v>
      </c>
      <c r="B420" s="68">
        <f>VLOOKUP(Table2[[#This Row],[Date]],Database!A:E,2,)</f>
        <v/>
      </c>
      <c r="C420" s="14">
        <f>(B420-B419)/B419</f>
        <v/>
      </c>
      <c r="D420" s="14">
        <f>(B420-B408)/B408</f>
        <v/>
      </c>
      <c r="E420" s="15">
        <f>VLOOKUP(Table2[[#This Row],[Date]],'Fed Fund New'!$A:$C,2,FALSE)</f>
        <v/>
      </c>
      <c r="F420" s="15">
        <f>VLOOKUP(Table2[[#This Row],[Date]],'Fed Fund New'!$A:$C,3,FALSE)</f>
        <v/>
      </c>
    </row>
    <row r="421">
      <c r="A421" s="61" t="n">
        <v>29830</v>
      </c>
      <c r="B421" s="68">
        <f>VLOOKUP(Table2[[#This Row],[Date]],Database!A:E,2,)</f>
        <v/>
      </c>
      <c r="C421" s="14">
        <f>(B421-B420)/B420</f>
        <v/>
      </c>
      <c r="D421" s="14">
        <f>(B421-B409)/B409</f>
        <v/>
      </c>
      <c r="E421" s="15">
        <f>VLOOKUP(Table2[[#This Row],[Date]],'Fed Fund New'!$A:$C,2,FALSE)</f>
        <v/>
      </c>
      <c r="F421" s="15">
        <f>VLOOKUP(Table2[[#This Row],[Date]],'Fed Fund New'!$A:$C,3,FALSE)</f>
        <v/>
      </c>
    </row>
    <row r="422">
      <c r="A422" s="61" t="n">
        <v>29860</v>
      </c>
      <c r="B422" s="68">
        <f>VLOOKUP(Table2[[#This Row],[Date]],Database!A:E,2,)</f>
        <v/>
      </c>
      <c r="C422" s="14">
        <f>(B422-B421)/B421</f>
        <v/>
      </c>
      <c r="D422" s="14">
        <f>(B422-B410)/B410</f>
        <v/>
      </c>
      <c r="E422" s="15">
        <f>VLOOKUP(Table2[[#This Row],[Date]],'Fed Fund New'!$A:$C,2,FALSE)</f>
        <v/>
      </c>
      <c r="F422" s="15">
        <f>VLOOKUP(Table2[[#This Row],[Date]],'Fed Fund New'!$A:$C,3,FALSE)</f>
        <v/>
      </c>
    </row>
    <row r="423">
      <c r="A423" s="61" t="n">
        <v>29891</v>
      </c>
      <c r="B423" s="68">
        <f>VLOOKUP(Table2[[#This Row],[Date]],Database!A:E,2,)</f>
        <v/>
      </c>
      <c r="C423" s="14">
        <f>(B423-B422)/B422</f>
        <v/>
      </c>
      <c r="D423" s="14">
        <f>(B423-B411)/B411</f>
        <v/>
      </c>
      <c r="E423" s="15">
        <f>VLOOKUP(Table2[[#This Row],[Date]],'Fed Fund New'!$A:$C,2,FALSE)</f>
        <v/>
      </c>
      <c r="F423" s="15">
        <f>VLOOKUP(Table2[[#This Row],[Date]],'Fed Fund New'!$A:$C,3,FALSE)</f>
        <v/>
      </c>
    </row>
    <row r="424">
      <c r="A424" s="61" t="n">
        <v>29921</v>
      </c>
      <c r="B424" s="68">
        <f>VLOOKUP(Table2[[#This Row],[Date]],Database!A:E,2,)</f>
        <v/>
      </c>
      <c r="C424" s="14">
        <f>(B424-B423)/B423</f>
        <v/>
      </c>
      <c r="D424" s="14">
        <f>(B424-B412)/B412</f>
        <v/>
      </c>
      <c r="E424" s="15">
        <f>VLOOKUP(Table2[[#This Row],[Date]],'Fed Fund New'!$A:$C,2,FALSE)</f>
        <v/>
      </c>
      <c r="F424" s="15">
        <f>VLOOKUP(Table2[[#This Row],[Date]],'Fed Fund New'!$A:$C,3,FALSE)</f>
        <v/>
      </c>
    </row>
    <row r="425">
      <c r="A425" s="61" t="n">
        <v>29952</v>
      </c>
      <c r="B425" s="68">
        <f>VLOOKUP(Table2[[#This Row],[Date]],Database!A:E,2,)</f>
        <v/>
      </c>
      <c r="C425" s="14">
        <f>(B425-B424)/B424</f>
        <v/>
      </c>
      <c r="D425" s="14">
        <f>(B425-B413)/B413</f>
        <v/>
      </c>
      <c r="E425" s="15">
        <f>VLOOKUP(Table2[[#This Row],[Date]],'Fed Fund New'!$A:$C,2,FALSE)</f>
        <v/>
      </c>
      <c r="F425" s="15">
        <f>VLOOKUP(Table2[[#This Row],[Date]],'Fed Fund New'!$A:$C,3,FALSE)</f>
        <v/>
      </c>
    </row>
    <row r="426">
      <c r="A426" s="61" t="n">
        <v>29983</v>
      </c>
      <c r="B426" s="68">
        <f>VLOOKUP(Table2[[#This Row],[Date]],Database!A:E,2,)</f>
        <v/>
      </c>
      <c r="C426" s="14">
        <f>(B426-B425)/B425</f>
        <v/>
      </c>
      <c r="D426" s="14">
        <f>(B426-B414)/B414</f>
        <v/>
      </c>
      <c r="E426" s="15">
        <f>VLOOKUP(Table2[[#This Row],[Date]],'Fed Fund New'!$A:$C,2,FALSE)</f>
        <v/>
      </c>
      <c r="F426" s="15">
        <f>VLOOKUP(Table2[[#This Row],[Date]],'Fed Fund New'!$A:$C,3,FALSE)</f>
        <v/>
      </c>
    </row>
    <row r="427">
      <c r="A427" s="61" t="n">
        <v>30011</v>
      </c>
      <c r="B427" s="68">
        <f>VLOOKUP(Table2[[#This Row],[Date]],Database!A:E,2,)</f>
        <v/>
      </c>
      <c r="C427" s="14">
        <f>(B427-B426)/B426</f>
        <v/>
      </c>
      <c r="D427" s="14">
        <f>(B427-B415)/B415</f>
        <v/>
      </c>
      <c r="E427" s="15">
        <f>VLOOKUP(Table2[[#This Row],[Date]],'Fed Fund New'!$A:$C,2,FALSE)</f>
        <v/>
      </c>
      <c r="F427" s="15">
        <f>VLOOKUP(Table2[[#This Row],[Date]],'Fed Fund New'!$A:$C,3,FALSE)</f>
        <v/>
      </c>
    </row>
    <row r="428">
      <c r="A428" s="61" t="n">
        <v>30042</v>
      </c>
      <c r="B428" s="68">
        <f>VLOOKUP(Table2[[#This Row],[Date]],Database!A:E,2,)</f>
        <v/>
      </c>
      <c r="C428" s="14">
        <f>(B428-B427)/B427</f>
        <v/>
      </c>
      <c r="D428" s="14">
        <f>(B428-B416)/B416</f>
        <v/>
      </c>
      <c r="E428" s="15">
        <f>VLOOKUP(Table2[[#This Row],[Date]],'Fed Fund New'!$A:$C,2,FALSE)</f>
        <v/>
      </c>
      <c r="F428" s="15">
        <f>VLOOKUP(Table2[[#This Row],[Date]],'Fed Fund New'!$A:$C,3,FALSE)</f>
        <v/>
      </c>
    </row>
    <row r="429">
      <c r="A429" s="61" t="n">
        <v>30072</v>
      </c>
      <c r="B429" s="68">
        <f>VLOOKUP(Table2[[#This Row],[Date]],Database!A:E,2,)</f>
        <v/>
      </c>
      <c r="C429" s="14">
        <f>(B429-B428)/B428</f>
        <v/>
      </c>
      <c r="D429" s="14">
        <f>(B429-B417)/B417</f>
        <v/>
      </c>
      <c r="E429" s="15">
        <f>VLOOKUP(Table2[[#This Row],[Date]],'Fed Fund New'!$A:$C,2,FALSE)</f>
        <v/>
      </c>
      <c r="F429" s="15">
        <f>VLOOKUP(Table2[[#This Row],[Date]],'Fed Fund New'!$A:$C,3,FALSE)</f>
        <v/>
      </c>
    </row>
    <row r="430">
      <c r="A430" s="61" t="n">
        <v>30103</v>
      </c>
      <c r="B430" s="68">
        <f>VLOOKUP(Table2[[#This Row],[Date]],Database!A:E,2,)</f>
        <v/>
      </c>
      <c r="C430" s="14">
        <f>(B430-B429)/B429</f>
        <v/>
      </c>
      <c r="D430" s="14">
        <f>(B430-B418)/B418</f>
        <v/>
      </c>
      <c r="E430" s="15">
        <f>VLOOKUP(Table2[[#This Row],[Date]],'Fed Fund New'!$A:$C,2,FALSE)</f>
        <v/>
      </c>
      <c r="F430" s="15">
        <f>VLOOKUP(Table2[[#This Row],[Date]],'Fed Fund New'!$A:$C,3,FALSE)</f>
        <v/>
      </c>
    </row>
    <row r="431">
      <c r="A431" s="61" t="n">
        <v>30133</v>
      </c>
      <c r="B431" s="68">
        <f>VLOOKUP(Table2[[#This Row],[Date]],Database!A:E,2,)</f>
        <v/>
      </c>
      <c r="C431" s="14">
        <f>(B431-B430)/B430</f>
        <v/>
      </c>
      <c r="D431" s="14">
        <f>(B431-B419)/B419</f>
        <v/>
      </c>
      <c r="E431" s="15">
        <f>VLOOKUP(Table2[[#This Row],[Date]],'Fed Fund New'!$A:$C,2,FALSE)</f>
        <v/>
      </c>
      <c r="F431" s="15">
        <f>VLOOKUP(Table2[[#This Row],[Date]],'Fed Fund New'!$A:$C,3,FALSE)</f>
        <v/>
      </c>
    </row>
    <row r="432">
      <c r="A432" s="61" t="n">
        <v>30164</v>
      </c>
      <c r="B432" s="68">
        <f>VLOOKUP(Table2[[#This Row],[Date]],Database!A:E,2,)</f>
        <v/>
      </c>
      <c r="C432" s="14">
        <f>(B432-B431)/B431</f>
        <v/>
      </c>
      <c r="D432" s="14">
        <f>(B432-B420)/B420</f>
        <v/>
      </c>
      <c r="E432" s="15">
        <f>VLOOKUP(Table2[[#This Row],[Date]],'Fed Fund New'!$A:$C,2,FALSE)</f>
        <v/>
      </c>
      <c r="F432" s="15">
        <f>VLOOKUP(Table2[[#This Row],[Date]],'Fed Fund New'!$A:$C,3,FALSE)</f>
        <v/>
      </c>
    </row>
    <row r="433">
      <c r="A433" s="61" t="n">
        <v>30195</v>
      </c>
      <c r="B433" s="68">
        <f>VLOOKUP(Table2[[#This Row],[Date]],Database!A:E,2,)</f>
        <v/>
      </c>
      <c r="C433" s="14">
        <f>(B433-B432)/B432</f>
        <v/>
      </c>
      <c r="D433" s="14">
        <f>(B433-B421)/B421</f>
        <v/>
      </c>
      <c r="E433" s="15">
        <f>VLOOKUP(Table2[[#This Row],[Date]],'Fed Fund New'!$A:$C,2,FALSE)</f>
        <v/>
      </c>
      <c r="F433" s="15">
        <f>VLOOKUP(Table2[[#This Row],[Date]],'Fed Fund New'!$A:$C,3,FALSE)</f>
        <v/>
      </c>
    </row>
    <row r="434">
      <c r="A434" s="61" t="n">
        <v>30225</v>
      </c>
      <c r="B434" s="68">
        <f>VLOOKUP(Table2[[#This Row],[Date]],Database!A:E,2,)</f>
        <v/>
      </c>
      <c r="C434" s="14">
        <f>(B434-B433)/B433</f>
        <v/>
      </c>
      <c r="D434" s="14">
        <f>(B434-B422)/B422</f>
        <v/>
      </c>
      <c r="E434" s="15">
        <f>VLOOKUP(Table2[[#This Row],[Date]],'Fed Fund New'!$A:$C,2,FALSE)</f>
        <v/>
      </c>
      <c r="F434" s="15">
        <f>VLOOKUP(Table2[[#This Row],[Date]],'Fed Fund New'!$A:$C,3,FALSE)</f>
        <v/>
      </c>
    </row>
    <row r="435">
      <c r="A435" s="61" t="n">
        <v>30256</v>
      </c>
      <c r="B435" s="68">
        <f>VLOOKUP(Table2[[#This Row],[Date]],Database!A:E,2,)</f>
        <v/>
      </c>
      <c r="C435" s="14">
        <f>(B435-B434)/B434</f>
        <v/>
      </c>
      <c r="D435" s="14">
        <f>(B435-B423)/B423</f>
        <v/>
      </c>
      <c r="E435" s="15">
        <f>VLOOKUP(Table2[[#This Row],[Date]],'Fed Fund New'!$A:$C,2,FALSE)</f>
        <v/>
      </c>
      <c r="F435" s="15">
        <f>VLOOKUP(Table2[[#This Row],[Date]],'Fed Fund New'!$A:$C,3,FALSE)</f>
        <v/>
      </c>
    </row>
    <row r="436">
      <c r="A436" s="61" t="n">
        <v>30286</v>
      </c>
      <c r="B436" s="68">
        <f>VLOOKUP(Table2[[#This Row],[Date]],Database!A:E,2,)</f>
        <v/>
      </c>
      <c r="C436" s="14">
        <f>(B436-B435)/B435</f>
        <v/>
      </c>
      <c r="D436" s="14">
        <f>(B436-B424)/B424</f>
        <v/>
      </c>
      <c r="E436" s="15">
        <f>VLOOKUP(Table2[[#This Row],[Date]],'Fed Fund New'!$A:$C,2,FALSE)</f>
        <v/>
      </c>
      <c r="F436" s="15">
        <f>VLOOKUP(Table2[[#This Row],[Date]],'Fed Fund New'!$A:$C,3,FALSE)</f>
        <v/>
      </c>
    </row>
    <row r="437">
      <c r="A437" s="61" t="n">
        <v>30317</v>
      </c>
      <c r="B437" s="68">
        <f>VLOOKUP(Table2[[#This Row],[Date]],Database!A:E,2,)</f>
        <v/>
      </c>
      <c r="C437" s="14">
        <f>(B437-B436)/B436</f>
        <v/>
      </c>
      <c r="D437" s="14">
        <f>(B437-B425)/B425</f>
        <v/>
      </c>
      <c r="E437" s="15">
        <f>VLOOKUP(Table2[[#This Row],[Date]],'Fed Fund New'!$A:$C,2,FALSE)</f>
        <v/>
      </c>
      <c r="F437" s="15">
        <f>VLOOKUP(Table2[[#This Row],[Date]],'Fed Fund New'!$A:$C,3,FALSE)</f>
        <v/>
      </c>
    </row>
    <row r="438">
      <c r="A438" s="61" t="n">
        <v>30348</v>
      </c>
      <c r="B438" s="68">
        <f>VLOOKUP(Table2[[#This Row],[Date]],Database!A:E,2,)</f>
        <v/>
      </c>
      <c r="C438" s="14">
        <f>(B438-B437)/B437</f>
        <v/>
      </c>
      <c r="D438" s="14">
        <f>(B438-B426)/B426</f>
        <v/>
      </c>
      <c r="E438" s="15">
        <f>VLOOKUP(Table2[[#This Row],[Date]],'Fed Fund New'!$A:$C,2,FALSE)</f>
        <v/>
      </c>
      <c r="F438" s="15">
        <f>VLOOKUP(Table2[[#This Row],[Date]],'Fed Fund New'!$A:$C,3,FALSE)</f>
        <v/>
      </c>
    </row>
    <row r="439">
      <c r="A439" s="61" t="n">
        <v>30376</v>
      </c>
      <c r="B439" s="68">
        <f>VLOOKUP(Table2[[#This Row],[Date]],Database!A:E,2,)</f>
        <v/>
      </c>
      <c r="C439" s="14">
        <f>(B439-B438)/B438</f>
        <v/>
      </c>
      <c r="D439" s="14">
        <f>(B439-B427)/B427</f>
        <v/>
      </c>
      <c r="E439" s="15">
        <f>VLOOKUP(Table2[[#This Row],[Date]],'Fed Fund New'!$A:$C,2,FALSE)</f>
        <v/>
      </c>
      <c r="F439" s="15">
        <f>VLOOKUP(Table2[[#This Row],[Date]],'Fed Fund New'!$A:$C,3,FALSE)</f>
        <v/>
      </c>
    </row>
    <row r="440">
      <c r="A440" s="61" t="n">
        <v>30407</v>
      </c>
      <c r="B440" s="68">
        <f>VLOOKUP(Table2[[#This Row],[Date]],Database!A:E,2,)</f>
        <v/>
      </c>
      <c r="C440" s="14">
        <f>(B440-B439)/B439</f>
        <v/>
      </c>
      <c r="D440" s="14">
        <f>(B440-B428)/B428</f>
        <v/>
      </c>
      <c r="E440" s="15">
        <f>VLOOKUP(Table2[[#This Row],[Date]],'Fed Fund New'!$A:$C,2,FALSE)</f>
        <v/>
      </c>
      <c r="F440" s="15">
        <f>VLOOKUP(Table2[[#This Row],[Date]],'Fed Fund New'!$A:$C,3,FALSE)</f>
        <v/>
      </c>
    </row>
    <row r="441">
      <c r="A441" s="61" t="n">
        <v>30437</v>
      </c>
      <c r="B441" s="68">
        <f>VLOOKUP(Table2[[#This Row],[Date]],Database!A:E,2,)</f>
        <v/>
      </c>
      <c r="C441" s="14">
        <f>(B441-B440)/B440</f>
        <v/>
      </c>
      <c r="D441" s="14">
        <f>(B441-B429)/B429</f>
        <v/>
      </c>
      <c r="E441" s="15">
        <f>VLOOKUP(Table2[[#This Row],[Date]],'Fed Fund New'!$A:$C,2,FALSE)</f>
        <v/>
      </c>
      <c r="F441" s="15">
        <f>VLOOKUP(Table2[[#This Row],[Date]],'Fed Fund New'!$A:$C,3,FALSE)</f>
        <v/>
      </c>
    </row>
    <row r="442">
      <c r="A442" s="61" t="n">
        <v>30468</v>
      </c>
      <c r="B442" s="68">
        <f>VLOOKUP(Table2[[#This Row],[Date]],Database!A:E,2,)</f>
        <v/>
      </c>
      <c r="C442" s="14">
        <f>(B442-B441)/B441</f>
        <v/>
      </c>
      <c r="D442" s="14">
        <f>(B442-B430)/B430</f>
        <v/>
      </c>
      <c r="E442" s="15">
        <f>VLOOKUP(Table2[[#This Row],[Date]],'Fed Fund New'!$A:$C,2,FALSE)</f>
        <v/>
      </c>
      <c r="F442" s="15">
        <f>VLOOKUP(Table2[[#This Row],[Date]],'Fed Fund New'!$A:$C,3,FALSE)</f>
        <v/>
      </c>
    </row>
    <row r="443">
      <c r="A443" s="61" t="n">
        <v>30498</v>
      </c>
      <c r="B443" s="68">
        <f>VLOOKUP(Table2[[#This Row],[Date]],Database!A:E,2,)</f>
        <v/>
      </c>
      <c r="C443" s="14">
        <f>(B443-B442)/B442</f>
        <v/>
      </c>
      <c r="D443" s="14">
        <f>(B443-B431)/B431</f>
        <v/>
      </c>
      <c r="E443" s="15">
        <f>VLOOKUP(Table2[[#This Row],[Date]],'Fed Fund New'!$A:$C,2,FALSE)</f>
        <v/>
      </c>
      <c r="F443" s="15">
        <f>VLOOKUP(Table2[[#This Row],[Date]],'Fed Fund New'!$A:$C,3,FALSE)</f>
        <v/>
      </c>
    </row>
    <row r="444">
      <c r="A444" s="61" t="n">
        <v>30529</v>
      </c>
      <c r="B444" s="68">
        <f>VLOOKUP(Table2[[#This Row],[Date]],Database!A:E,2,)</f>
        <v/>
      </c>
      <c r="C444" s="14">
        <f>(B444-B443)/B443</f>
        <v/>
      </c>
      <c r="D444" s="14">
        <f>(B444-B432)/B432</f>
        <v/>
      </c>
      <c r="E444" s="15">
        <f>VLOOKUP(Table2[[#This Row],[Date]],'Fed Fund New'!$A:$C,2,FALSE)</f>
        <v/>
      </c>
      <c r="F444" s="15">
        <f>VLOOKUP(Table2[[#This Row],[Date]],'Fed Fund New'!$A:$C,3,FALSE)</f>
        <v/>
      </c>
    </row>
    <row r="445">
      <c r="A445" s="61" t="n">
        <v>30560</v>
      </c>
      <c r="B445" s="68">
        <f>VLOOKUP(Table2[[#This Row],[Date]],Database!A:E,2,)</f>
        <v/>
      </c>
      <c r="C445" s="14">
        <f>(B445-B444)/B444</f>
        <v/>
      </c>
      <c r="D445" s="14">
        <f>(B445-B433)/B433</f>
        <v/>
      </c>
      <c r="E445" s="15">
        <f>VLOOKUP(Table2[[#This Row],[Date]],'Fed Fund New'!$A:$C,2,FALSE)</f>
        <v/>
      </c>
      <c r="F445" s="15">
        <f>VLOOKUP(Table2[[#This Row],[Date]],'Fed Fund New'!$A:$C,3,FALSE)</f>
        <v/>
      </c>
    </row>
    <row r="446">
      <c r="A446" s="61" t="n">
        <v>30590</v>
      </c>
      <c r="B446" s="68">
        <f>VLOOKUP(Table2[[#This Row],[Date]],Database!A:E,2,)</f>
        <v/>
      </c>
      <c r="C446" s="14">
        <f>(B446-B445)/B445</f>
        <v/>
      </c>
      <c r="D446" s="14">
        <f>(B446-B434)/B434</f>
        <v/>
      </c>
      <c r="E446" s="15">
        <f>VLOOKUP(Table2[[#This Row],[Date]],'Fed Fund New'!$A:$C,2,FALSE)</f>
        <v/>
      </c>
      <c r="F446" s="15">
        <f>VLOOKUP(Table2[[#This Row],[Date]],'Fed Fund New'!$A:$C,3,FALSE)</f>
        <v/>
      </c>
    </row>
    <row r="447">
      <c r="A447" s="61" t="n">
        <v>30621</v>
      </c>
      <c r="B447" s="68">
        <f>VLOOKUP(Table2[[#This Row],[Date]],Database!A:E,2,)</f>
        <v/>
      </c>
      <c r="C447" s="14">
        <f>(B447-B446)/B446</f>
        <v/>
      </c>
      <c r="D447" s="14">
        <f>(B447-B435)/B435</f>
        <v/>
      </c>
      <c r="E447" s="15">
        <f>VLOOKUP(Table2[[#This Row],[Date]],'Fed Fund New'!$A:$C,2,FALSE)</f>
        <v/>
      </c>
      <c r="F447" s="15">
        <f>VLOOKUP(Table2[[#This Row],[Date]],'Fed Fund New'!$A:$C,3,FALSE)</f>
        <v/>
      </c>
    </row>
    <row r="448">
      <c r="A448" s="61" t="n">
        <v>30651</v>
      </c>
      <c r="B448" s="68">
        <f>VLOOKUP(Table2[[#This Row],[Date]],Database!A:E,2,)</f>
        <v/>
      </c>
      <c r="C448" s="14">
        <f>(B448-B447)/B447</f>
        <v/>
      </c>
      <c r="D448" s="14">
        <f>(B448-B436)/B436</f>
        <v/>
      </c>
      <c r="E448" s="15">
        <f>VLOOKUP(Table2[[#This Row],[Date]],'Fed Fund New'!$A:$C,2,FALSE)</f>
        <v/>
      </c>
      <c r="F448" s="15">
        <f>VLOOKUP(Table2[[#This Row],[Date]],'Fed Fund New'!$A:$C,3,FALSE)</f>
        <v/>
      </c>
    </row>
    <row r="449">
      <c r="A449" s="61" t="n">
        <v>30682</v>
      </c>
      <c r="B449" s="68">
        <f>VLOOKUP(Table2[[#This Row],[Date]],Database!A:E,2,)</f>
        <v/>
      </c>
      <c r="C449" s="14">
        <f>(B449-B448)/B448</f>
        <v/>
      </c>
      <c r="D449" s="14">
        <f>(B449-B437)/B437</f>
        <v/>
      </c>
      <c r="E449" s="15">
        <f>VLOOKUP(Table2[[#This Row],[Date]],'Fed Fund New'!$A:$C,2,FALSE)</f>
        <v/>
      </c>
      <c r="F449" s="15">
        <f>VLOOKUP(Table2[[#This Row],[Date]],'Fed Fund New'!$A:$C,3,FALSE)</f>
        <v/>
      </c>
    </row>
    <row r="450">
      <c r="A450" s="61" t="n">
        <v>30713</v>
      </c>
      <c r="B450" s="68">
        <f>VLOOKUP(Table2[[#This Row],[Date]],Database!A:E,2,)</f>
        <v/>
      </c>
      <c r="C450" s="14">
        <f>(B450-B449)/B449</f>
        <v/>
      </c>
      <c r="D450" s="14">
        <f>(B450-B438)/B438</f>
        <v/>
      </c>
      <c r="E450" s="15">
        <f>VLOOKUP(Table2[[#This Row],[Date]],'Fed Fund New'!$A:$C,2,FALSE)</f>
        <v/>
      </c>
      <c r="F450" s="15">
        <f>VLOOKUP(Table2[[#This Row],[Date]],'Fed Fund New'!$A:$C,3,FALSE)</f>
        <v/>
      </c>
    </row>
    <row r="451">
      <c r="A451" s="61" t="n">
        <v>30742</v>
      </c>
      <c r="B451" s="68">
        <f>VLOOKUP(Table2[[#This Row],[Date]],Database!A:E,2,)</f>
        <v/>
      </c>
      <c r="C451" s="14">
        <f>(B451-B450)/B450</f>
        <v/>
      </c>
      <c r="D451" s="14">
        <f>(B451-B439)/B439</f>
        <v/>
      </c>
      <c r="E451" s="15">
        <f>VLOOKUP(Table2[[#This Row],[Date]],'Fed Fund New'!$A:$C,2,FALSE)</f>
        <v/>
      </c>
      <c r="F451" s="15">
        <f>VLOOKUP(Table2[[#This Row],[Date]],'Fed Fund New'!$A:$C,3,FALSE)</f>
        <v/>
      </c>
    </row>
    <row r="452">
      <c r="A452" s="61" t="n">
        <v>30773</v>
      </c>
      <c r="B452" s="68">
        <f>VLOOKUP(Table2[[#This Row],[Date]],Database!A:E,2,)</f>
        <v/>
      </c>
      <c r="C452" s="14">
        <f>(B452-B451)/B451</f>
        <v/>
      </c>
      <c r="D452" s="14">
        <f>(B452-B440)/B440</f>
        <v/>
      </c>
      <c r="E452" s="15">
        <f>VLOOKUP(Table2[[#This Row],[Date]],'Fed Fund New'!$A:$C,2,FALSE)</f>
        <v/>
      </c>
      <c r="F452" s="15">
        <f>VLOOKUP(Table2[[#This Row],[Date]],'Fed Fund New'!$A:$C,3,FALSE)</f>
        <v/>
      </c>
    </row>
    <row r="453">
      <c r="A453" s="61" t="n">
        <v>30803</v>
      </c>
      <c r="B453" s="68">
        <f>VLOOKUP(Table2[[#This Row],[Date]],Database!A:E,2,)</f>
        <v/>
      </c>
      <c r="C453" s="14">
        <f>(B453-B452)/B452</f>
        <v/>
      </c>
      <c r="D453" s="14">
        <f>(B453-B441)/B441</f>
        <v/>
      </c>
      <c r="E453" s="15">
        <f>VLOOKUP(Table2[[#This Row],[Date]],'Fed Fund New'!$A:$C,2,FALSE)</f>
        <v/>
      </c>
      <c r="F453" s="15">
        <f>VLOOKUP(Table2[[#This Row],[Date]],'Fed Fund New'!$A:$C,3,FALSE)</f>
        <v/>
      </c>
    </row>
    <row r="454">
      <c r="A454" s="61" t="n">
        <v>30834</v>
      </c>
      <c r="B454" s="68">
        <f>VLOOKUP(Table2[[#This Row],[Date]],Database!A:E,2,)</f>
        <v/>
      </c>
      <c r="C454" s="14">
        <f>(B454-B453)/B453</f>
        <v/>
      </c>
      <c r="D454" s="14">
        <f>(B454-B442)/B442</f>
        <v/>
      </c>
      <c r="E454" s="15">
        <f>VLOOKUP(Table2[[#This Row],[Date]],'Fed Fund New'!$A:$C,2,FALSE)</f>
        <v/>
      </c>
      <c r="F454" s="15">
        <f>VLOOKUP(Table2[[#This Row],[Date]],'Fed Fund New'!$A:$C,3,FALSE)</f>
        <v/>
      </c>
    </row>
    <row r="455">
      <c r="A455" s="61" t="n">
        <v>30864</v>
      </c>
      <c r="B455" s="68">
        <f>VLOOKUP(Table2[[#This Row],[Date]],Database!A:E,2,)</f>
        <v/>
      </c>
      <c r="C455" s="14">
        <f>(B455-B454)/B454</f>
        <v/>
      </c>
      <c r="D455" s="14">
        <f>(B455-B443)/B443</f>
        <v/>
      </c>
      <c r="E455" s="15">
        <f>VLOOKUP(Table2[[#This Row],[Date]],'Fed Fund New'!$A:$C,2,FALSE)</f>
        <v/>
      </c>
      <c r="F455" s="15">
        <f>VLOOKUP(Table2[[#This Row],[Date]],'Fed Fund New'!$A:$C,3,FALSE)</f>
        <v/>
      </c>
    </row>
    <row r="456">
      <c r="A456" s="61" t="n">
        <v>30895</v>
      </c>
      <c r="B456" s="68">
        <f>VLOOKUP(Table2[[#This Row],[Date]],Database!A:E,2,)</f>
        <v/>
      </c>
      <c r="C456" s="14">
        <f>(B456-B455)/B455</f>
        <v/>
      </c>
      <c r="D456" s="14">
        <f>(B456-B444)/B444</f>
        <v/>
      </c>
      <c r="E456" s="15">
        <f>VLOOKUP(Table2[[#This Row],[Date]],'Fed Fund New'!$A:$C,2,FALSE)</f>
        <v/>
      </c>
      <c r="F456" s="15">
        <f>VLOOKUP(Table2[[#This Row],[Date]],'Fed Fund New'!$A:$C,3,FALSE)</f>
        <v/>
      </c>
    </row>
    <row r="457">
      <c r="A457" s="61" t="n">
        <v>30926</v>
      </c>
      <c r="B457" s="68">
        <f>VLOOKUP(Table2[[#This Row],[Date]],Database!A:E,2,)</f>
        <v/>
      </c>
      <c r="C457" s="14">
        <f>(B457-B456)/B456</f>
        <v/>
      </c>
      <c r="D457" s="14">
        <f>(B457-B445)/B445</f>
        <v/>
      </c>
      <c r="E457" s="15">
        <f>VLOOKUP(Table2[[#This Row],[Date]],'Fed Fund New'!$A:$C,2,FALSE)</f>
        <v/>
      </c>
      <c r="F457" s="15">
        <f>VLOOKUP(Table2[[#This Row],[Date]],'Fed Fund New'!$A:$C,3,FALSE)</f>
        <v/>
      </c>
    </row>
    <row r="458">
      <c r="A458" s="61" t="n">
        <v>30956</v>
      </c>
      <c r="B458" s="68">
        <f>VLOOKUP(Table2[[#This Row],[Date]],Database!A:E,2,)</f>
        <v/>
      </c>
      <c r="C458" s="14">
        <f>(B458-B457)/B457</f>
        <v/>
      </c>
      <c r="D458" s="14">
        <f>(B458-B446)/B446</f>
        <v/>
      </c>
      <c r="E458" s="15">
        <f>VLOOKUP(Table2[[#This Row],[Date]],'Fed Fund New'!$A:$C,2,FALSE)</f>
        <v/>
      </c>
      <c r="F458" s="15">
        <f>VLOOKUP(Table2[[#This Row],[Date]],'Fed Fund New'!$A:$C,3,FALSE)</f>
        <v/>
      </c>
    </row>
    <row r="459">
      <c r="A459" s="61" t="n">
        <v>30987</v>
      </c>
      <c r="B459" s="68">
        <f>VLOOKUP(Table2[[#This Row],[Date]],Database!A:E,2,)</f>
        <v/>
      </c>
      <c r="C459" s="14">
        <f>(B459-B458)/B458</f>
        <v/>
      </c>
      <c r="D459" s="14">
        <f>(B459-B447)/B447</f>
        <v/>
      </c>
      <c r="E459" s="15">
        <f>VLOOKUP(Table2[[#This Row],[Date]],'Fed Fund New'!$A:$C,2,FALSE)</f>
        <v/>
      </c>
      <c r="F459" s="15">
        <f>VLOOKUP(Table2[[#This Row],[Date]],'Fed Fund New'!$A:$C,3,FALSE)</f>
        <v/>
      </c>
    </row>
    <row r="460">
      <c r="A460" s="61" t="n">
        <v>31017</v>
      </c>
      <c r="B460" s="68">
        <f>VLOOKUP(Table2[[#This Row],[Date]],Database!A:E,2,)</f>
        <v/>
      </c>
      <c r="C460" s="14">
        <f>(B460-B459)/B459</f>
        <v/>
      </c>
      <c r="D460" s="14">
        <f>(B460-B448)/B448</f>
        <v/>
      </c>
      <c r="E460" s="15">
        <f>VLOOKUP(Table2[[#This Row],[Date]],'Fed Fund New'!$A:$C,2,FALSE)</f>
        <v/>
      </c>
      <c r="F460" s="15">
        <f>VLOOKUP(Table2[[#This Row],[Date]],'Fed Fund New'!$A:$C,3,FALSE)</f>
        <v/>
      </c>
    </row>
    <row r="461">
      <c r="A461" s="61" t="n">
        <v>31048</v>
      </c>
      <c r="B461" s="68">
        <f>VLOOKUP(Table2[[#This Row],[Date]],Database!A:E,2,)</f>
        <v/>
      </c>
      <c r="C461" s="14">
        <f>(B461-B460)/B460</f>
        <v/>
      </c>
      <c r="D461" s="14">
        <f>(B461-B449)/B449</f>
        <v/>
      </c>
      <c r="E461" s="15">
        <f>VLOOKUP(Table2[[#This Row],[Date]],'Fed Fund New'!$A:$C,2,FALSE)</f>
        <v/>
      </c>
      <c r="F461" s="15">
        <f>VLOOKUP(Table2[[#This Row],[Date]],'Fed Fund New'!$A:$C,3,FALSE)</f>
        <v/>
      </c>
    </row>
    <row r="462">
      <c r="A462" s="61" t="n">
        <v>31079</v>
      </c>
      <c r="B462" s="68">
        <f>VLOOKUP(Table2[[#This Row],[Date]],Database!A:E,2,)</f>
        <v/>
      </c>
      <c r="C462" s="14">
        <f>(B462-B461)/B461</f>
        <v/>
      </c>
      <c r="D462" s="14">
        <f>(B462-B450)/B450</f>
        <v/>
      </c>
      <c r="E462" s="15">
        <f>VLOOKUP(Table2[[#This Row],[Date]],'Fed Fund New'!$A:$C,2,FALSE)</f>
        <v/>
      </c>
      <c r="F462" s="15">
        <f>VLOOKUP(Table2[[#This Row],[Date]],'Fed Fund New'!$A:$C,3,FALSE)</f>
        <v/>
      </c>
    </row>
    <row r="463">
      <c r="A463" s="61" t="n">
        <v>31107</v>
      </c>
      <c r="B463" s="68">
        <f>VLOOKUP(Table2[[#This Row],[Date]],Database!A:E,2,)</f>
        <v/>
      </c>
      <c r="C463" s="14">
        <f>(B463-B462)/B462</f>
        <v/>
      </c>
      <c r="D463" s="14">
        <f>(B463-B451)/B451</f>
        <v/>
      </c>
      <c r="E463" s="15">
        <f>VLOOKUP(Table2[[#This Row],[Date]],'Fed Fund New'!$A:$C,2,FALSE)</f>
        <v/>
      </c>
      <c r="F463" s="15">
        <f>VLOOKUP(Table2[[#This Row],[Date]],'Fed Fund New'!$A:$C,3,FALSE)</f>
        <v/>
      </c>
    </row>
    <row r="464">
      <c r="A464" s="61" t="n">
        <v>31138</v>
      </c>
      <c r="B464" s="68">
        <f>VLOOKUP(Table2[[#This Row],[Date]],Database!A:E,2,)</f>
        <v/>
      </c>
      <c r="C464" s="14">
        <f>(B464-B463)/B463</f>
        <v/>
      </c>
      <c r="D464" s="14">
        <f>(B464-B452)/B452</f>
        <v/>
      </c>
      <c r="E464" s="15">
        <f>VLOOKUP(Table2[[#This Row],[Date]],'Fed Fund New'!$A:$C,2,FALSE)</f>
        <v/>
      </c>
      <c r="F464" s="15">
        <f>VLOOKUP(Table2[[#This Row],[Date]],'Fed Fund New'!$A:$C,3,FALSE)</f>
        <v/>
      </c>
    </row>
    <row r="465">
      <c r="A465" s="61" t="n">
        <v>31168</v>
      </c>
      <c r="B465" s="68">
        <f>VLOOKUP(Table2[[#This Row],[Date]],Database!A:E,2,)</f>
        <v/>
      </c>
      <c r="C465" s="14">
        <f>(B465-B464)/B464</f>
        <v/>
      </c>
      <c r="D465" s="14">
        <f>(B465-B453)/B453</f>
        <v/>
      </c>
      <c r="E465" s="15">
        <f>VLOOKUP(Table2[[#This Row],[Date]],'Fed Fund New'!$A:$C,2,FALSE)</f>
        <v/>
      </c>
      <c r="F465" s="15">
        <f>VLOOKUP(Table2[[#This Row],[Date]],'Fed Fund New'!$A:$C,3,FALSE)</f>
        <v/>
      </c>
    </row>
    <row r="466">
      <c r="A466" s="61" t="n">
        <v>31199</v>
      </c>
      <c r="B466" s="68">
        <f>VLOOKUP(Table2[[#This Row],[Date]],Database!A:E,2,)</f>
        <v/>
      </c>
      <c r="C466" s="14">
        <f>(B466-B465)/B465</f>
        <v/>
      </c>
      <c r="D466" s="14">
        <f>(B466-B454)/B454</f>
        <v/>
      </c>
      <c r="E466" s="15">
        <f>VLOOKUP(Table2[[#This Row],[Date]],'Fed Fund New'!$A:$C,2,FALSE)</f>
        <v/>
      </c>
      <c r="F466" s="15">
        <f>VLOOKUP(Table2[[#This Row],[Date]],'Fed Fund New'!$A:$C,3,FALSE)</f>
        <v/>
      </c>
    </row>
    <row r="467">
      <c r="A467" s="61" t="n">
        <v>31229</v>
      </c>
      <c r="B467" s="68">
        <f>VLOOKUP(Table2[[#This Row],[Date]],Database!A:E,2,)</f>
        <v/>
      </c>
      <c r="C467" s="14">
        <f>(B467-B466)/B466</f>
        <v/>
      </c>
      <c r="D467" s="14">
        <f>(B467-B455)/B455</f>
        <v/>
      </c>
      <c r="E467" s="15">
        <f>VLOOKUP(Table2[[#This Row],[Date]],'Fed Fund New'!$A:$C,2,FALSE)</f>
        <v/>
      </c>
      <c r="F467" s="15">
        <f>VLOOKUP(Table2[[#This Row],[Date]],'Fed Fund New'!$A:$C,3,FALSE)</f>
        <v/>
      </c>
    </row>
    <row r="468">
      <c r="A468" s="61" t="n">
        <v>31260</v>
      </c>
      <c r="B468" s="68">
        <f>VLOOKUP(Table2[[#This Row],[Date]],Database!A:E,2,)</f>
        <v/>
      </c>
      <c r="C468" s="14">
        <f>(B468-B467)/B467</f>
        <v/>
      </c>
      <c r="D468" s="14">
        <f>(B468-B456)/B456</f>
        <v/>
      </c>
      <c r="E468" s="15">
        <f>VLOOKUP(Table2[[#This Row],[Date]],'Fed Fund New'!$A:$C,2,FALSE)</f>
        <v/>
      </c>
      <c r="F468" s="15">
        <f>VLOOKUP(Table2[[#This Row],[Date]],'Fed Fund New'!$A:$C,3,FALSE)</f>
        <v/>
      </c>
    </row>
    <row r="469">
      <c r="A469" s="61" t="n">
        <v>31291</v>
      </c>
      <c r="B469" s="68">
        <f>VLOOKUP(Table2[[#This Row],[Date]],Database!A:E,2,)</f>
        <v/>
      </c>
      <c r="C469" s="14">
        <f>(B469-B468)/B468</f>
        <v/>
      </c>
      <c r="D469" s="14">
        <f>(B469-B457)/B457</f>
        <v/>
      </c>
      <c r="E469" s="15">
        <f>VLOOKUP(Table2[[#This Row],[Date]],'Fed Fund New'!$A:$C,2,FALSE)</f>
        <v/>
      </c>
      <c r="F469" s="15">
        <f>VLOOKUP(Table2[[#This Row],[Date]],'Fed Fund New'!$A:$C,3,FALSE)</f>
        <v/>
      </c>
    </row>
    <row r="470">
      <c r="A470" s="61" t="n">
        <v>31321</v>
      </c>
      <c r="B470" s="68">
        <f>VLOOKUP(Table2[[#This Row],[Date]],Database!A:E,2,)</f>
        <v/>
      </c>
      <c r="C470" s="14">
        <f>(B470-B469)/B469</f>
        <v/>
      </c>
      <c r="D470" s="14">
        <f>(B470-B458)/B458</f>
        <v/>
      </c>
      <c r="E470" s="15">
        <f>VLOOKUP(Table2[[#This Row],[Date]],'Fed Fund New'!$A:$C,2,FALSE)</f>
        <v/>
      </c>
      <c r="F470" s="15">
        <f>VLOOKUP(Table2[[#This Row],[Date]],'Fed Fund New'!$A:$C,3,FALSE)</f>
        <v/>
      </c>
    </row>
    <row r="471">
      <c r="A471" s="61" t="n">
        <v>31352</v>
      </c>
      <c r="B471" s="68">
        <f>VLOOKUP(Table2[[#This Row],[Date]],Database!A:E,2,)</f>
        <v/>
      </c>
      <c r="C471" s="14">
        <f>(B471-B470)/B470</f>
        <v/>
      </c>
      <c r="D471" s="14">
        <f>(B471-B459)/B459</f>
        <v/>
      </c>
      <c r="E471" s="15">
        <f>VLOOKUP(Table2[[#This Row],[Date]],'Fed Fund New'!$A:$C,2,FALSE)</f>
        <v/>
      </c>
      <c r="F471" s="15">
        <f>VLOOKUP(Table2[[#This Row],[Date]],'Fed Fund New'!$A:$C,3,FALSE)</f>
        <v/>
      </c>
    </row>
    <row r="472">
      <c r="A472" s="61" t="n">
        <v>31382</v>
      </c>
      <c r="B472" s="68">
        <f>VLOOKUP(Table2[[#This Row],[Date]],Database!A:E,2,)</f>
        <v/>
      </c>
      <c r="C472" s="14">
        <f>(B472-B471)/B471</f>
        <v/>
      </c>
      <c r="D472" s="14">
        <f>(B472-B460)/B460</f>
        <v/>
      </c>
      <c r="E472" s="15">
        <f>VLOOKUP(Table2[[#This Row],[Date]],'Fed Fund New'!$A:$C,2,FALSE)</f>
        <v/>
      </c>
      <c r="F472" s="15">
        <f>VLOOKUP(Table2[[#This Row],[Date]],'Fed Fund New'!$A:$C,3,FALSE)</f>
        <v/>
      </c>
    </row>
    <row r="473">
      <c r="A473" s="61" t="n">
        <v>31413</v>
      </c>
      <c r="B473" s="68">
        <f>VLOOKUP(Table2[[#This Row],[Date]],Database!A:E,2,)</f>
        <v/>
      </c>
      <c r="C473" s="14">
        <f>(B473-B472)/B472</f>
        <v/>
      </c>
      <c r="D473" s="14">
        <f>(B473-B461)/B461</f>
        <v/>
      </c>
      <c r="E473" s="15">
        <f>VLOOKUP(Table2[[#This Row],[Date]],'Fed Fund New'!$A:$C,2,FALSE)</f>
        <v/>
      </c>
      <c r="F473" s="15">
        <f>VLOOKUP(Table2[[#This Row],[Date]],'Fed Fund New'!$A:$C,3,FALSE)</f>
        <v/>
      </c>
    </row>
    <row r="474">
      <c r="A474" s="61" t="n">
        <v>31444</v>
      </c>
      <c r="B474" s="68">
        <f>VLOOKUP(Table2[[#This Row],[Date]],Database!A:E,2,)</f>
        <v/>
      </c>
      <c r="C474" s="14">
        <f>(B474-B473)/B473</f>
        <v/>
      </c>
      <c r="D474" s="14">
        <f>(B474-B462)/B462</f>
        <v/>
      </c>
      <c r="E474" s="15">
        <f>VLOOKUP(Table2[[#This Row],[Date]],'Fed Fund New'!$A:$C,2,FALSE)</f>
        <v/>
      </c>
      <c r="F474" s="15">
        <f>VLOOKUP(Table2[[#This Row],[Date]],'Fed Fund New'!$A:$C,3,FALSE)</f>
        <v/>
      </c>
    </row>
    <row r="475">
      <c r="A475" s="61" t="n">
        <v>31472</v>
      </c>
      <c r="B475" s="68">
        <f>VLOOKUP(Table2[[#This Row],[Date]],Database!A:E,2,)</f>
        <v/>
      </c>
      <c r="C475" s="14">
        <f>(B475-B474)/B474</f>
        <v/>
      </c>
      <c r="D475" s="14">
        <f>(B475-B463)/B463</f>
        <v/>
      </c>
      <c r="E475" s="15">
        <f>VLOOKUP(Table2[[#This Row],[Date]],'Fed Fund New'!$A:$C,2,FALSE)</f>
        <v/>
      </c>
      <c r="F475" s="15">
        <f>VLOOKUP(Table2[[#This Row],[Date]],'Fed Fund New'!$A:$C,3,FALSE)</f>
        <v/>
      </c>
    </row>
    <row r="476">
      <c r="A476" s="61" t="n">
        <v>31503</v>
      </c>
      <c r="B476" s="68">
        <f>VLOOKUP(Table2[[#This Row],[Date]],Database!A:E,2,)</f>
        <v/>
      </c>
      <c r="C476" s="14">
        <f>(B476-B475)/B475</f>
        <v/>
      </c>
      <c r="D476" s="14">
        <f>(B476-B464)/B464</f>
        <v/>
      </c>
      <c r="E476" s="15">
        <f>VLOOKUP(Table2[[#This Row],[Date]],'Fed Fund New'!$A:$C,2,FALSE)</f>
        <v/>
      </c>
      <c r="F476" s="15">
        <f>VLOOKUP(Table2[[#This Row],[Date]],'Fed Fund New'!$A:$C,3,FALSE)</f>
        <v/>
      </c>
    </row>
    <row r="477">
      <c r="A477" s="61" t="n">
        <v>31533</v>
      </c>
      <c r="B477" s="68">
        <f>VLOOKUP(Table2[[#This Row],[Date]],Database!A:E,2,)</f>
        <v/>
      </c>
      <c r="C477" s="14">
        <f>(B477-B476)/B476</f>
        <v/>
      </c>
      <c r="D477" s="14">
        <f>(B477-B465)/B465</f>
        <v/>
      </c>
      <c r="E477" s="15">
        <f>VLOOKUP(Table2[[#This Row],[Date]],'Fed Fund New'!$A:$C,2,FALSE)</f>
        <v/>
      </c>
      <c r="F477" s="15">
        <f>VLOOKUP(Table2[[#This Row],[Date]],'Fed Fund New'!$A:$C,3,FALSE)</f>
        <v/>
      </c>
    </row>
    <row r="478">
      <c r="A478" s="61" t="n">
        <v>31564</v>
      </c>
      <c r="B478" s="68">
        <f>VLOOKUP(Table2[[#This Row],[Date]],Database!A:E,2,)</f>
        <v/>
      </c>
      <c r="C478" s="14">
        <f>(B478-B477)/B477</f>
        <v/>
      </c>
      <c r="D478" s="14">
        <f>(B478-B466)/B466</f>
        <v/>
      </c>
      <c r="E478" s="15">
        <f>VLOOKUP(Table2[[#This Row],[Date]],'Fed Fund New'!$A:$C,2,FALSE)</f>
        <v/>
      </c>
      <c r="F478" s="15">
        <f>VLOOKUP(Table2[[#This Row],[Date]],'Fed Fund New'!$A:$C,3,FALSE)</f>
        <v/>
      </c>
    </row>
    <row r="479">
      <c r="A479" s="61" t="n">
        <v>31594</v>
      </c>
      <c r="B479" s="68">
        <f>VLOOKUP(Table2[[#This Row],[Date]],Database!A:E,2,)</f>
        <v/>
      </c>
      <c r="C479" s="14">
        <f>(B479-B478)/B478</f>
        <v/>
      </c>
      <c r="D479" s="14">
        <f>(B479-B467)/B467</f>
        <v/>
      </c>
      <c r="E479" s="15">
        <f>VLOOKUP(Table2[[#This Row],[Date]],'Fed Fund New'!$A:$C,2,FALSE)</f>
        <v/>
      </c>
      <c r="F479" s="15">
        <f>VLOOKUP(Table2[[#This Row],[Date]],'Fed Fund New'!$A:$C,3,FALSE)</f>
        <v/>
      </c>
    </row>
    <row r="480">
      <c r="A480" s="61" t="n">
        <v>31625</v>
      </c>
      <c r="B480" s="68">
        <f>VLOOKUP(Table2[[#This Row],[Date]],Database!A:E,2,)</f>
        <v/>
      </c>
      <c r="C480" s="14">
        <f>(B480-B479)/B479</f>
        <v/>
      </c>
      <c r="D480" s="14">
        <f>(B480-B468)/B468</f>
        <v/>
      </c>
      <c r="E480" s="15">
        <f>VLOOKUP(Table2[[#This Row],[Date]],'Fed Fund New'!$A:$C,2,FALSE)</f>
        <v/>
      </c>
      <c r="F480" s="15">
        <f>VLOOKUP(Table2[[#This Row],[Date]],'Fed Fund New'!$A:$C,3,FALSE)</f>
        <v/>
      </c>
    </row>
    <row r="481">
      <c r="A481" s="61" t="n">
        <v>31656</v>
      </c>
      <c r="B481" s="68">
        <f>VLOOKUP(Table2[[#This Row],[Date]],Database!A:E,2,)</f>
        <v/>
      </c>
      <c r="C481" s="14">
        <f>(B481-B480)/B480</f>
        <v/>
      </c>
      <c r="D481" s="14">
        <f>(B481-B469)/B469</f>
        <v/>
      </c>
      <c r="E481" s="15">
        <f>VLOOKUP(Table2[[#This Row],[Date]],'Fed Fund New'!$A:$C,2,FALSE)</f>
        <v/>
      </c>
      <c r="F481" s="15">
        <f>VLOOKUP(Table2[[#This Row],[Date]],'Fed Fund New'!$A:$C,3,FALSE)</f>
        <v/>
      </c>
    </row>
    <row r="482">
      <c r="A482" s="61" t="n">
        <v>31686</v>
      </c>
      <c r="B482" s="68">
        <f>VLOOKUP(Table2[[#This Row],[Date]],Database!A:E,2,)</f>
        <v/>
      </c>
      <c r="C482" s="14">
        <f>(B482-B481)/B481</f>
        <v/>
      </c>
      <c r="D482" s="14">
        <f>(B482-B470)/B470</f>
        <v/>
      </c>
      <c r="E482" s="15">
        <f>VLOOKUP(Table2[[#This Row],[Date]],'Fed Fund New'!$A:$C,2,FALSE)</f>
        <v/>
      </c>
      <c r="F482" s="15">
        <f>VLOOKUP(Table2[[#This Row],[Date]],'Fed Fund New'!$A:$C,3,FALSE)</f>
        <v/>
      </c>
    </row>
    <row r="483">
      <c r="A483" s="61" t="n">
        <v>31717</v>
      </c>
      <c r="B483" s="68">
        <f>VLOOKUP(Table2[[#This Row],[Date]],Database!A:E,2,)</f>
        <v/>
      </c>
      <c r="C483" s="14">
        <f>(B483-B482)/B482</f>
        <v/>
      </c>
      <c r="D483" s="14">
        <f>(B483-B471)/B471</f>
        <v/>
      </c>
      <c r="E483" s="15">
        <f>VLOOKUP(Table2[[#This Row],[Date]],'Fed Fund New'!$A:$C,2,FALSE)</f>
        <v/>
      </c>
      <c r="F483" s="15">
        <f>VLOOKUP(Table2[[#This Row],[Date]],'Fed Fund New'!$A:$C,3,FALSE)</f>
        <v/>
      </c>
    </row>
    <row r="484">
      <c r="A484" s="61" t="n">
        <v>31747</v>
      </c>
      <c r="B484" s="68">
        <f>VLOOKUP(Table2[[#This Row],[Date]],Database!A:E,2,)</f>
        <v/>
      </c>
      <c r="C484" s="14">
        <f>(B484-B483)/B483</f>
        <v/>
      </c>
      <c r="D484" s="14">
        <f>(B484-B472)/B472</f>
        <v/>
      </c>
      <c r="E484" s="15">
        <f>VLOOKUP(Table2[[#This Row],[Date]],'Fed Fund New'!$A:$C,2,FALSE)</f>
        <v/>
      </c>
      <c r="F484" s="15">
        <f>VLOOKUP(Table2[[#This Row],[Date]],'Fed Fund New'!$A:$C,3,FALSE)</f>
        <v/>
      </c>
    </row>
    <row r="485">
      <c r="A485" s="61" t="n">
        <v>31778</v>
      </c>
      <c r="B485" s="68">
        <f>VLOOKUP(Table2[[#This Row],[Date]],Database!A:E,2,)</f>
        <v/>
      </c>
      <c r="C485" s="14">
        <f>(B485-B484)/B484</f>
        <v/>
      </c>
      <c r="D485" s="14">
        <f>(B485-B473)/B473</f>
        <v/>
      </c>
      <c r="E485" s="15">
        <f>VLOOKUP(Table2[[#This Row],[Date]],'Fed Fund New'!$A:$C,2,FALSE)</f>
        <v/>
      </c>
      <c r="F485" s="15">
        <f>VLOOKUP(Table2[[#This Row],[Date]],'Fed Fund New'!$A:$C,3,FALSE)</f>
        <v/>
      </c>
    </row>
    <row r="486">
      <c r="A486" s="61" t="n">
        <v>31809</v>
      </c>
      <c r="B486" s="68">
        <f>VLOOKUP(Table2[[#This Row],[Date]],Database!A:E,2,)</f>
        <v/>
      </c>
      <c r="C486" s="14">
        <f>(B486-B485)/B485</f>
        <v/>
      </c>
      <c r="D486" s="14">
        <f>(B486-B474)/B474</f>
        <v/>
      </c>
      <c r="E486" s="15">
        <f>VLOOKUP(Table2[[#This Row],[Date]],'Fed Fund New'!$A:$C,2,FALSE)</f>
        <v/>
      </c>
      <c r="F486" s="15">
        <f>VLOOKUP(Table2[[#This Row],[Date]],'Fed Fund New'!$A:$C,3,FALSE)</f>
        <v/>
      </c>
    </row>
    <row r="487">
      <c r="A487" s="61" t="n">
        <v>31837</v>
      </c>
      <c r="B487" s="68">
        <f>VLOOKUP(Table2[[#This Row],[Date]],Database!A:E,2,)</f>
        <v/>
      </c>
      <c r="C487" s="14">
        <f>(B487-B486)/B486</f>
        <v/>
      </c>
      <c r="D487" s="14">
        <f>(B487-B475)/B475</f>
        <v/>
      </c>
      <c r="E487" s="15">
        <f>VLOOKUP(Table2[[#This Row],[Date]],'Fed Fund New'!$A:$C,2,FALSE)</f>
        <v/>
      </c>
      <c r="F487" s="15">
        <f>VLOOKUP(Table2[[#This Row],[Date]],'Fed Fund New'!$A:$C,3,FALSE)</f>
        <v/>
      </c>
    </row>
    <row r="488">
      <c r="A488" s="61" t="n">
        <v>31868</v>
      </c>
      <c r="B488" s="68">
        <f>VLOOKUP(Table2[[#This Row],[Date]],Database!A:E,2,)</f>
        <v/>
      </c>
      <c r="C488" s="14">
        <f>(B488-B487)/B487</f>
        <v/>
      </c>
      <c r="D488" s="14">
        <f>(B488-B476)/B476</f>
        <v/>
      </c>
      <c r="E488" s="15">
        <f>VLOOKUP(Table2[[#This Row],[Date]],'Fed Fund New'!$A:$C,2,FALSE)</f>
        <v/>
      </c>
      <c r="F488" s="15">
        <f>VLOOKUP(Table2[[#This Row],[Date]],'Fed Fund New'!$A:$C,3,FALSE)</f>
        <v/>
      </c>
    </row>
    <row r="489">
      <c r="A489" s="61" t="n">
        <v>31898</v>
      </c>
      <c r="B489" s="68">
        <f>VLOOKUP(Table2[[#This Row],[Date]],Database!A:E,2,)</f>
        <v/>
      </c>
      <c r="C489" s="14">
        <f>(B489-B488)/B488</f>
        <v/>
      </c>
      <c r="D489" s="14">
        <f>(B489-B477)/B477</f>
        <v/>
      </c>
      <c r="E489" s="15">
        <f>VLOOKUP(Table2[[#This Row],[Date]],'Fed Fund New'!$A:$C,2,FALSE)</f>
        <v/>
      </c>
      <c r="F489" s="15">
        <f>VLOOKUP(Table2[[#This Row],[Date]],'Fed Fund New'!$A:$C,3,FALSE)</f>
        <v/>
      </c>
    </row>
    <row r="490">
      <c r="A490" s="61" t="n">
        <v>31929</v>
      </c>
      <c r="B490" s="68">
        <f>VLOOKUP(Table2[[#This Row],[Date]],Database!A:E,2,)</f>
        <v/>
      </c>
      <c r="C490" s="14">
        <f>(B490-B489)/B489</f>
        <v/>
      </c>
      <c r="D490" s="14">
        <f>(B490-B478)/B478</f>
        <v/>
      </c>
      <c r="E490" s="15">
        <f>VLOOKUP(Table2[[#This Row],[Date]],'Fed Fund New'!$A:$C,2,FALSE)</f>
        <v/>
      </c>
      <c r="F490" s="15">
        <f>VLOOKUP(Table2[[#This Row],[Date]],'Fed Fund New'!$A:$C,3,FALSE)</f>
        <v/>
      </c>
    </row>
    <row r="491">
      <c r="A491" s="61" t="n">
        <v>31959</v>
      </c>
      <c r="B491" s="68">
        <f>VLOOKUP(Table2[[#This Row],[Date]],Database!A:E,2,)</f>
        <v/>
      </c>
      <c r="C491" s="14">
        <f>(B491-B490)/B490</f>
        <v/>
      </c>
      <c r="D491" s="14">
        <f>(B491-B479)/B479</f>
        <v/>
      </c>
      <c r="E491" s="15">
        <f>VLOOKUP(Table2[[#This Row],[Date]],'Fed Fund New'!$A:$C,2,FALSE)</f>
        <v/>
      </c>
      <c r="F491" s="15">
        <f>VLOOKUP(Table2[[#This Row],[Date]],'Fed Fund New'!$A:$C,3,FALSE)</f>
        <v/>
      </c>
    </row>
    <row r="492">
      <c r="A492" s="61" t="n">
        <v>31990</v>
      </c>
      <c r="B492" s="68">
        <f>VLOOKUP(Table2[[#This Row],[Date]],Database!A:E,2,)</f>
        <v/>
      </c>
      <c r="C492" s="14">
        <f>(B492-B491)/B491</f>
        <v/>
      </c>
      <c r="D492" s="14">
        <f>(B492-B480)/B480</f>
        <v/>
      </c>
      <c r="E492" s="15">
        <f>VLOOKUP(Table2[[#This Row],[Date]],'Fed Fund New'!$A:$C,2,FALSE)</f>
        <v/>
      </c>
      <c r="F492" s="15">
        <f>VLOOKUP(Table2[[#This Row],[Date]],'Fed Fund New'!$A:$C,3,FALSE)</f>
        <v/>
      </c>
    </row>
    <row r="493">
      <c r="A493" s="61" t="n">
        <v>32021</v>
      </c>
      <c r="B493" s="68">
        <f>VLOOKUP(Table2[[#This Row],[Date]],Database!A:E,2,)</f>
        <v/>
      </c>
      <c r="C493" s="14">
        <f>(B493-B492)/B492</f>
        <v/>
      </c>
      <c r="D493" s="14">
        <f>(B493-B481)/B481</f>
        <v/>
      </c>
      <c r="E493" s="15">
        <f>VLOOKUP(Table2[[#This Row],[Date]],'Fed Fund New'!$A:$C,2,FALSE)</f>
        <v/>
      </c>
      <c r="F493" s="15">
        <f>VLOOKUP(Table2[[#This Row],[Date]],'Fed Fund New'!$A:$C,3,FALSE)</f>
        <v/>
      </c>
    </row>
    <row r="494">
      <c r="A494" s="61" t="n">
        <v>32051</v>
      </c>
      <c r="B494" s="68">
        <f>VLOOKUP(Table2[[#This Row],[Date]],Database!A:E,2,)</f>
        <v/>
      </c>
      <c r="C494" s="14">
        <f>(B494-B493)/B493</f>
        <v/>
      </c>
      <c r="D494" s="14">
        <f>(B494-B482)/B482</f>
        <v/>
      </c>
      <c r="E494" s="15">
        <f>VLOOKUP(Table2[[#This Row],[Date]],'Fed Fund New'!$A:$C,2,FALSE)</f>
        <v/>
      </c>
      <c r="F494" s="15">
        <f>VLOOKUP(Table2[[#This Row],[Date]],'Fed Fund New'!$A:$C,3,FALSE)</f>
        <v/>
      </c>
    </row>
    <row r="495">
      <c r="A495" s="61" t="n">
        <v>32082</v>
      </c>
      <c r="B495" s="68">
        <f>VLOOKUP(Table2[[#This Row],[Date]],Database!A:E,2,)</f>
        <v/>
      </c>
      <c r="C495" s="14">
        <f>(B495-B494)/B494</f>
        <v/>
      </c>
      <c r="D495" s="14">
        <f>(B495-B483)/B483</f>
        <v/>
      </c>
      <c r="E495" s="15">
        <f>VLOOKUP(Table2[[#This Row],[Date]],'Fed Fund New'!$A:$C,2,FALSE)</f>
        <v/>
      </c>
      <c r="F495" s="15">
        <f>VLOOKUP(Table2[[#This Row],[Date]],'Fed Fund New'!$A:$C,3,FALSE)</f>
        <v/>
      </c>
    </row>
    <row r="496">
      <c r="A496" s="61" t="n">
        <v>32112</v>
      </c>
      <c r="B496" s="68">
        <f>VLOOKUP(Table2[[#This Row],[Date]],Database!A:E,2,)</f>
        <v/>
      </c>
      <c r="C496" s="14">
        <f>(B496-B495)/B495</f>
        <v/>
      </c>
      <c r="D496" s="14">
        <f>(B496-B484)/B484</f>
        <v/>
      </c>
      <c r="E496" s="15">
        <f>VLOOKUP(Table2[[#This Row],[Date]],'Fed Fund New'!$A:$C,2,FALSE)</f>
        <v/>
      </c>
      <c r="F496" s="15">
        <f>VLOOKUP(Table2[[#This Row],[Date]],'Fed Fund New'!$A:$C,3,FALSE)</f>
        <v/>
      </c>
    </row>
    <row r="497">
      <c r="A497" s="61" t="n">
        <v>32143</v>
      </c>
      <c r="B497" s="68">
        <f>VLOOKUP(Table2[[#This Row],[Date]],Database!A:E,2,)</f>
        <v/>
      </c>
      <c r="C497" s="14">
        <f>(B497-B496)/B496</f>
        <v/>
      </c>
      <c r="D497" s="14">
        <f>(B497-B485)/B485</f>
        <v/>
      </c>
      <c r="E497" s="15">
        <f>VLOOKUP(Table2[[#This Row],[Date]],'Fed Fund New'!$A:$C,2,FALSE)</f>
        <v/>
      </c>
      <c r="F497" s="15">
        <f>VLOOKUP(Table2[[#This Row],[Date]],'Fed Fund New'!$A:$C,3,FALSE)</f>
        <v/>
      </c>
    </row>
    <row r="498">
      <c r="A498" s="61" t="n">
        <v>32174</v>
      </c>
      <c r="B498" s="68">
        <f>VLOOKUP(Table2[[#This Row],[Date]],Database!A:E,2,)</f>
        <v/>
      </c>
      <c r="C498" s="14">
        <f>(B498-B497)/B497</f>
        <v/>
      </c>
      <c r="D498" s="14">
        <f>(B498-B486)/B486</f>
        <v/>
      </c>
      <c r="E498" s="15">
        <f>VLOOKUP(Table2[[#This Row],[Date]],'Fed Fund New'!$A:$C,2,FALSE)</f>
        <v/>
      </c>
      <c r="F498" s="15">
        <f>VLOOKUP(Table2[[#This Row],[Date]],'Fed Fund New'!$A:$C,3,FALSE)</f>
        <v/>
      </c>
    </row>
    <row r="499">
      <c r="A499" s="61" t="n">
        <v>32203</v>
      </c>
      <c r="B499" s="68">
        <f>VLOOKUP(Table2[[#This Row],[Date]],Database!A:E,2,)</f>
        <v/>
      </c>
      <c r="C499" s="14">
        <f>(B499-B498)/B498</f>
        <v/>
      </c>
      <c r="D499" s="14">
        <f>(B499-B487)/B487</f>
        <v/>
      </c>
      <c r="E499" s="15">
        <f>VLOOKUP(Table2[[#This Row],[Date]],'Fed Fund New'!$A:$C,2,FALSE)</f>
        <v/>
      </c>
      <c r="F499" s="15">
        <f>VLOOKUP(Table2[[#This Row],[Date]],'Fed Fund New'!$A:$C,3,FALSE)</f>
        <v/>
      </c>
    </row>
    <row r="500">
      <c r="A500" s="61" t="n">
        <v>32234</v>
      </c>
      <c r="B500" s="68">
        <f>VLOOKUP(Table2[[#This Row],[Date]],Database!A:E,2,)</f>
        <v/>
      </c>
      <c r="C500" s="14">
        <f>(B500-B499)/B499</f>
        <v/>
      </c>
      <c r="D500" s="14">
        <f>(B500-B488)/B488</f>
        <v/>
      </c>
      <c r="E500" s="15">
        <f>VLOOKUP(Table2[[#This Row],[Date]],'Fed Fund New'!$A:$C,2,FALSE)</f>
        <v/>
      </c>
      <c r="F500" s="15">
        <f>VLOOKUP(Table2[[#This Row],[Date]],'Fed Fund New'!$A:$C,3,FALSE)</f>
        <v/>
      </c>
    </row>
    <row r="501">
      <c r="A501" s="61" t="n">
        <v>32264</v>
      </c>
      <c r="B501" s="68">
        <f>VLOOKUP(Table2[[#This Row],[Date]],Database!A:E,2,)</f>
        <v/>
      </c>
      <c r="C501" s="14">
        <f>(B501-B500)/B500</f>
        <v/>
      </c>
      <c r="D501" s="14">
        <f>(B501-B489)/B489</f>
        <v/>
      </c>
      <c r="E501" s="15">
        <f>VLOOKUP(Table2[[#This Row],[Date]],'Fed Fund New'!$A:$C,2,FALSE)</f>
        <v/>
      </c>
      <c r="F501" s="15">
        <f>VLOOKUP(Table2[[#This Row],[Date]],'Fed Fund New'!$A:$C,3,FALSE)</f>
        <v/>
      </c>
    </row>
    <row r="502">
      <c r="A502" s="61" t="n">
        <v>32295</v>
      </c>
      <c r="B502" s="68">
        <f>VLOOKUP(Table2[[#This Row],[Date]],Database!A:E,2,)</f>
        <v/>
      </c>
      <c r="C502" s="14">
        <f>(B502-B501)/B501</f>
        <v/>
      </c>
      <c r="D502" s="14">
        <f>(B502-B490)/B490</f>
        <v/>
      </c>
      <c r="E502" s="15">
        <f>VLOOKUP(Table2[[#This Row],[Date]],'Fed Fund New'!$A:$C,2,FALSE)</f>
        <v/>
      </c>
      <c r="F502" s="15">
        <f>VLOOKUP(Table2[[#This Row],[Date]],'Fed Fund New'!$A:$C,3,FALSE)</f>
        <v/>
      </c>
    </row>
    <row r="503">
      <c r="A503" s="61" t="n">
        <v>32325</v>
      </c>
      <c r="B503" s="68">
        <f>VLOOKUP(Table2[[#This Row],[Date]],Database!A:E,2,)</f>
        <v/>
      </c>
      <c r="C503" s="14">
        <f>(B503-B502)/B502</f>
        <v/>
      </c>
      <c r="D503" s="14">
        <f>(B503-B491)/B491</f>
        <v/>
      </c>
      <c r="E503" s="15">
        <f>VLOOKUP(Table2[[#This Row],[Date]],'Fed Fund New'!$A:$C,2,FALSE)</f>
        <v/>
      </c>
      <c r="F503" s="15">
        <f>VLOOKUP(Table2[[#This Row],[Date]],'Fed Fund New'!$A:$C,3,FALSE)</f>
        <v/>
      </c>
    </row>
    <row r="504">
      <c r="A504" s="61" t="n">
        <v>32356</v>
      </c>
      <c r="B504" s="68">
        <f>VLOOKUP(Table2[[#This Row],[Date]],Database!A:E,2,)</f>
        <v/>
      </c>
      <c r="C504" s="14">
        <f>(B504-B503)/B503</f>
        <v/>
      </c>
      <c r="D504" s="14">
        <f>(B504-B492)/B492</f>
        <v/>
      </c>
      <c r="E504" s="15">
        <f>VLOOKUP(Table2[[#This Row],[Date]],'Fed Fund New'!$A:$C,2,FALSE)</f>
        <v/>
      </c>
      <c r="F504" s="15">
        <f>VLOOKUP(Table2[[#This Row],[Date]],'Fed Fund New'!$A:$C,3,FALSE)</f>
        <v/>
      </c>
    </row>
    <row r="505">
      <c r="A505" s="61" t="n">
        <v>32387</v>
      </c>
      <c r="B505" s="68">
        <f>VLOOKUP(Table2[[#This Row],[Date]],Database!A:E,2,)</f>
        <v/>
      </c>
      <c r="C505" s="14">
        <f>(B505-B504)/B504</f>
        <v/>
      </c>
      <c r="D505" s="14">
        <f>(B505-B493)/B493</f>
        <v/>
      </c>
      <c r="E505" s="15">
        <f>VLOOKUP(Table2[[#This Row],[Date]],'Fed Fund New'!$A:$C,2,FALSE)</f>
        <v/>
      </c>
      <c r="F505" s="15">
        <f>VLOOKUP(Table2[[#This Row],[Date]],'Fed Fund New'!$A:$C,3,FALSE)</f>
        <v/>
      </c>
    </row>
    <row r="506">
      <c r="A506" s="61" t="n">
        <v>32417</v>
      </c>
      <c r="B506" s="68">
        <f>VLOOKUP(Table2[[#This Row],[Date]],Database!A:E,2,)</f>
        <v/>
      </c>
      <c r="C506" s="14">
        <f>(B506-B505)/B505</f>
        <v/>
      </c>
      <c r="D506" s="14">
        <f>(B506-B494)/B494</f>
        <v/>
      </c>
      <c r="E506" s="15">
        <f>VLOOKUP(Table2[[#This Row],[Date]],'Fed Fund New'!$A:$C,2,FALSE)</f>
        <v/>
      </c>
      <c r="F506" s="15">
        <f>VLOOKUP(Table2[[#This Row],[Date]],'Fed Fund New'!$A:$C,3,FALSE)</f>
        <v/>
      </c>
    </row>
    <row r="507">
      <c r="A507" s="61" t="n">
        <v>32448</v>
      </c>
      <c r="B507" s="68">
        <f>VLOOKUP(Table2[[#This Row],[Date]],Database!A:E,2,)</f>
        <v/>
      </c>
      <c r="C507" s="14">
        <f>(B507-B506)/B506</f>
        <v/>
      </c>
      <c r="D507" s="14">
        <f>(B507-B495)/B495</f>
        <v/>
      </c>
      <c r="E507" s="15">
        <f>VLOOKUP(Table2[[#This Row],[Date]],'Fed Fund New'!$A:$C,2,FALSE)</f>
        <v/>
      </c>
      <c r="F507" s="15">
        <f>VLOOKUP(Table2[[#This Row],[Date]],'Fed Fund New'!$A:$C,3,FALSE)</f>
        <v/>
      </c>
    </row>
    <row r="508">
      <c r="A508" s="61" t="n">
        <v>32478</v>
      </c>
      <c r="B508" s="68">
        <f>VLOOKUP(Table2[[#This Row],[Date]],Database!A:E,2,)</f>
        <v/>
      </c>
      <c r="C508" s="14">
        <f>(B508-B507)/B507</f>
        <v/>
      </c>
      <c r="D508" s="14">
        <f>(B508-B496)/B496</f>
        <v/>
      </c>
      <c r="E508" s="15">
        <f>VLOOKUP(Table2[[#This Row],[Date]],'Fed Fund New'!$A:$C,2,FALSE)</f>
        <v/>
      </c>
      <c r="F508" s="15">
        <f>VLOOKUP(Table2[[#This Row],[Date]],'Fed Fund New'!$A:$C,3,FALSE)</f>
        <v/>
      </c>
    </row>
    <row r="509">
      <c r="A509" s="61" t="n">
        <v>32509</v>
      </c>
      <c r="B509" s="68">
        <f>VLOOKUP(Table2[[#This Row],[Date]],Database!A:E,2,)</f>
        <v/>
      </c>
      <c r="C509" s="14">
        <f>(B509-B508)/B508</f>
        <v/>
      </c>
      <c r="D509" s="14">
        <f>(B509-B497)/B497</f>
        <v/>
      </c>
      <c r="E509" s="15">
        <f>VLOOKUP(Table2[[#This Row],[Date]],'Fed Fund New'!$A:$C,2,FALSE)</f>
        <v/>
      </c>
      <c r="F509" s="15">
        <f>VLOOKUP(Table2[[#This Row],[Date]],'Fed Fund New'!$A:$C,3,FALSE)</f>
        <v/>
      </c>
    </row>
    <row r="510">
      <c r="A510" s="61" t="n">
        <v>32540</v>
      </c>
      <c r="B510" s="68">
        <f>VLOOKUP(Table2[[#This Row],[Date]],Database!A:E,2,)</f>
        <v/>
      </c>
      <c r="C510" s="14">
        <f>(B510-B509)/B509</f>
        <v/>
      </c>
      <c r="D510" s="14">
        <f>(B510-B498)/B498</f>
        <v/>
      </c>
      <c r="E510" s="15">
        <f>VLOOKUP(Table2[[#This Row],[Date]],'Fed Fund New'!$A:$C,2,FALSE)</f>
        <v/>
      </c>
      <c r="F510" s="15">
        <f>VLOOKUP(Table2[[#This Row],[Date]],'Fed Fund New'!$A:$C,3,FALSE)</f>
        <v/>
      </c>
    </row>
    <row r="511">
      <c r="A511" s="61" t="n">
        <v>32568</v>
      </c>
      <c r="B511" s="68">
        <f>VLOOKUP(Table2[[#This Row],[Date]],Database!A:E,2,)</f>
        <v/>
      </c>
      <c r="C511" s="14">
        <f>(B511-B510)/B510</f>
        <v/>
      </c>
      <c r="D511" s="14">
        <f>(B511-B499)/B499</f>
        <v/>
      </c>
      <c r="E511" s="15">
        <f>VLOOKUP(Table2[[#This Row],[Date]],'Fed Fund New'!$A:$C,2,FALSE)</f>
        <v/>
      </c>
      <c r="F511" s="15">
        <f>VLOOKUP(Table2[[#This Row],[Date]],'Fed Fund New'!$A:$C,3,FALSE)</f>
        <v/>
      </c>
    </row>
    <row r="512">
      <c r="A512" s="61" t="n">
        <v>32599</v>
      </c>
      <c r="B512" s="68">
        <f>VLOOKUP(Table2[[#This Row],[Date]],Database!A:E,2,)</f>
        <v/>
      </c>
      <c r="C512" s="14">
        <f>(B512-B511)/B511</f>
        <v/>
      </c>
      <c r="D512" s="14">
        <f>(B512-B500)/B500</f>
        <v/>
      </c>
      <c r="E512" s="15">
        <f>VLOOKUP(Table2[[#This Row],[Date]],'Fed Fund New'!$A:$C,2,FALSE)</f>
        <v/>
      </c>
      <c r="F512" s="15">
        <f>VLOOKUP(Table2[[#This Row],[Date]],'Fed Fund New'!$A:$C,3,FALSE)</f>
        <v/>
      </c>
    </row>
    <row r="513">
      <c r="A513" s="61" t="n">
        <v>32629</v>
      </c>
      <c r="B513" s="68">
        <f>VLOOKUP(Table2[[#This Row],[Date]],Database!A:E,2,)</f>
        <v/>
      </c>
      <c r="C513" s="14">
        <f>(B513-B512)/B512</f>
        <v/>
      </c>
      <c r="D513" s="14">
        <f>(B513-B501)/B501</f>
        <v/>
      </c>
      <c r="E513" s="15">
        <f>VLOOKUP(Table2[[#This Row],[Date]],'Fed Fund New'!$A:$C,2,FALSE)</f>
        <v/>
      </c>
      <c r="F513" s="15">
        <f>VLOOKUP(Table2[[#This Row],[Date]],'Fed Fund New'!$A:$C,3,FALSE)</f>
        <v/>
      </c>
    </row>
    <row r="514">
      <c r="A514" s="61" t="n">
        <v>32660</v>
      </c>
      <c r="B514" s="68">
        <f>VLOOKUP(Table2[[#This Row],[Date]],Database!A:E,2,)</f>
        <v/>
      </c>
      <c r="C514" s="14">
        <f>(B514-B513)/B513</f>
        <v/>
      </c>
      <c r="D514" s="14">
        <f>(B514-B502)/B502</f>
        <v/>
      </c>
      <c r="E514" s="15">
        <f>VLOOKUP(Table2[[#This Row],[Date]],'Fed Fund New'!$A:$C,2,FALSE)</f>
        <v/>
      </c>
      <c r="F514" s="15">
        <f>VLOOKUP(Table2[[#This Row],[Date]],'Fed Fund New'!$A:$C,3,FALSE)</f>
        <v/>
      </c>
    </row>
    <row r="515">
      <c r="A515" s="61" t="n">
        <v>32690</v>
      </c>
      <c r="B515" s="68">
        <f>VLOOKUP(Table2[[#This Row],[Date]],Database!A:E,2,)</f>
        <v/>
      </c>
      <c r="C515" s="14">
        <f>(B515-B514)/B514</f>
        <v/>
      </c>
      <c r="D515" s="14">
        <f>(B515-B503)/B503</f>
        <v/>
      </c>
      <c r="E515" s="15">
        <f>VLOOKUP(Table2[[#This Row],[Date]],'Fed Fund New'!$A:$C,2,FALSE)</f>
        <v/>
      </c>
      <c r="F515" s="15">
        <f>VLOOKUP(Table2[[#This Row],[Date]],'Fed Fund New'!$A:$C,3,FALSE)</f>
        <v/>
      </c>
    </row>
    <row r="516">
      <c r="A516" s="61" t="n">
        <v>32721</v>
      </c>
      <c r="B516" s="68">
        <f>VLOOKUP(Table2[[#This Row],[Date]],Database!A:E,2,)</f>
        <v/>
      </c>
      <c r="C516" s="14">
        <f>(B516-B515)/B515</f>
        <v/>
      </c>
      <c r="D516" s="14">
        <f>(B516-B504)/B504</f>
        <v/>
      </c>
      <c r="E516" s="15">
        <f>VLOOKUP(Table2[[#This Row],[Date]],'Fed Fund New'!$A:$C,2,FALSE)</f>
        <v/>
      </c>
      <c r="F516" s="15">
        <f>VLOOKUP(Table2[[#This Row],[Date]],'Fed Fund New'!$A:$C,3,FALSE)</f>
        <v/>
      </c>
    </row>
    <row r="517">
      <c r="A517" s="61" t="n">
        <v>32752</v>
      </c>
      <c r="B517" s="68">
        <f>VLOOKUP(Table2[[#This Row],[Date]],Database!A:E,2,)</f>
        <v/>
      </c>
      <c r="C517" s="14">
        <f>(B517-B516)/B516</f>
        <v/>
      </c>
      <c r="D517" s="14">
        <f>(B517-B505)/B505</f>
        <v/>
      </c>
      <c r="E517" s="15">
        <f>VLOOKUP(Table2[[#This Row],[Date]],'Fed Fund New'!$A:$C,2,FALSE)</f>
        <v/>
      </c>
      <c r="F517" s="15">
        <f>VLOOKUP(Table2[[#This Row],[Date]],'Fed Fund New'!$A:$C,3,FALSE)</f>
        <v/>
      </c>
    </row>
    <row r="518">
      <c r="A518" s="61" t="n">
        <v>32782</v>
      </c>
      <c r="B518" s="68">
        <f>VLOOKUP(Table2[[#This Row],[Date]],Database!A:E,2,)</f>
        <v/>
      </c>
      <c r="C518" s="14">
        <f>(B518-B517)/B517</f>
        <v/>
      </c>
      <c r="D518" s="14">
        <f>(B518-B506)/B506</f>
        <v/>
      </c>
      <c r="E518" s="15">
        <f>VLOOKUP(Table2[[#This Row],[Date]],'Fed Fund New'!$A:$C,2,FALSE)</f>
        <v/>
      </c>
      <c r="F518" s="15">
        <f>VLOOKUP(Table2[[#This Row],[Date]],'Fed Fund New'!$A:$C,3,FALSE)</f>
        <v/>
      </c>
    </row>
    <row r="519">
      <c r="A519" s="61" t="n">
        <v>32813</v>
      </c>
      <c r="B519" s="68">
        <f>VLOOKUP(Table2[[#This Row],[Date]],Database!A:E,2,)</f>
        <v/>
      </c>
      <c r="C519" s="14">
        <f>(B519-B518)/B518</f>
        <v/>
      </c>
      <c r="D519" s="14">
        <f>(B519-B507)/B507</f>
        <v/>
      </c>
      <c r="E519" s="15">
        <f>VLOOKUP(Table2[[#This Row],[Date]],'Fed Fund New'!$A:$C,2,FALSE)</f>
        <v/>
      </c>
      <c r="F519" s="15">
        <f>VLOOKUP(Table2[[#This Row],[Date]],'Fed Fund New'!$A:$C,3,FALSE)</f>
        <v/>
      </c>
    </row>
    <row r="520">
      <c r="A520" s="61" t="n">
        <v>32843</v>
      </c>
      <c r="B520" s="68">
        <f>VLOOKUP(Table2[[#This Row],[Date]],Database!A:E,2,)</f>
        <v/>
      </c>
      <c r="C520" s="14">
        <f>(B520-B519)/B519</f>
        <v/>
      </c>
      <c r="D520" s="14">
        <f>(B520-B508)/B508</f>
        <v/>
      </c>
      <c r="E520" s="15">
        <f>VLOOKUP(Table2[[#This Row],[Date]],'Fed Fund New'!$A:$C,2,FALSE)</f>
        <v/>
      </c>
      <c r="F520" s="15">
        <f>VLOOKUP(Table2[[#This Row],[Date]],'Fed Fund New'!$A:$C,3,FALSE)</f>
        <v/>
      </c>
    </row>
    <row r="521">
      <c r="A521" s="61" t="n">
        <v>32874</v>
      </c>
      <c r="B521" s="68">
        <f>VLOOKUP(Table2[[#This Row],[Date]],Database!A:E,2,)</f>
        <v/>
      </c>
      <c r="C521" s="14">
        <f>(B521-B520)/B520</f>
        <v/>
      </c>
      <c r="D521" s="14">
        <f>(B521-B509)/B509</f>
        <v/>
      </c>
      <c r="E521" s="15">
        <f>VLOOKUP(Table2[[#This Row],[Date]],'Fed Fund New'!$A:$C,2,FALSE)</f>
        <v/>
      </c>
      <c r="F521" s="15">
        <f>VLOOKUP(Table2[[#This Row],[Date]],'Fed Fund New'!$A:$C,3,FALSE)</f>
        <v/>
      </c>
    </row>
    <row r="522">
      <c r="A522" s="61" t="n">
        <v>32905</v>
      </c>
      <c r="B522" s="68">
        <f>VLOOKUP(Table2[[#This Row],[Date]],Database!A:E,2,)</f>
        <v/>
      </c>
      <c r="C522" s="14">
        <f>(B522-B521)/B521</f>
        <v/>
      </c>
      <c r="D522" s="14">
        <f>(B522-B510)/B510</f>
        <v/>
      </c>
      <c r="E522" s="15">
        <f>VLOOKUP(Table2[[#This Row],[Date]],'Fed Fund New'!$A:$C,2,FALSE)</f>
        <v/>
      </c>
      <c r="F522" s="15">
        <f>VLOOKUP(Table2[[#This Row],[Date]],'Fed Fund New'!$A:$C,3,FALSE)</f>
        <v/>
      </c>
    </row>
    <row r="523">
      <c r="A523" s="61" t="n">
        <v>32933</v>
      </c>
      <c r="B523" s="68">
        <f>VLOOKUP(Table2[[#This Row],[Date]],Database!A:E,2,)</f>
        <v/>
      </c>
      <c r="C523" s="14">
        <f>(B523-B522)/B522</f>
        <v/>
      </c>
      <c r="D523" s="14">
        <f>(B523-B511)/B511</f>
        <v/>
      </c>
      <c r="E523" s="15">
        <f>VLOOKUP(Table2[[#This Row],[Date]],'Fed Fund New'!$A:$C,2,FALSE)</f>
        <v/>
      </c>
      <c r="F523" s="15">
        <f>VLOOKUP(Table2[[#This Row],[Date]],'Fed Fund New'!$A:$C,3,FALSE)</f>
        <v/>
      </c>
    </row>
    <row r="524">
      <c r="A524" s="61" t="n">
        <v>32964</v>
      </c>
      <c r="B524" s="68">
        <f>VLOOKUP(Table2[[#This Row],[Date]],Database!A:E,2,)</f>
        <v/>
      </c>
      <c r="C524" s="14">
        <f>(B524-B523)/B523</f>
        <v/>
      </c>
      <c r="D524" s="14">
        <f>(B524-B512)/B512</f>
        <v/>
      </c>
      <c r="E524" s="15">
        <f>VLOOKUP(Table2[[#This Row],[Date]],'Fed Fund New'!$A:$C,2,FALSE)</f>
        <v/>
      </c>
      <c r="F524" s="15">
        <f>VLOOKUP(Table2[[#This Row],[Date]],'Fed Fund New'!$A:$C,3,FALSE)</f>
        <v/>
      </c>
    </row>
    <row r="525">
      <c r="A525" s="61" t="n">
        <v>32994</v>
      </c>
      <c r="B525" s="68">
        <f>VLOOKUP(Table2[[#This Row],[Date]],Database!A:E,2,)</f>
        <v/>
      </c>
      <c r="C525" s="14">
        <f>(B525-B524)/B524</f>
        <v/>
      </c>
      <c r="D525" s="14">
        <f>(B525-B513)/B513</f>
        <v/>
      </c>
      <c r="E525" s="15">
        <f>VLOOKUP(Table2[[#This Row],[Date]],'Fed Fund New'!$A:$C,2,FALSE)</f>
        <v/>
      </c>
      <c r="F525" s="15">
        <f>VLOOKUP(Table2[[#This Row],[Date]],'Fed Fund New'!$A:$C,3,FALSE)</f>
        <v/>
      </c>
    </row>
    <row r="526">
      <c r="A526" s="61" t="n">
        <v>33025</v>
      </c>
      <c r="B526" s="68">
        <f>VLOOKUP(Table2[[#This Row],[Date]],Database!A:E,2,)</f>
        <v/>
      </c>
      <c r="C526" s="14">
        <f>(B526-B525)/B525</f>
        <v/>
      </c>
      <c r="D526" s="14">
        <f>(B526-B514)/B514</f>
        <v/>
      </c>
      <c r="E526" s="15">
        <f>VLOOKUP(Table2[[#This Row],[Date]],'Fed Fund New'!$A:$C,2,FALSE)</f>
        <v/>
      </c>
      <c r="F526" s="15">
        <f>VLOOKUP(Table2[[#This Row],[Date]],'Fed Fund New'!$A:$C,3,FALSE)</f>
        <v/>
      </c>
    </row>
    <row r="527">
      <c r="A527" s="61" t="n">
        <v>33055</v>
      </c>
      <c r="B527" s="68">
        <f>VLOOKUP(Table2[[#This Row],[Date]],Database!A:E,2,)</f>
        <v/>
      </c>
      <c r="C527" s="14">
        <f>(B527-B526)/B526</f>
        <v/>
      </c>
      <c r="D527" s="14">
        <f>(B527-B515)/B515</f>
        <v/>
      </c>
      <c r="E527" s="15">
        <f>VLOOKUP(Table2[[#This Row],[Date]],'Fed Fund New'!$A:$C,2,FALSE)</f>
        <v/>
      </c>
      <c r="F527" s="15">
        <f>VLOOKUP(Table2[[#This Row],[Date]],'Fed Fund New'!$A:$C,3,FALSE)</f>
        <v/>
      </c>
    </row>
    <row r="528">
      <c r="A528" s="61" t="n">
        <v>33086</v>
      </c>
      <c r="B528" s="68">
        <f>VLOOKUP(Table2[[#This Row],[Date]],Database!A:E,2,)</f>
        <v/>
      </c>
      <c r="C528" s="14">
        <f>(B528-B527)/B527</f>
        <v/>
      </c>
      <c r="D528" s="14">
        <f>(B528-B516)/B516</f>
        <v/>
      </c>
      <c r="E528" s="15">
        <f>VLOOKUP(Table2[[#This Row],[Date]],'Fed Fund New'!$A:$C,2,FALSE)</f>
        <v/>
      </c>
      <c r="F528" s="15">
        <f>VLOOKUP(Table2[[#This Row],[Date]],'Fed Fund New'!$A:$C,3,FALSE)</f>
        <v/>
      </c>
    </row>
    <row r="529">
      <c r="A529" s="61" t="n">
        <v>33117</v>
      </c>
      <c r="B529" s="68">
        <f>VLOOKUP(Table2[[#This Row],[Date]],Database!A:E,2,)</f>
        <v/>
      </c>
      <c r="C529" s="14">
        <f>(B529-B528)/B528</f>
        <v/>
      </c>
      <c r="D529" s="14">
        <f>(B529-B517)/B517</f>
        <v/>
      </c>
      <c r="E529" s="15">
        <f>VLOOKUP(Table2[[#This Row],[Date]],'Fed Fund New'!$A:$C,2,FALSE)</f>
        <v/>
      </c>
      <c r="F529" s="15">
        <f>VLOOKUP(Table2[[#This Row],[Date]],'Fed Fund New'!$A:$C,3,FALSE)</f>
        <v/>
      </c>
    </row>
    <row r="530">
      <c r="A530" s="61" t="n">
        <v>33147</v>
      </c>
      <c r="B530" s="68">
        <f>VLOOKUP(Table2[[#This Row],[Date]],Database!A:E,2,)</f>
        <v/>
      </c>
      <c r="C530" s="14">
        <f>(B530-B529)/B529</f>
        <v/>
      </c>
      <c r="D530" s="14">
        <f>(B530-B518)/B518</f>
        <v/>
      </c>
      <c r="E530" s="15">
        <f>VLOOKUP(Table2[[#This Row],[Date]],'Fed Fund New'!$A:$C,2,FALSE)</f>
        <v/>
      </c>
      <c r="F530" s="15">
        <f>VLOOKUP(Table2[[#This Row],[Date]],'Fed Fund New'!$A:$C,3,FALSE)</f>
        <v/>
      </c>
    </row>
    <row r="531">
      <c r="A531" s="61" t="n">
        <v>33178</v>
      </c>
      <c r="B531" s="68">
        <f>VLOOKUP(Table2[[#This Row],[Date]],Database!A:E,2,)</f>
        <v/>
      </c>
      <c r="C531" s="14">
        <f>(B531-B530)/B530</f>
        <v/>
      </c>
      <c r="D531" s="14">
        <f>(B531-B519)/B519</f>
        <v/>
      </c>
      <c r="E531" s="15">
        <f>VLOOKUP(Table2[[#This Row],[Date]],'Fed Fund New'!$A:$C,2,FALSE)</f>
        <v/>
      </c>
      <c r="F531" s="15">
        <f>VLOOKUP(Table2[[#This Row],[Date]],'Fed Fund New'!$A:$C,3,FALSE)</f>
        <v/>
      </c>
    </row>
    <row r="532">
      <c r="A532" s="61" t="n">
        <v>33208</v>
      </c>
      <c r="B532" s="68">
        <f>VLOOKUP(Table2[[#This Row],[Date]],Database!A:E,2,)</f>
        <v/>
      </c>
      <c r="C532" s="14">
        <f>(B532-B531)/B531</f>
        <v/>
      </c>
      <c r="D532" s="14">
        <f>(B532-B520)/B520</f>
        <v/>
      </c>
      <c r="E532" s="15">
        <f>VLOOKUP(Table2[[#This Row],[Date]],'Fed Fund New'!$A:$C,2,FALSE)</f>
        <v/>
      </c>
      <c r="F532" s="15">
        <f>VLOOKUP(Table2[[#This Row],[Date]],'Fed Fund New'!$A:$C,3,FALSE)</f>
        <v/>
      </c>
    </row>
    <row r="533">
      <c r="A533" s="61" t="n">
        <v>33239</v>
      </c>
      <c r="B533" s="68">
        <f>VLOOKUP(Table2[[#This Row],[Date]],Database!A:E,2,)</f>
        <v/>
      </c>
      <c r="C533" s="14">
        <f>(B533-B532)/B532</f>
        <v/>
      </c>
      <c r="D533" s="14">
        <f>(B533-B521)/B521</f>
        <v/>
      </c>
      <c r="E533" s="15">
        <f>VLOOKUP(Table2[[#This Row],[Date]],'Fed Fund New'!$A:$C,2,FALSE)</f>
        <v/>
      </c>
      <c r="F533" s="15">
        <f>VLOOKUP(Table2[[#This Row],[Date]],'Fed Fund New'!$A:$C,3,FALSE)</f>
        <v/>
      </c>
    </row>
    <row r="534">
      <c r="A534" s="61" t="n">
        <v>33270</v>
      </c>
      <c r="B534" s="68">
        <f>VLOOKUP(Table2[[#This Row],[Date]],Database!A:E,2,)</f>
        <v/>
      </c>
      <c r="C534" s="14">
        <f>(B534-B533)/B533</f>
        <v/>
      </c>
      <c r="D534" s="14">
        <f>(B534-B522)/B522</f>
        <v/>
      </c>
      <c r="E534" s="15">
        <f>VLOOKUP(Table2[[#This Row],[Date]],'Fed Fund New'!$A:$C,2,FALSE)</f>
        <v/>
      </c>
      <c r="F534" s="15">
        <f>VLOOKUP(Table2[[#This Row],[Date]],'Fed Fund New'!$A:$C,3,FALSE)</f>
        <v/>
      </c>
    </row>
    <row r="535">
      <c r="A535" s="61" t="n">
        <v>33298</v>
      </c>
      <c r="B535" s="68">
        <f>VLOOKUP(Table2[[#This Row],[Date]],Database!A:E,2,)</f>
        <v/>
      </c>
      <c r="C535" s="14">
        <f>(B535-B534)/B534</f>
        <v/>
      </c>
      <c r="D535" s="14">
        <f>(B535-B523)/B523</f>
        <v/>
      </c>
      <c r="E535" s="15">
        <f>VLOOKUP(Table2[[#This Row],[Date]],'Fed Fund New'!$A:$C,2,FALSE)</f>
        <v/>
      </c>
      <c r="F535" s="15">
        <f>VLOOKUP(Table2[[#This Row],[Date]],'Fed Fund New'!$A:$C,3,FALSE)</f>
        <v/>
      </c>
    </row>
    <row r="536">
      <c r="A536" s="61" t="n">
        <v>33329</v>
      </c>
      <c r="B536" s="68">
        <f>VLOOKUP(Table2[[#This Row],[Date]],Database!A:E,2,)</f>
        <v/>
      </c>
      <c r="C536" s="14">
        <f>(B536-B535)/B535</f>
        <v/>
      </c>
      <c r="D536" s="14">
        <f>(B536-B524)/B524</f>
        <v/>
      </c>
      <c r="E536" s="15">
        <f>VLOOKUP(Table2[[#This Row],[Date]],'Fed Fund New'!$A:$C,2,FALSE)</f>
        <v/>
      </c>
      <c r="F536" s="15">
        <f>VLOOKUP(Table2[[#This Row],[Date]],'Fed Fund New'!$A:$C,3,FALSE)</f>
        <v/>
      </c>
    </row>
    <row r="537">
      <c r="A537" s="61" t="n">
        <v>33359</v>
      </c>
      <c r="B537" s="68">
        <f>VLOOKUP(Table2[[#This Row],[Date]],Database!A:E,2,)</f>
        <v/>
      </c>
      <c r="C537" s="14">
        <f>(B537-B536)/B536</f>
        <v/>
      </c>
      <c r="D537" s="14">
        <f>(B537-B525)/B525</f>
        <v/>
      </c>
      <c r="E537" s="15">
        <f>VLOOKUP(Table2[[#This Row],[Date]],'Fed Fund New'!$A:$C,2,FALSE)</f>
        <v/>
      </c>
      <c r="F537" s="15">
        <f>VLOOKUP(Table2[[#This Row],[Date]],'Fed Fund New'!$A:$C,3,FALSE)</f>
        <v/>
      </c>
    </row>
    <row r="538">
      <c r="A538" s="61" t="n">
        <v>33390</v>
      </c>
      <c r="B538" s="68">
        <f>VLOOKUP(Table2[[#This Row],[Date]],Database!A:E,2,)</f>
        <v/>
      </c>
      <c r="C538" s="14">
        <f>(B538-B537)/B537</f>
        <v/>
      </c>
      <c r="D538" s="14">
        <f>(B538-B526)/B526</f>
        <v/>
      </c>
      <c r="E538" s="15">
        <f>VLOOKUP(Table2[[#This Row],[Date]],'Fed Fund New'!$A:$C,2,FALSE)</f>
        <v/>
      </c>
      <c r="F538" s="15">
        <f>VLOOKUP(Table2[[#This Row],[Date]],'Fed Fund New'!$A:$C,3,FALSE)</f>
        <v/>
      </c>
    </row>
    <row r="539">
      <c r="A539" s="61" t="n">
        <v>33420</v>
      </c>
      <c r="B539" s="68">
        <f>VLOOKUP(Table2[[#This Row],[Date]],Database!A:E,2,)</f>
        <v/>
      </c>
      <c r="C539" s="14">
        <f>(B539-B538)/B538</f>
        <v/>
      </c>
      <c r="D539" s="14">
        <f>(B539-B527)/B527</f>
        <v/>
      </c>
      <c r="E539" s="15">
        <f>VLOOKUP(Table2[[#This Row],[Date]],'Fed Fund New'!$A:$C,2,FALSE)</f>
        <v/>
      </c>
      <c r="F539" s="15">
        <f>VLOOKUP(Table2[[#This Row],[Date]],'Fed Fund New'!$A:$C,3,FALSE)</f>
        <v/>
      </c>
    </row>
    <row r="540">
      <c r="A540" s="61" t="n">
        <v>33451</v>
      </c>
      <c r="B540" s="68">
        <f>VLOOKUP(Table2[[#This Row],[Date]],Database!A:E,2,)</f>
        <v/>
      </c>
      <c r="C540" s="14">
        <f>(B540-B539)/B539</f>
        <v/>
      </c>
      <c r="D540" s="14">
        <f>(B540-B528)/B528</f>
        <v/>
      </c>
      <c r="E540" s="15">
        <f>VLOOKUP(Table2[[#This Row],[Date]],'Fed Fund New'!$A:$C,2,FALSE)</f>
        <v/>
      </c>
      <c r="F540" s="15">
        <f>VLOOKUP(Table2[[#This Row],[Date]],'Fed Fund New'!$A:$C,3,FALSE)</f>
        <v/>
      </c>
    </row>
    <row r="541">
      <c r="A541" s="61" t="n">
        <v>33482</v>
      </c>
      <c r="B541" s="68">
        <f>VLOOKUP(Table2[[#This Row],[Date]],Database!A:E,2,)</f>
        <v/>
      </c>
      <c r="C541" s="14">
        <f>(B541-B540)/B540</f>
        <v/>
      </c>
      <c r="D541" s="14">
        <f>(B541-B529)/B529</f>
        <v/>
      </c>
      <c r="E541" s="15">
        <f>VLOOKUP(Table2[[#This Row],[Date]],'Fed Fund New'!$A:$C,2,FALSE)</f>
        <v/>
      </c>
      <c r="F541" s="15">
        <f>VLOOKUP(Table2[[#This Row],[Date]],'Fed Fund New'!$A:$C,3,FALSE)</f>
        <v/>
      </c>
    </row>
    <row r="542">
      <c r="A542" s="61" t="n">
        <v>33512</v>
      </c>
      <c r="B542" s="68">
        <f>VLOOKUP(Table2[[#This Row],[Date]],Database!A:E,2,)</f>
        <v/>
      </c>
      <c r="C542" s="14">
        <f>(B542-B541)/B541</f>
        <v/>
      </c>
      <c r="D542" s="14">
        <f>(B542-B530)/B530</f>
        <v/>
      </c>
      <c r="E542" s="15">
        <f>VLOOKUP(Table2[[#This Row],[Date]],'Fed Fund New'!$A:$C,2,FALSE)</f>
        <v/>
      </c>
      <c r="F542" s="15">
        <f>VLOOKUP(Table2[[#This Row],[Date]],'Fed Fund New'!$A:$C,3,FALSE)</f>
        <v/>
      </c>
    </row>
    <row r="543">
      <c r="A543" s="61" t="n">
        <v>33543</v>
      </c>
      <c r="B543" s="68">
        <f>VLOOKUP(Table2[[#This Row],[Date]],Database!A:E,2,)</f>
        <v/>
      </c>
      <c r="C543" s="14">
        <f>(B543-B542)/B542</f>
        <v/>
      </c>
      <c r="D543" s="14">
        <f>(B543-B531)/B531</f>
        <v/>
      </c>
      <c r="E543" s="15">
        <f>VLOOKUP(Table2[[#This Row],[Date]],'Fed Fund New'!$A:$C,2,FALSE)</f>
        <v/>
      </c>
      <c r="F543" s="15">
        <f>VLOOKUP(Table2[[#This Row],[Date]],'Fed Fund New'!$A:$C,3,FALSE)</f>
        <v/>
      </c>
    </row>
    <row r="544">
      <c r="A544" s="61" t="n">
        <v>33573</v>
      </c>
      <c r="B544" s="68">
        <f>VLOOKUP(Table2[[#This Row],[Date]],Database!A:E,2,)</f>
        <v/>
      </c>
      <c r="C544" s="14">
        <f>(B544-B543)/B543</f>
        <v/>
      </c>
      <c r="D544" s="14">
        <f>(B544-B532)/B532</f>
        <v/>
      </c>
      <c r="E544" s="15">
        <f>VLOOKUP(Table2[[#This Row],[Date]],'Fed Fund New'!$A:$C,2,FALSE)</f>
        <v/>
      </c>
      <c r="F544" s="15">
        <f>VLOOKUP(Table2[[#This Row],[Date]],'Fed Fund New'!$A:$C,3,FALSE)</f>
        <v/>
      </c>
    </row>
    <row r="545">
      <c r="A545" s="61" t="n">
        <v>33604</v>
      </c>
      <c r="B545" s="68">
        <f>VLOOKUP(Table2[[#This Row],[Date]],Database!A:E,2,)</f>
        <v/>
      </c>
      <c r="C545" s="14">
        <f>(B545-B544)/B544</f>
        <v/>
      </c>
      <c r="D545" s="14">
        <f>(B545-B533)/B533</f>
        <v/>
      </c>
      <c r="E545" s="15">
        <f>VLOOKUP(Table2[[#This Row],[Date]],'Fed Fund New'!$A:$C,2,FALSE)</f>
        <v/>
      </c>
      <c r="F545" s="15">
        <f>VLOOKUP(Table2[[#This Row],[Date]],'Fed Fund New'!$A:$C,3,FALSE)</f>
        <v/>
      </c>
    </row>
    <row r="546">
      <c r="A546" s="61" t="n">
        <v>33635</v>
      </c>
      <c r="B546" s="68">
        <f>VLOOKUP(Table2[[#This Row],[Date]],Database!A:E,2,)</f>
        <v/>
      </c>
      <c r="C546" s="14">
        <f>(B546-B545)/B545</f>
        <v/>
      </c>
      <c r="D546" s="14">
        <f>(B546-B534)/B534</f>
        <v/>
      </c>
      <c r="E546" s="15">
        <f>VLOOKUP(Table2[[#This Row],[Date]],'Fed Fund New'!$A:$C,2,FALSE)</f>
        <v/>
      </c>
      <c r="F546" s="15">
        <f>VLOOKUP(Table2[[#This Row],[Date]],'Fed Fund New'!$A:$C,3,FALSE)</f>
        <v/>
      </c>
    </row>
    <row r="547">
      <c r="A547" s="61" t="n">
        <v>33664</v>
      </c>
      <c r="B547" s="68">
        <f>VLOOKUP(Table2[[#This Row],[Date]],Database!A:E,2,)</f>
        <v/>
      </c>
      <c r="C547" s="14">
        <f>(B547-B546)/B546</f>
        <v/>
      </c>
      <c r="D547" s="14">
        <f>(B547-B535)/B535</f>
        <v/>
      </c>
      <c r="E547" s="15">
        <f>VLOOKUP(Table2[[#This Row],[Date]],'Fed Fund New'!$A:$C,2,FALSE)</f>
        <v/>
      </c>
      <c r="F547" s="15">
        <f>VLOOKUP(Table2[[#This Row],[Date]],'Fed Fund New'!$A:$C,3,FALSE)</f>
        <v/>
      </c>
    </row>
    <row r="548">
      <c r="A548" s="61" t="n">
        <v>33695</v>
      </c>
      <c r="B548" s="68">
        <f>VLOOKUP(Table2[[#This Row],[Date]],Database!A:E,2,)</f>
        <v/>
      </c>
      <c r="C548" s="14">
        <f>(B548-B547)/B547</f>
        <v/>
      </c>
      <c r="D548" s="14">
        <f>(B548-B536)/B536</f>
        <v/>
      </c>
      <c r="E548" s="15">
        <f>VLOOKUP(Table2[[#This Row],[Date]],'Fed Fund New'!$A:$C,2,FALSE)</f>
        <v/>
      </c>
      <c r="F548" s="15">
        <f>VLOOKUP(Table2[[#This Row],[Date]],'Fed Fund New'!$A:$C,3,FALSE)</f>
        <v/>
      </c>
    </row>
    <row r="549">
      <c r="A549" s="61" t="n">
        <v>33725</v>
      </c>
      <c r="B549" s="68">
        <f>VLOOKUP(Table2[[#This Row],[Date]],Database!A:E,2,)</f>
        <v/>
      </c>
      <c r="C549" s="14">
        <f>(B549-B548)/B548</f>
        <v/>
      </c>
      <c r="D549" s="14">
        <f>(B549-B537)/B537</f>
        <v/>
      </c>
      <c r="E549" s="15">
        <f>VLOOKUP(Table2[[#This Row],[Date]],'Fed Fund New'!$A:$C,2,FALSE)</f>
        <v/>
      </c>
      <c r="F549" s="15">
        <f>VLOOKUP(Table2[[#This Row],[Date]],'Fed Fund New'!$A:$C,3,FALSE)</f>
        <v/>
      </c>
    </row>
    <row r="550">
      <c r="A550" s="61" t="n">
        <v>33756</v>
      </c>
      <c r="B550" s="68">
        <f>VLOOKUP(Table2[[#This Row],[Date]],Database!A:E,2,)</f>
        <v/>
      </c>
      <c r="C550" s="14">
        <f>(B550-B549)/B549</f>
        <v/>
      </c>
      <c r="D550" s="14">
        <f>(B550-B538)/B538</f>
        <v/>
      </c>
      <c r="E550" s="15">
        <f>VLOOKUP(Table2[[#This Row],[Date]],'Fed Fund New'!$A:$C,2,FALSE)</f>
        <v/>
      </c>
      <c r="F550" s="15">
        <f>VLOOKUP(Table2[[#This Row],[Date]],'Fed Fund New'!$A:$C,3,FALSE)</f>
        <v/>
      </c>
    </row>
    <row r="551">
      <c r="A551" s="61" t="n">
        <v>33786</v>
      </c>
      <c r="B551" s="68">
        <f>VLOOKUP(Table2[[#This Row],[Date]],Database!A:E,2,)</f>
        <v/>
      </c>
      <c r="C551" s="14">
        <f>(B551-B550)/B550</f>
        <v/>
      </c>
      <c r="D551" s="14">
        <f>(B551-B539)/B539</f>
        <v/>
      </c>
      <c r="E551" s="15">
        <f>VLOOKUP(Table2[[#This Row],[Date]],'Fed Fund New'!$A:$C,2,FALSE)</f>
        <v/>
      </c>
      <c r="F551" s="15">
        <f>VLOOKUP(Table2[[#This Row],[Date]],'Fed Fund New'!$A:$C,3,FALSE)</f>
        <v/>
      </c>
    </row>
    <row r="552">
      <c r="A552" s="61" t="n">
        <v>33817</v>
      </c>
      <c r="B552" s="68">
        <f>VLOOKUP(Table2[[#This Row],[Date]],Database!A:E,2,)</f>
        <v/>
      </c>
      <c r="C552" s="14">
        <f>(B552-B551)/B551</f>
        <v/>
      </c>
      <c r="D552" s="14">
        <f>(B552-B540)/B540</f>
        <v/>
      </c>
      <c r="E552" s="15">
        <f>VLOOKUP(Table2[[#This Row],[Date]],'Fed Fund New'!$A:$C,2,FALSE)</f>
        <v/>
      </c>
      <c r="F552" s="15">
        <f>VLOOKUP(Table2[[#This Row],[Date]],'Fed Fund New'!$A:$C,3,FALSE)</f>
        <v/>
      </c>
    </row>
    <row r="553">
      <c r="A553" s="61" t="n">
        <v>33848</v>
      </c>
      <c r="B553" s="68">
        <f>VLOOKUP(Table2[[#This Row],[Date]],Database!A:E,2,)</f>
        <v/>
      </c>
      <c r="C553" s="14">
        <f>(B553-B552)/B552</f>
        <v/>
      </c>
      <c r="D553" s="14">
        <f>(B553-B541)/B541</f>
        <v/>
      </c>
      <c r="E553" s="15">
        <f>VLOOKUP(Table2[[#This Row],[Date]],'Fed Fund New'!$A:$C,2,FALSE)</f>
        <v/>
      </c>
      <c r="F553" s="15">
        <f>VLOOKUP(Table2[[#This Row],[Date]],'Fed Fund New'!$A:$C,3,FALSE)</f>
        <v/>
      </c>
    </row>
    <row r="554">
      <c r="A554" s="61" t="n">
        <v>33878</v>
      </c>
      <c r="B554" s="68">
        <f>VLOOKUP(Table2[[#This Row],[Date]],Database!A:E,2,)</f>
        <v/>
      </c>
      <c r="C554" s="14">
        <f>(B554-B553)/B553</f>
        <v/>
      </c>
      <c r="D554" s="14">
        <f>(B554-B542)/B542</f>
        <v/>
      </c>
      <c r="E554" s="15">
        <f>VLOOKUP(Table2[[#This Row],[Date]],'Fed Fund New'!$A:$C,2,FALSE)</f>
        <v/>
      </c>
      <c r="F554" s="15">
        <f>VLOOKUP(Table2[[#This Row],[Date]],'Fed Fund New'!$A:$C,3,FALSE)</f>
        <v/>
      </c>
    </row>
    <row r="555">
      <c r="A555" s="61" t="n">
        <v>33909</v>
      </c>
      <c r="B555" s="68">
        <f>VLOOKUP(Table2[[#This Row],[Date]],Database!A:E,2,)</f>
        <v/>
      </c>
      <c r="C555" s="14">
        <f>(B555-B554)/B554</f>
        <v/>
      </c>
      <c r="D555" s="14">
        <f>(B555-B543)/B543</f>
        <v/>
      </c>
      <c r="E555" s="15">
        <f>VLOOKUP(Table2[[#This Row],[Date]],'Fed Fund New'!$A:$C,2,FALSE)</f>
        <v/>
      </c>
      <c r="F555" s="15">
        <f>VLOOKUP(Table2[[#This Row],[Date]],'Fed Fund New'!$A:$C,3,FALSE)</f>
        <v/>
      </c>
    </row>
    <row r="556">
      <c r="A556" s="61" t="n">
        <v>33939</v>
      </c>
      <c r="B556" s="68">
        <f>VLOOKUP(Table2[[#This Row],[Date]],Database!A:E,2,)</f>
        <v/>
      </c>
      <c r="C556" s="14">
        <f>(B556-B555)/B555</f>
        <v/>
      </c>
      <c r="D556" s="14">
        <f>(B556-B544)/B544</f>
        <v/>
      </c>
      <c r="E556" s="15">
        <f>VLOOKUP(Table2[[#This Row],[Date]],'Fed Fund New'!$A:$C,2,FALSE)</f>
        <v/>
      </c>
      <c r="F556" s="15">
        <f>VLOOKUP(Table2[[#This Row],[Date]],'Fed Fund New'!$A:$C,3,FALSE)</f>
        <v/>
      </c>
    </row>
    <row r="557">
      <c r="A557" s="61" t="n">
        <v>33970</v>
      </c>
      <c r="B557" s="68">
        <f>VLOOKUP(Table2[[#This Row],[Date]],Database!A:E,2,)</f>
        <v/>
      </c>
      <c r="C557" s="14">
        <f>(B557-B556)/B556</f>
        <v/>
      </c>
      <c r="D557" s="14">
        <f>(B557-B545)/B545</f>
        <v/>
      </c>
      <c r="E557" s="15">
        <f>VLOOKUP(Table2[[#This Row],[Date]],'Fed Fund New'!$A:$C,2,FALSE)</f>
        <v/>
      </c>
      <c r="F557" s="15">
        <f>VLOOKUP(Table2[[#This Row],[Date]],'Fed Fund New'!$A:$C,3,FALSE)</f>
        <v/>
      </c>
    </row>
    <row r="558">
      <c r="A558" s="61" t="n">
        <v>34001</v>
      </c>
      <c r="B558" s="68">
        <f>VLOOKUP(Table2[[#This Row],[Date]],Database!A:E,2,)</f>
        <v/>
      </c>
      <c r="C558" s="14">
        <f>(B558-B557)/B557</f>
        <v/>
      </c>
      <c r="D558" s="14">
        <f>(B558-B546)/B546</f>
        <v/>
      </c>
      <c r="E558" s="15">
        <f>VLOOKUP(Table2[[#This Row],[Date]],'Fed Fund New'!$A:$C,2,FALSE)</f>
        <v/>
      </c>
      <c r="F558" s="15">
        <f>VLOOKUP(Table2[[#This Row],[Date]],'Fed Fund New'!$A:$C,3,FALSE)</f>
        <v/>
      </c>
    </row>
    <row r="559">
      <c r="A559" s="61" t="n">
        <v>34029</v>
      </c>
      <c r="B559" s="68">
        <f>VLOOKUP(Table2[[#This Row],[Date]],Database!A:E,2,)</f>
        <v/>
      </c>
      <c r="C559" s="14">
        <f>(B559-B558)/B558</f>
        <v/>
      </c>
      <c r="D559" s="14">
        <f>(B559-B547)/B547</f>
        <v/>
      </c>
      <c r="E559" s="15">
        <f>VLOOKUP(Table2[[#This Row],[Date]],'Fed Fund New'!$A:$C,2,FALSE)</f>
        <v/>
      </c>
      <c r="F559" s="15">
        <f>VLOOKUP(Table2[[#This Row],[Date]],'Fed Fund New'!$A:$C,3,FALSE)</f>
        <v/>
      </c>
    </row>
    <row r="560">
      <c r="A560" s="61" t="n">
        <v>34060</v>
      </c>
      <c r="B560" s="68">
        <f>VLOOKUP(Table2[[#This Row],[Date]],Database!A:E,2,)</f>
        <v/>
      </c>
      <c r="C560" s="14">
        <f>(B560-B559)/B559</f>
        <v/>
      </c>
      <c r="D560" s="14">
        <f>(B560-B548)/B548</f>
        <v/>
      </c>
      <c r="E560" s="15">
        <f>VLOOKUP(Table2[[#This Row],[Date]],'Fed Fund New'!$A:$C,2,FALSE)</f>
        <v/>
      </c>
      <c r="F560" s="15">
        <f>VLOOKUP(Table2[[#This Row],[Date]],'Fed Fund New'!$A:$C,3,FALSE)</f>
        <v/>
      </c>
    </row>
    <row r="561">
      <c r="A561" s="61" t="n">
        <v>34090</v>
      </c>
      <c r="B561" s="68">
        <f>VLOOKUP(Table2[[#This Row],[Date]],Database!A:E,2,)</f>
        <v/>
      </c>
      <c r="C561" s="14">
        <f>(B561-B560)/B560</f>
        <v/>
      </c>
      <c r="D561" s="14">
        <f>(B561-B549)/B549</f>
        <v/>
      </c>
      <c r="E561" s="15">
        <f>VLOOKUP(Table2[[#This Row],[Date]],'Fed Fund New'!$A:$C,2,FALSE)</f>
        <v/>
      </c>
      <c r="F561" s="15">
        <f>VLOOKUP(Table2[[#This Row],[Date]],'Fed Fund New'!$A:$C,3,FALSE)</f>
        <v/>
      </c>
    </row>
    <row r="562">
      <c r="A562" s="61" t="n">
        <v>34121</v>
      </c>
      <c r="B562" s="68">
        <f>VLOOKUP(Table2[[#This Row],[Date]],Database!A:E,2,)</f>
        <v/>
      </c>
      <c r="C562" s="14">
        <f>(B562-B561)/B561</f>
        <v/>
      </c>
      <c r="D562" s="14">
        <f>(B562-B550)/B550</f>
        <v/>
      </c>
      <c r="E562" s="15">
        <f>VLOOKUP(Table2[[#This Row],[Date]],'Fed Fund New'!$A:$C,2,FALSE)</f>
        <v/>
      </c>
      <c r="F562" s="15">
        <f>VLOOKUP(Table2[[#This Row],[Date]],'Fed Fund New'!$A:$C,3,FALSE)</f>
        <v/>
      </c>
    </row>
    <row r="563">
      <c r="A563" s="61" t="n">
        <v>34151</v>
      </c>
      <c r="B563" s="68">
        <f>VLOOKUP(Table2[[#This Row],[Date]],Database!A:E,2,)</f>
        <v/>
      </c>
      <c r="C563" s="14">
        <f>(B563-B562)/B562</f>
        <v/>
      </c>
      <c r="D563" s="14">
        <f>(B563-B551)/B551</f>
        <v/>
      </c>
      <c r="E563" s="15">
        <f>VLOOKUP(Table2[[#This Row],[Date]],'Fed Fund New'!$A:$C,2,FALSE)</f>
        <v/>
      </c>
      <c r="F563" s="15">
        <f>VLOOKUP(Table2[[#This Row],[Date]],'Fed Fund New'!$A:$C,3,FALSE)</f>
        <v/>
      </c>
    </row>
    <row r="564">
      <c r="A564" s="61" t="n">
        <v>34182</v>
      </c>
      <c r="B564" s="68">
        <f>VLOOKUP(Table2[[#This Row],[Date]],Database!A:E,2,)</f>
        <v/>
      </c>
      <c r="C564" s="14">
        <f>(B564-B563)/B563</f>
        <v/>
      </c>
      <c r="D564" s="14">
        <f>(B564-B552)/B552</f>
        <v/>
      </c>
      <c r="E564" s="15">
        <f>VLOOKUP(Table2[[#This Row],[Date]],'Fed Fund New'!$A:$C,2,FALSE)</f>
        <v/>
      </c>
      <c r="F564" s="15">
        <f>VLOOKUP(Table2[[#This Row],[Date]],'Fed Fund New'!$A:$C,3,FALSE)</f>
        <v/>
      </c>
    </row>
    <row r="565">
      <c r="A565" s="61" t="n">
        <v>34213</v>
      </c>
      <c r="B565" s="68">
        <f>VLOOKUP(Table2[[#This Row],[Date]],Database!A:E,2,)</f>
        <v/>
      </c>
      <c r="C565" s="14">
        <f>(B565-B564)/B564</f>
        <v/>
      </c>
      <c r="D565" s="14">
        <f>(B565-B553)/B553</f>
        <v/>
      </c>
      <c r="E565" s="15">
        <f>VLOOKUP(Table2[[#This Row],[Date]],'Fed Fund New'!$A:$C,2,FALSE)</f>
        <v/>
      </c>
      <c r="F565" s="15">
        <f>VLOOKUP(Table2[[#This Row],[Date]],'Fed Fund New'!$A:$C,3,FALSE)</f>
        <v/>
      </c>
    </row>
    <row r="566">
      <c r="A566" s="61" t="n">
        <v>34243</v>
      </c>
      <c r="B566" s="68">
        <f>VLOOKUP(Table2[[#This Row],[Date]],Database!A:E,2,)</f>
        <v/>
      </c>
      <c r="C566" s="14">
        <f>(B566-B565)/B565</f>
        <v/>
      </c>
      <c r="D566" s="14">
        <f>(B566-B554)/B554</f>
        <v/>
      </c>
      <c r="E566" s="15">
        <f>VLOOKUP(Table2[[#This Row],[Date]],'Fed Fund New'!$A:$C,2,FALSE)</f>
        <v/>
      </c>
      <c r="F566" s="15">
        <f>VLOOKUP(Table2[[#This Row],[Date]],'Fed Fund New'!$A:$C,3,FALSE)</f>
        <v/>
      </c>
    </row>
    <row r="567">
      <c r="A567" s="61" t="n">
        <v>34274</v>
      </c>
      <c r="B567" s="68">
        <f>VLOOKUP(Table2[[#This Row],[Date]],Database!A:E,2,)</f>
        <v/>
      </c>
      <c r="C567" s="14">
        <f>(B567-B566)/B566</f>
        <v/>
      </c>
      <c r="D567" s="14">
        <f>(B567-B555)/B555</f>
        <v/>
      </c>
      <c r="E567" s="15">
        <f>VLOOKUP(Table2[[#This Row],[Date]],'Fed Fund New'!$A:$C,2,FALSE)</f>
        <v/>
      </c>
      <c r="F567" s="15">
        <f>VLOOKUP(Table2[[#This Row],[Date]],'Fed Fund New'!$A:$C,3,FALSE)</f>
        <v/>
      </c>
    </row>
    <row r="568">
      <c r="A568" s="61" t="n">
        <v>34304</v>
      </c>
      <c r="B568" s="68">
        <f>VLOOKUP(Table2[[#This Row],[Date]],Database!A:E,2,)</f>
        <v/>
      </c>
      <c r="C568" s="14">
        <f>(B568-B567)/B567</f>
        <v/>
      </c>
      <c r="D568" s="14">
        <f>(B568-B556)/B556</f>
        <v/>
      </c>
      <c r="E568" s="15">
        <f>VLOOKUP(Table2[[#This Row],[Date]],'Fed Fund New'!$A:$C,2,FALSE)</f>
        <v/>
      </c>
      <c r="F568" s="15">
        <f>VLOOKUP(Table2[[#This Row],[Date]],'Fed Fund New'!$A:$C,3,FALSE)</f>
        <v/>
      </c>
    </row>
    <row r="569">
      <c r="A569" s="61" t="n">
        <v>34335</v>
      </c>
      <c r="B569" s="68">
        <f>VLOOKUP(Table2[[#This Row],[Date]],Database!A:E,2,)</f>
        <v/>
      </c>
      <c r="C569" s="14">
        <f>(B569-B568)/B568</f>
        <v/>
      </c>
      <c r="D569" s="14">
        <f>(B569-B557)/B557</f>
        <v/>
      </c>
      <c r="E569" s="15">
        <f>VLOOKUP(Table2[[#This Row],[Date]],'Fed Fund New'!$A:$C,2,FALSE)</f>
        <v/>
      </c>
      <c r="F569" s="15">
        <f>VLOOKUP(Table2[[#This Row],[Date]],'Fed Fund New'!$A:$C,3,FALSE)</f>
        <v/>
      </c>
    </row>
    <row r="570">
      <c r="A570" s="61" t="n">
        <v>34366</v>
      </c>
      <c r="B570" s="68">
        <f>VLOOKUP(Table2[[#This Row],[Date]],Database!A:E,2,)</f>
        <v/>
      </c>
      <c r="C570" s="14">
        <f>(B570-B569)/B569</f>
        <v/>
      </c>
      <c r="D570" s="14">
        <f>(B570-B558)/B558</f>
        <v/>
      </c>
      <c r="E570" s="15">
        <f>VLOOKUP(Table2[[#This Row],[Date]],'Fed Fund New'!$A:$C,2,FALSE)</f>
        <v/>
      </c>
      <c r="F570" s="15">
        <f>VLOOKUP(Table2[[#This Row],[Date]],'Fed Fund New'!$A:$C,3,FALSE)</f>
        <v/>
      </c>
    </row>
    <row r="571">
      <c r="A571" s="61" t="n">
        <v>34394</v>
      </c>
      <c r="B571" s="68">
        <f>VLOOKUP(Table2[[#This Row],[Date]],Database!A:E,2,)</f>
        <v/>
      </c>
      <c r="C571" s="14">
        <f>(B571-B570)/B570</f>
        <v/>
      </c>
      <c r="D571" s="14">
        <f>(B571-B559)/B559</f>
        <v/>
      </c>
      <c r="E571" s="15">
        <f>VLOOKUP(Table2[[#This Row],[Date]],'Fed Fund New'!$A:$C,2,FALSE)</f>
        <v/>
      </c>
      <c r="F571" s="15">
        <f>VLOOKUP(Table2[[#This Row],[Date]],'Fed Fund New'!$A:$C,3,FALSE)</f>
        <v/>
      </c>
    </row>
    <row r="572">
      <c r="A572" s="61" t="n">
        <v>34425</v>
      </c>
      <c r="B572" s="68">
        <f>VLOOKUP(Table2[[#This Row],[Date]],Database!A:E,2,)</f>
        <v/>
      </c>
      <c r="C572" s="14">
        <f>(B572-B571)/B571</f>
        <v/>
      </c>
      <c r="D572" s="14">
        <f>(B572-B560)/B560</f>
        <v/>
      </c>
      <c r="E572" s="15">
        <f>VLOOKUP(Table2[[#This Row],[Date]],'Fed Fund New'!$A:$C,2,FALSE)</f>
        <v/>
      </c>
      <c r="F572" s="15">
        <f>VLOOKUP(Table2[[#This Row],[Date]],'Fed Fund New'!$A:$C,3,FALSE)</f>
        <v/>
      </c>
    </row>
    <row r="573">
      <c r="A573" s="61" t="n">
        <v>34455</v>
      </c>
      <c r="B573" s="68">
        <f>VLOOKUP(Table2[[#This Row],[Date]],Database!A:E,2,)</f>
        <v/>
      </c>
      <c r="C573" s="14">
        <f>(B573-B572)/B572</f>
        <v/>
      </c>
      <c r="D573" s="14">
        <f>(B573-B561)/B561</f>
        <v/>
      </c>
      <c r="E573" s="15">
        <f>VLOOKUP(Table2[[#This Row],[Date]],'Fed Fund New'!$A:$C,2,FALSE)</f>
        <v/>
      </c>
      <c r="F573" s="15">
        <f>VLOOKUP(Table2[[#This Row],[Date]],'Fed Fund New'!$A:$C,3,FALSE)</f>
        <v/>
      </c>
    </row>
    <row r="574">
      <c r="A574" s="61" t="n">
        <v>34486</v>
      </c>
      <c r="B574" s="68">
        <f>VLOOKUP(Table2[[#This Row],[Date]],Database!A:E,2,)</f>
        <v/>
      </c>
      <c r="C574" s="14">
        <f>(B574-B573)/B573</f>
        <v/>
      </c>
      <c r="D574" s="14">
        <f>(B574-B562)/B562</f>
        <v/>
      </c>
      <c r="E574" s="15">
        <f>VLOOKUP(Table2[[#This Row],[Date]],'Fed Fund New'!$A:$C,2,FALSE)</f>
        <v/>
      </c>
      <c r="F574" s="15">
        <f>VLOOKUP(Table2[[#This Row],[Date]],'Fed Fund New'!$A:$C,3,FALSE)</f>
        <v/>
      </c>
    </row>
    <row r="575">
      <c r="A575" s="61" t="n">
        <v>34516</v>
      </c>
      <c r="B575" s="68">
        <f>VLOOKUP(Table2[[#This Row],[Date]],Database!A:E,2,)</f>
        <v/>
      </c>
      <c r="C575" s="14">
        <f>(B575-B574)/B574</f>
        <v/>
      </c>
      <c r="D575" s="14">
        <f>(B575-B563)/B563</f>
        <v/>
      </c>
      <c r="E575" s="15">
        <f>VLOOKUP(Table2[[#This Row],[Date]],'Fed Fund New'!$A:$C,2,FALSE)</f>
        <v/>
      </c>
      <c r="F575" s="15">
        <f>VLOOKUP(Table2[[#This Row],[Date]],'Fed Fund New'!$A:$C,3,FALSE)</f>
        <v/>
      </c>
    </row>
    <row r="576">
      <c r="A576" s="61" t="n">
        <v>34547</v>
      </c>
      <c r="B576" s="68">
        <f>VLOOKUP(Table2[[#This Row],[Date]],Database!A:E,2,)</f>
        <v/>
      </c>
      <c r="C576" s="14">
        <f>(B576-B575)/B575</f>
        <v/>
      </c>
      <c r="D576" s="14">
        <f>(B576-B564)/B564</f>
        <v/>
      </c>
      <c r="E576" s="15">
        <f>VLOOKUP(Table2[[#This Row],[Date]],'Fed Fund New'!$A:$C,2,FALSE)</f>
        <v/>
      </c>
      <c r="F576" s="15">
        <f>VLOOKUP(Table2[[#This Row],[Date]],'Fed Fund New'!$A:$C,3,FALSE)</f>
        <v/>
      </c>
    </row>
    <row r="577">
      <c r="A577" s="61" t="n">
        <v>34578</v>
      </c>
      <c r="B577" s="68">
        <f>VLOOKUP(Table2[[#This Row],[Date]],Database!A:E,2,)</f>
        <v/>
      </c>
      <c r="C577" s="14">
        <f>(B577-B576)/B576</f>
        <v/>
      </c>
      <c r="D577" s="14">
        <f>(B577-B565)/B565</f>
        <v/>
      </c>
      <c r="E577" s="15">
        <f>VLOOKUP(Table2[[#This Row],[Date]],'Fed Fund New'!$A:$C,2,FALSE)</f>
        <v/>
      </c>
      <c r="F577" s="15">
        <f>VLOOKUP(Table2[[#This Row],[Date]],'Fed Fund New'!$A:$C,3,FALSE)</f>
        <v/>
      </c>
    </row>
    <row r="578">
      <c r="A578" s="61" t="n">
        <v>34608</v>
      </c>
      <c r="B578" s="68">
        <f>VLOOKUP(Table2[[#This Row],[Date]],Database!A:E,2,)</f>
        <v/>
      </c>
      <c r="C578" s="14">
        <f>(B578-B577)/B577</f>
        <v/>
      </c>
      <c r="D578" s="14">
        <f>(B578-B566)/B566</f>
        <v/>
      </c>
      <c r="E578" s="15">
        <f>VLOOKUP(Table2[[#This Row],[Date]],'Fed Fund New'!$A:$C,2,FALSE)</f>
        <v/>
      </c>
      <c r="F578" s="15">
        <f>VLOOKUP(Table2[[#This Row],[Date]],'Fed Fund New'!$A:$C,3,FALSE)</f>
        <v/>
      </c>
    </row>
    <row r="579">
      <c r="A579" s="61" t="n">
        <v>34639</v>
      </c>
      <c r="B579" s="68">
        <f>VLOOKUP(Table2[[#This Row],[Date]],Database!A:E,2,)</f>
        <v/>
      </c>
      <c r="C579" s="14">
        <f>(B579-B578)/B578</f>
        <v/>
      </c>
      <c r="D579" s="14">
        <f>(B579-B567)/B567</f>
        <v/>
      </c>
      <c r="E579" s="15">
        <f>VLOOKUP(Table2[[#This Row],[Date]],'Fed Fund New'!$A:$C,2,FALSE)</f>
        <v/>
      </c>
      <c r="F579" s="15">
        <f>VLOOKUP(Table2[[#This Row],[Date]],'Fed Fund New'!$A:$C,3,FALSE)</f>
        <v/>
      </c>
    </row>
    <row r="580">
      <c r="A580" s="61" t="n">
        <v>34669</v>
      </c>
      <c r="B580" s="68">
        <f>VLOOKUP(Table2[[#This Row],[Date]],Database!A:E,2,)</f>
        <v/>
      </c>
      <c r="C580" s="14">
        <f>(B580-B579)/B579</f>
        <v/>
      </c>
      <c r="D580" s="14">
        <f>(B580-B568)/B568</f>
        <v/>
      </c>
      <c r="E580" s="15">
        <f>VLOOKUP(Table2[[#This Row],[Date]],'Fed Fund New'!$A:$C,2,FALSE)</f>
        <v/>
      </c>
      <c r="F580" s="15">
        <f>VLOOKUP(Table2[[#This Row],[Date]],'Fed Fund New'!$A:$C,3,FALSE)</f>
        <v/>
      </c>
    </row>
    <row r="581">
      <c r="A581" s="61" t="n">
        <v>34700</v>
      </c>
      <c r="B581" s="68">
        <f>VLOOKUP(Table2[[#This Row],[Date]],Database!A:E,2,)</f>
        <v/>
      </c>
      <c r="C581" s="14">
        <f>(B581-B580)/B580</f>
        <v/>
      </c>
      <c r="D581" s="14">
        <f>(B581-B569)/B569</f>
        <v/>
      </c>
      <c r="E581" s="15">
        <f>VLOOKUP(Table2[[#This Row],[Date]],'Fed Fund New'!$A:$C,2,FALSE)</f>
        <v/>
      </c>
      <c r="F581" s="15">
        <f>VLOOKUP(Table2[[#This Row],[Date]],'Fed Fund New'!$A:$C,3,FALSE)</f>
        <v/>
      </c>
    </row>
    <row r="582">
      <c r="A582" s="61" t="n">
        <v>34731</v>
      </c>
      <c r="B582" s="68">
        <f>VLOOKUP(Table2[[#This Row],[Date]],Database!A:E,2,)</f>
        <v/>
      </c>
      <c r="C582" s="14">
        <f>(B582-B581)/B581</f>
        <v/>
      </c>
      <c r="D582" s="14">
        <f>(B582-B570)/B570</f>
        <v/>
      </c>
      <c r="E582" s="15">
        <f>VLOOKUP(Table2[[#This Row],[Date]],'Fed Fund New'!$A:$C,2,FALSE)</f>
        <v/>
      </c>
      <c r="F582" s="15">
        <f>VLOOKUP(Table2[[#This Row],[Date]],'Fed Fund New'!$A:$C,3,FALSE)</f>
        <v/>
      </c>
    </row>
    <row r="583">
      <c r="A583" s="61" t="n">
        <v>34759</v>
      </c>
      <c r="B583" s="68">
        <f>VLOOKUP(Table2[[#This Row],[Date]],Database!A:E,2,)</f>
        <v/>
      </c>
      <c r="C583" s="14">
        <f>(B583-B582)/B582</f>
        <v/>
      </c>
      <c r="D583" s="14">
        <f>(B583-B571)/B571</f>
        <v/>
      </c>
      <c r="E583" s="15">
        <f>VLOOKUP(Table2[[#This Row],[Date]],'Fed Fund New'!$A:$C,2,FALSE)</f>
        <v/>
      </c>
      <c r="F583" s="15">
        <f>VLOOKUP(Table2[[#This Row],[Date]],'Fed Fund New'!$A:$C,3,FALSE)</f>
        <v/>
      </c>
    </row>
    <row r="584">
      <c r="A584" s="61" t="n">
        <v>34790</v>
      </c>
      <c r="B584" s="68">
        <f>VLOOKUP(Table2[[#This Row],[Date]],Database!A:E,2,)</f>
        <v/>
      </c>
      <c r="C584" s="14">
        <f>(B584-B583)/B583</f>
        <v/>
      </c>
      <c r="D584" s="14">
        <f>(B584-B572)/B572</f>
        <v/>
      </c>
      <c r="E584" s="15">
        <f>VLOOKUP(Table2[[#This Row],[Date]],'Fed Fund New'!$A:$C,2,FALSE)</f>
        <v/>
      </c>
      <c r="F584" s="15">
        <f>VLOOKUP(Table2[[#This Row],[Date]],'Fed Fund New'!$A:$C,3,FALSE)</f>
        <v/>
      </c>
    </row>
    <row r="585">
      <c r="A585" s="61" t="n">
        <v>34820</v>
      </c>
      <c r="B585" s="68">
        <f>VLOOKUP(Table2[[#This Row],[Date]],Database!A:E,2,)</f>
        <v/>
      </c>
      <c r="C585" s="14">
        <f>(B585-B584)/B584</f>
        <v/>
      </c>
      <c r="D585" s="14">
        <f>(B585-B573)/B573</f>
        <v/>
      </c>
      <c r="E585" s="15">
        <f>VLOOKUP(Table2[[#This Row],[Date]],'Fed Fund New'!$A:$C,2,FALSE)</f>
        <v/>
      </c>
      <c r="F585" s="15">
        <f>VLOOKUP(Table2[[#This Row],[Date]],'Fed Fund New'!$A:$C,3,FALSE)</f>
        <v/>
      </c>
    </row>
    <row r="586">
      <c r="A586" s="61" t="n">
        <v>34851</v>
      </c>
      <c r="B586" s="68">
        <f>VLOOKUP(Table2[[#This Row],[Date]],Database!A:E,2,)</f>
        <v/>
      </c>
      <c r="C586" s="14">
        <f>(B586-B585)/B585</f>
        <v/>
      </c>
      <c r="D586" s="14">
        <f>(B586-B574)/B574</f>
        <v/>
      </c>
      <c r="E586" s="15">
        <f>VLOOKUP(Table2[[#This Row],[Date]],'Fed Fund New'!$A:$C,2,FALSE)</f>
        <v/>
      </c>
      <c r="F586" s="15">
        <f>VLOOKUP(Table2[[#This Row],[Date]],'Fed Fund New'!$A:$C,3,FALSE)</f>
        <v/>
      </c>
    </row>
    <row r="587">
      <c r="A587" s="61" t="n">
        <v>34881</v>
      </c>
      <c r="B587" s="68">
        <f>VLOOKUP(Table2[[#This Row],[Date]],Database!A:E,2,)</f>
        <v/>
      </c>
      <c r="C587" s="14">
        <f>(B587-B586)/B586</f>
        <v/>
      </c>
      <c r="D587" s="14">
        <f>(B587-B575)/B575</f>
        <v/>
      </c>
      <c r="E587" s="15">
        <f>VLOOKUP(Table2[[#This Row],[Date]],'Fed Fund New'!$A:$C,2,FALSE)</f>
        <v/>
      </c>
      <c r="F587" s="15">
        <f>VLOOKUP(Table2[[#This Row],[Date]],'Fed Fund New'!$A:$C,3,FALSE)</f>
        <v/>
      </c>
    </row>
    <row r="588">
      <c r="A588" s="61" t="n">
        <v>34912</v>
      </c>
      <c r="B588" s="68">
        <f>VLOOKUP(Table2[[#This Row],[Date]],Database!A:E,2,)</f>
        <v/>
      </c>
      <c r="C588" s="14">
        <f>(B588-B587)/B587</f>
        <v/>
      </c>
      <c r="D588" s="14">
        <f>(B588-B576)/B576</f>
        <v/>
      </c>
      <c r="E588" s="15">
        <f>VLOOKUP(Table2[[#This Row],[Date]],'Fed Fund New'!$A:$C,2,FALSE)</f>
        <v/>
      </c>
      <c r="F588" s="15">
        <f>VLOOKUP(Table2[[#This Row],[Date]],'Fed Fund New'!$A:$C,3,FALSE)</f>
        <v/>
      </c>
    </row>
    <row r="589">
      <c r="A589" s="61" t="n">
        <v>34943</v>
      </c>
      <c r="B589" s="68">
        <f>VLOOKUP(Table2[[#This Row],[Date]],Database!A:E,2,)</f>
        <v/>
      </c>
      <c r="C589" s="14">
        <f>(B589-B588)/B588</f>
        <v/>
      </c>
      <c r="D589" s="14">
        <f>(B589-B577)/B577</f>
        <v/>
      </c>
      <c r="E589" s="15">
        <f>VLOOKUP(Table2[[#This Row],[Date]],'Fed Fund New'!$A:$C,2,FALSE)</f>
        <v/>
      </c>
      <c r="F589" s="15">
        <f>VLOOKUP(Table2[[#This Row],[Date]],'Fed Fund New'!$A:$C,3,FALSE)</f>
        <v/>
      </c>
    </row>
    <row r="590">
      <c r="A590" s="61" t="n">
        <v>34973</v>
      </c>
      <c r="B590" s="68">
        <f>VLOOKUP(Table2[[#This Row],[Date]],Database!A:E,2,)</f>
        <v/>
      </c>
      <c r="C590" s="14">
        <f>(B590-B589)/B589</f>
        <v/>
      </c>
      <c r="D590" s="14">
        <f>(B590-B578)/B578</f>
        <v/>
      </c>
      <c r="E590" s="15">
        <f>VLOOKUP(Table2[[#This Row],[Date]],'Fed Fund New'!$A:$C,2,FALSE)</f>
        <v/>
      </c>
      <c r="F590" s="15">
        <f>VLOOKUP(Table2[[#This Row],[Date]],'Fed Fund New'!$A:$C,3,FALSE)</f>
        <v/>
      </c>
    </row>
    <row r="591">
      <c r="A591" s="61" t="n">
        <v>35004</v>
      </c>
      <c r="B591" s="68">
        <f>VLOOKUP(Table2[[#This Row],[Date]],Database!A:E,2,)</f>
        <v/>
      </c>
      <c r="C591" s="14">
        <f>(B591-B590)/B590</f>
        <v/>
      </c>
      <c r="D591" s="14">
        <f>(B591-B579)/B579</f>
        <v/>
      </c>
      <c r="E591" s="15">
        <f>VLOOKUP(Table2[[#This Row],[Date]],'Fed Fund New'!$A:$C,2,FALSE)</f>
        <v/>
      </c>
      <c r="F591" s="15">
        <f>VLOOKUP(Table2[[#This Row],[Date]],'Fed Fund New'!$A:$C,3,FALSE)</f>
        <v/>
      </c>
    </row>
    <row r="592">
      <c r="A592" s="61" t="n">
        <v>35034</v>
      </c>
      <c r="B592" s="68">
        <f>VLOOKUP(Table2[[#This Row],[Date]],Database!A:E,2,)</f>
        <v/>
      </c>
      <c r="C592" s="14">
        <f>(B592-B591)/B591</f>
        <v/>
      </c>
      <c r="D592" s="14">
        <f>(B592-B580)/B580</f>
        <v/>
      </c>
      <c r="E592" s="15">
        <f>VLOOKUP(Table2[[#This Row],[Date]],'Fed Fund New'!$A:$C,2,FALSE)</f>
        <v/>
      </c>
      <c r="F592" s="15">
        <f>VLOOKUP(Table2[[#This Row],[Date]],'Fed Fund New'!$A:$C,3,FALSE)</f>
        <v/>
      </c>
    </row>
    <row r="593">
      <c r="A593" s="61" t="n">
        <v>35065</v>
      </c>
      <c r="B593" s="68">
        <f>VLOOKUP(Table2[[#This Row],[Date]],Database!A:E,2,)</f>
        <v/>
      </c>
      <c r="C593" s="14">
        <f>(B593-B592)/B592</f>
        <v/>
      </c>
      <c r="D593" s="14">
        <f>(B593-B581)/B581</f>
        <v/>
      </c>
      <c r="E593" s="15">
        <f>VLOOKUP(Table2[[#This Row],[Date]],'Fed Fund New'!$A:$C,2,FALSE)</f>
        <v/>
      </c>
      <c r="F593" s="15">
        <f>VLOOKUP(Table2[[#This Row],[Date]],'Fed Fund New'!$A:$C,3,FALSE)</f>
        <v/>
      </c>
    </row>
    <row r="594">
      <c r="A594" s="61" t="n">
        <v>35096</v>
      </c>
      <c r="B594" s="68">
        <f>VLOOKUP(Table2[[#This Row],[Date]],Database!A:E,2,)</f>
        <v/>
      </c>
      <c r="C594" s="14">
        <f>(B594-B593)/B593</f>
        <v/>
      </c>
      <c r="D594" s="14">
        <f>(B594-B582)/B582</f>
        <v/>
      </c>
      <c r="E594" s="15">
        <f>VLOOKUP(Table2[[#This Row],[Date]],'Fed Fund New'!$A:$C,2,FALSE)</f>
        <v/>
      </c>
      <c r="F594" s="15">
        <f>VLOOKUP(Table2[[#This Row],[Date]],'Fed Fund New'!$A:$C,3,FALSE)</f>
        <v/>
      </c>
    </row>
    <row r="595">
      <c r="A595" s="61" t="n">
        <v>35125</v>
      </c>
      <c r="B595" s="68">
        <f>VLOOKUP(Table2[[#This Row],[Date]],Database!A:E,2,)</f>
        <v/>
      </c>
      <c r="C595" s="14">
        <f>(B595-B594)/B594</f>
        <v/>
      </c>
      <c r="D595" s="14">
        <f>(B595-B583)/B583</f>
        <v/>
      </c>
      <c r="E595" s="15">
        <f>VLOOKUP(Table2[[#This Row],[Date]],'Fed Fund New'!$A:$C,2,FALSE)</f>
        <v/>
      </c>
      <c r="F595" s="15">
        <f>VLOOKUP(Table2[[#This Row],[Date]],'Fed Fund New'!$A:$C,3,FALSE)</f>
        <v/>
      </c>
    </row>
    <row r="596">
      <c r="A596" s="61" t="n">
        <v>35156</v>
      </c>
      <c r="B596" s="68">
        <f>VLOOKUP(Table2[[#This Row],[Date]],Database!A:E,2,)</f>
        <v/>
      </c>
      <c r="C596" s="14">
        <f>(B596-B595)/B595</f>
        <v/>
      </c>
      <c r="D596" s="14">
        <f>(B596-B584)/B584</f>
        <v/>
      </c>
      <c r="E596" s="15">
        <f>VLOOKUP(Table2[[#This Row],[Date]],'Fed Fund New'!$A:$C,2,FALSE)</f>
        <v/>
      </c>
      <c r="F596" s="15">
        <f>VLOOKUP(Table2[[#This Row],[Date]],'Fed Fund New'!$A:$C,3,FALSE)</f>
        <v/>
      </c>
    </row>
    <row r="597">
      <c r="A597" s="61" t="n">
        <v>35186</v>
      </c>
      <c r="B597" s="68">
        <f>VLOOKUP(Table2[[#This Row],[Date]],Database!A:E,2,)</f>
        <v/>
      </c>
      <c r="C597" s="14">
        <f>(B597-B596)/B596</f>
        <v/>
      </c>
      <c r="D597" s="14">
        <f>(B597-B585)/B585</f>
        <v/>
      </c>
      <c r="E597" s="15">
        <f>VLOOKUP(Table2[[#This Row],[Date]],'Fed Fund New'!$A:$C,2,FALSE)</f>
        <v/>
      </c>
      <c r="F597" s="15">
        <f>VLOOKUP(Table2[[#This Row],[Date]],'Fed Fund New'!$A:$C,3,FALSE)</f>
        <v/>
      </c>
    </row>
    <row r="598">
      <c r="A598" s="61" t="n">
        <v>35217</v>
      </c>
      <c r="B598" s="68">
        <f>VLOOKUP(Table2[[#This Row],[Date]],Database!A:E,2,)</f>
        <v/>
      </c>
      <c r="C598" s="14">
        <f>(B598-B597)/B597</f>
        <v/>
      </c>
      <c r="D598" s="14">
        <f>(B598-B586)/B586</f>
        <v/>
      </c>
      <c r="E598" s="15">
        <f>VLOOKUP(Table2[[#This Row],[Date]],'Fed Fund New'!$A:$C,2,FALSE)</f>
        <v/>
      </c>
      <c r="F598" s="15">
        <f>VLOOKUP(Table2[[#This Row],[Date]],'Fed Fund New'!$A:$C,3,FALSE)</f>
        <v/>
      </c>
    </row>
    <row r="599">
      <c r="A599" s="61" t="n">
        <v>35247</v>
      </c>
      <c r="B599" s="68">
        <f>VLOOKUP(Table2[[#This Row],[Date]],Database!A:E,2,)</f>
        <v/>
      </c>
      <c r="C599" s="14">
        <f>(B599-B598)/B598</f>
        <v/>
      </c>
      <c r="D599" s="14">
        <f>(B599-B587)/B587</f>
        <v/>
      </c>
      <c r="E599" s="15">
        <f>VLOOKUP(Table2[[#This Row],[Date]],'Fed Fund New'!$A:$C,2,FALSE)</f>
        <v/>
      </c>
      <c r="F599" s="15">
        <f>VLOOKUP(Table2[[#This Row],[Date]],'Fed Fund New'!$A:$C,3,FALSE)</f>
        <v/>
      </c>
    </row>
    <row r="600">
      <c r="A600" s="61" t="n">
        <v>35278</v>
      </c>
      <c r="B600" s="68">
        <f>VLOOKUP(Table2[[#This Row],[Date]],Database!A:E,2,)</f>
        <v/>
      </c>
      <c r="C600" s="14">
        <f>(B600-B599)/B599</f>
        <v/>
      </c>
      <c r="D600" s="14">
        <f>(B600-B588)/B588</f>
        <v/>
      </c>
      <c r="E600" s="15">
        <f>VLOOKUP(Table2[[#This Row],[Date]],'Fed Fund New'!$A:$C,2,FALSE)</f>
        <v/>
      </c>
      <c r="F600" s="15">
        <f>VLOOKUP(Table2[[#This Row],[Date]],'Fed Fund New'!$A:$C,3,FALSE)</f>
        <v/>
      </c>
    </row>
    <row r="601">
      <c r="A601" s="61" t="n">
        <v>35309</v>
      </c>
      <c r="B601" s="68">
        <f>VLOOKUP(Table2[[#This Row],[Date]],Database!A:E,2,)</f>
        <v/>
      </c>
      <c r="C601" s="14">
        <f>(B601-B600)/B600</f>
        <v/>
      </c>
      <c r="D601" s="14">
        <f>(B601-B589)/B589</f>
        <v/>
      </c>
      <c r="E601" s="15">
        <f>VLOOKUP(Table2[[#This Row],[Date]],'Fed Fund New'!$A:$C,2,FALSE)</f>
        <v/>
      </c>
      <c r="F601" s="15">
        <f>VLOOKUP(Table2[[#This Row],[Date]],'Fed Fund New'!$A:$C,3,FALSE)</f>
        <v/>
      </c>
    </row>
    <row r="602">
      <c r="A602" s="61" t="n">
        <v>35339</v>
      </c>
      <c r="B602" s="68">
        <f>VLOOKUP(Table2[[#This Row],[Date]],Database!A:E,2,)</f>
        <v/>
      </c>
      <c r="C602" s="14">
        <f>(B602-B601)/B601</f>
        <v/>
      </c>
      <c r="D602" s="14">
        <f>(B602-B590)/B590</f>
        <v/>
      </c>
      <c r="E602" s="15">
        <f>VLOOKUP(Table2[[#This Row],[Date]],'Fed Fund New'!$A:$C,2,FALSE)</f>
        <v/>
      </c>
      <c r="F602" s="15">
        <f>VLOOKUP(Table2[[#This Row],[Date]],'Fed Fund New'!$A:$C,3,FALSE)</f>
        <v/>
      </c>
    </row>
    <row r="603">
      <c r="A603" s="61" t="n">
        <v>35370</v>
      </c>
      <c r="B603" s="68">
        <f>VLOOKUP(Table2[[#This Row],[Date]],Database!A:E,2,)</f>
        <v/>
      </c>
      <c r="C603" s="14">
        <f>(B603-B602)/B602</f>
        <v/>
      </c>
      <c r="D603" s="14">
        <f>(B603-B591)/B591</f>
        <v/>
      </c>
      <c r="E603" s="15">
        <f>VLOOKUP(Table2[[#This Row],[Date]],'Fed Fund New'!$A:$C,2,FALSE)</f>
        <v/>
      </c>
      <c r="F603" s="15">
        <f>VLOOKUP(Table2[[#This Row],[Date]],'Fed Fund New'!$A:$C,3,FALSE)</f>
        <v/>
      </c>
    </row>
    <row r="604">
      <c r="A604" s="61" t="n">
        <v>35400</v>
      </c>
      <c r="B604" s="68">
        <f>VLOOKUP(Table2[[#This Row],[Date]],Database!A:E,2,)</f>
        <v/>
      </c>
      <c r="C604" s="14">
        <f>(B604-B603)/B603</f>
        <v/>
      </c>
      <c r="D604" s="14">
        <f>(B604-B592)/B592</f>
        <v/>
      </c>
      <c r="E604" s="15">
        <f>VLOOKUP(Table2[[#This Row],[Date]],'Fed Fund New'!$A:$C,2,FALSE)</f>
        <v/>
      </c>
      <c r="F604" s="15">
        <f>VLOOKUP(Table2[[#This Row],[Date]],'Fed Fund New'!$A:$C,3,FALSE)</f>
        <v/>
      </c>
    </row>
    <row r="605">
      <c r="A605" s="61" t="n">
        <v>35431</v>
      </c>
      <c r="B605" s="68">
        <f>VLOOKUP(Table2[[#This Row],[Date]],Database!A:E,2,)</f>
        <v/>
      </c>
      <c r="C605" s="14">
        <f>(B605-B604)/B604</f>
        <v/>
      </c>
      <c r="D605" s="14">
        <f>(B605-B593)/B593</f>
        <v/>
      </c>
      <c r="E605" s="15">
        <f>VLOOKUP(Table2[[#This Row],[Date]],'Fed Fund New'!$A:$C,2,FALSE)</f>
        <v/>
      </c>
      <c r="F605" s="15">
        <f>VLOOKUP(Table2[[#This Row],[Date]],'Fed Fund New'!$A:$C,3,FALSE)</f>
        <v/>
      </c>
    </row>
    <row r="606">
      <c r="A606" s="61" t="n">
        <v>35462</v>
      </c>
      <c r="B606" s="68">
        <f>VLOOKUP(Table2[[#This Row],[Date]],Database!A:E,2,)</f>
        <v/>
      </c>
      <c r="C606" s="14">
        <f>(B606-B605)/B605</f>
        <v/>
      </c>
      <c r="D606" s="14">
        <f>(B606-B594)/B594</f>
        <v/>
      </c>
      <c r="E606" s="15">
        <f>VLOOKUP(Table2[[#This Row],[Date]],'Fed Fund New'!$A:$C,2,FALSE)</f>
        <v/>
      </c>
      <c r="F606" s="15">
        <f>VLOOKUP(Table2[[#This Row],[Date]],'Fed Fund New'!$A:$C,3,FALSE)</f>
        <v/>
      </c>
    </row>
    <row r="607">
      <c r="A607" s="61" t="n">
        <v>35490</v>
      </c>
      <c r="B607" s="68">
        <f>VLOOKUP(Table2[[#This Row],[Date]],Database!A:E,2,)</f>
        <v/>
      </c>
      <c r="C607" s="14">
        <f>(B607-B606)/B606</f>
        <v/>
      </c>
      <c r="D607" s="14">
        <f>(B607-B595)/B595</f>
        <v/>
      </c>
      <c r="E607" s="15">
        <f>VLOOKUP(Table2[[#This Row],[Date]],'Fed Fund New'!$A:$C,2,FALSE)</f>
        <v/>
      </c>
      <c r="F607" s="15">
        <f>VLOOKUP(Table2[[#This Row],[Date]],'Fed Fund New'!$A:$C,3,FALSE)</f>
        <v/>
      </c>
    </row>
    <row r="608">
      <c r="A608" s="61" t="n">
        <v>35521</v>
      </c>
      <c r="B608" s="68">
        <f>VLOOKUP(Table2[[#This Row],[Date]],Database!A:E,2,)</f>
        <v/>
      </c>
      <c r="C608" s="14">
        <f>(B608-B607)/B607</f>
        <v/>
      </c>
      <c r="D608" s="14">
        <f>(B608-B596)/B596</f>
        <v/>
      </c>
      <c r="E608" s="15">
        <f>VLOOKUP(Table2[[#This Row],[Date]],'Fed Fund New'!$A:$C,2,FALSE)</f>
        <v/>
      </c>
      <c r="F608" s="15">
        <f>VLOOKUP(Table2[[#This Row],[Date]],'Fed Fund New'!$A:$C,3,FALSE)</f>
        <v/>
      </c>
    </row>
    <row r="609">
      <c r="A609" s="61" t="n">
        <v>35551</v>
      </c>
      <c r="B609" s="68">
        <f>VLOOKUP(Table2[[#This Row],[Date]],Database!A:E,2,)</f>
        <v/>
      </c>
      <c r="C609" s="14">
        <f>(B609-B608)/B608</f>
        <v/>
      </c>
      <c r="D609" s="14">
        <f>(B609-B597)/B597</f>
        <v/>
      </c>
      <c r="E609" s="15">
        <f>VLOOKUP(Table2[[#This Row],[Date]],'Fed Fund New'!$A:$C,2,FALSE)</f>
        <v/>
      </c>
      <c r="F609" s="15">
        <f>VLOOKUP(Table2[[#This Row],[Date]],'Fed Fund New'!$A:$C,3,FALSE)</f>
        <v/>
      </c>
    </row>
    <row r="610">
      <c r="A610" s="61" t="n">
        <v>35582</v>
      </c>
      <c r="B610" s="68">
        <f>VLOOKUP(Table2[[#This Row],[Date]],Database!A:E,2,)</f>
        <v/>
      </c>
      <c r="C610" s="14">
        <f>(B610-B609)/B609</f>
        <v/>
      </c>
      <c r="D610" s="14">
        <f>(B610-B598)/B598</f>
        <v/>
      </c>
      <c r="E610" s="15">
        <f>VLOOKUP(Table2[[#This Row],[Date]],'Fed Fund New'!$A:$C,2,FALSE)</f>
        <v/>
      </c>
      <c r="F610" s="15">
        <f>VLOOKUP(Table2[[#This Row],[Date]],'Fed Fund New'!$A:$C,3,FALSE)</f>
        <v/>
      </c>
    </row>
    <row r="611">
      <c r="A611" s="61" t="n">
        <v>35612</v>
      </c>
      <c r="B611" s="68">
        <f>VLOOKUP(Table2[[#This Row],[Date]],Database!A:E,2,)</f>
        <v/>
      </c>
      <c r="C611" s="14">
        <f>(B611-B610)/B610</f>
        <v/>
      </c>
      <c r="D611" s="14">
        <f>(B611-B599)/B599</f>
        <v/>
      </c>
      <c r="E611" s="15">
        <f>VLOOKUP(Table2[[#This Row],[Date]],'Fed Fund New'!$A:$C,2,FALSE)</f>
        <v/>
      </c>
      <c r="F611" s="15">
        <f>VLOOKUP(Table2[[#This Row],[Date]],'Fed Fund New'!$A:$C,3,FALSE)</f>
        <v/>
      </c>
    </row>
    <row r="612">
      <c r="A612" s="61" t="n">
        <v>35643</v>
      </c>
      <c r="B612" s="68">
        <f>VLOOKUP(Table2[[#This Row],[Date]],Database!A:E,2,)</f>
        <v/>
      </c>
      <c r="C612" s="14">
        <f>(B612-B611)/B611</f>
        <v/>
      </c>
      <c r="D612" s="14">
        <f>(B612-B600)/B600</f>
        <v/>
      </c>
      <c r="E612" s="15">
        <f>VLOOKUP(Table2[[#This Row],[Date]],'Fed Fund New'!$A:$C,2,FALSE)</f>
        <v/>
      </c>
      <c r="F612" s="15">
        <f>VLOOKUP(Table2[[#This Row],[Date]],'Fed Fund New'!$A:$C,3,FALSE)</f>
        <v/>
      </c>
    </row>
    <row r="613">
      <c r="A613" s="61" t="n">
        <v>35674</v>
      </c>
      <c r="B613" s="68">
        <f>VLOOKUP(Table2[[#This Row],[Date]],Database!A:E,2,)</f>
        <v/>
      </c>
      <c r="C613" s="14">
        <f>(B613-B612)/B612</f>
        <v/>
      </c>
      <c r="D613" s="14">
        <f>(B613-B601)/B601</f>
        <v/>
      </c>
      <c r="E613" s="15">
        <f>VLOOKUP(Table2[[#This Row],[Date]],'Fed Fund New'!$A:$C,2,FALSE)</f>
        <v/>
      </c>
      <c r="F613" s="15">
        <f>VLOOKUP(Table2[[#This Row],[Date]],'Fed Fund New'!$A:$C,3,FALSE)</f>
        <v/>
      </c>
    </row>
    <row r="614">
      <c r="A614" s="61" t="n">
        <v>35704</v>
      </c>
      <c r="B614" s="68">
        <f>VLOOKUP(Table2[[#This Row],[Date]],Database!A:E,2,)</f>
        <v/>
      </c>
      <c r="C614" s="14">
        <f>(B614-B613)/B613</f>
        <v/>
      </c>
      <c r="D614" s="14">
        <f>(B614-B602)/B602</f>
        <v/>
      </c>
      <c r="E614" s="15">
        <f>VLOOKUP(Table2[[#This Row],[Date]],'Fed Fund New'!$A:$C,2,FALSE)</f>
        <v/>
      </c>
      <c r="F614" s="15">
        <f>VLOOKUP(Table2[[#This Row],[Date]],'Fed Fund New'!$A:$C,3,FALSE)</f>
        <v/>
      </c>
    </row>
    <row r="615">
      <c r="A615" s="61" t="n">
        <v>35735</v>
      </c>
      <c r="B615" s="68">
        <f>VLOOKUP(Table2[[#This Row],[Date]],Database!A:E,2,)</f>
        <v/>
      </c>
      <c r="C615" s="14">
        <f>(B615-B614)/B614</f>
        <v/>
      </c>
      <c r="D615" s="14">
        <f>(B615-B603)/B603</f>
        <v/>
      </c>
      <c r="E615" s="15">
        <f>VLOOKUP(Table2[[#This Row],[Date]],'Fed Fund New'!$A:$C,2,FALSE)</f>
        <v/>
      </c>
      <c r="F615" s="15">
        <f>VLOOKUP(Table2[[#This Row],[Date]],'Fed Fund New'!$A:$C,3,FALSE)</f>
        <v/>
      </c>
    </row>
    <row r="616">
      <c r="A616" s="61" t="n">
        <v>35765</v>
      </c>
      <c r="B616" s="68">
        <f>VLOOKUP(Table2[[#This Row],[Date]],Database!A:E,2,)</f>
        <v/>
      </c>
      <c r="C616" s="14">
        <f>(B616-B615)/B615</f>
        <v/>
      </c>
      <c r="D616" s="14">
        <f>(B616-B604)/B604</f>
        <v/>
      </c>
      <c r="E616" s="15">
        <f>VLOOKUP(Table2[[#This Row],[Date]],'Fed Fund New'!$A:$C,2,FALSE)</f>
        <v/>
      </c>
      <c r="F616" s="15">
        <f>VLOOKUP(Table2[[#This Row],[Date]],'Fed Fund New'!$A:$C,3,FALSE)</f>
        <v/>
      </c>
    </row>
    <row r="617">
      <c r="A617" s="61" t="n">
        <v>35796</v>
      </c>
      <c r="B617" s="68">
        <f>VLOOKUP(Table2[[#This Row],[Date]],Database!A:E,2,)</f>
        <v/>
      </c>
      <c r="C617" s="14">
        <f>(B617-B616)/B616</f>
        <v/>
      </c>
      <c r="D617" s="14">
        <f>(B617-B605)/B605</f>
        <v/>
      </c>
      <c r="E617" s="15">
        <f>VLOOKUP(Table2[[#This Row],[Date]],'Fed Fund New'!$A:$C,2,FALSE)</f>
        <v/>
      </c>
      <c r="F617" s="15">
        <f>VLOOKUP(Table2[[#This Row],[Date]],'Fed Fund New'!$A:$C,3,FALSE)</f>
        <v/>
      </c>
    </row>
    <row r="618">
      <c r="A618" s="61" t="n">
        <v>35827</v>
      </c>
      <c r="B618" s="68">
        <f>VLOOKUP(Table2[[#This Row],[Date]],Database!A:E,2,)</f>
        <v/>
      </c>
      <c r="C618" s="14">
        <f>(B618-B617)/B617</f>
        <v/>
      </c>
      <c r="D618" s="14">
        <f>(B618-B606)/B606</f>
        <v/>
      </c>
      <c r="E618" s="15">
        <f>VLOOKUP(Table2[[#This Row],[Date]],'Fed Fund New'!$A:$C,2,FALSE)</f>
        <v/>
      </c>
      <c r="F618" s="15">
        <f>VLOOKUP(Table2[[#This Row],[Date]],'Fed Fund New'!$A:$C,3,FALSE)</f>
        <v/>
      </c>
    </row>
    <row r="619">
      <c r="A619" s="61" t="n">
        <v>35855</v>
      </c>
      <c r="B619" s="68">
        <f>VLOOKUP(Table2[[#This Row],[Date]],Database!A:E,2,)</f>
        <v/>
      </c>
      <c r="C619" s="14">
        <f>(B619-B618)/B618</f>
        <v/>
      </c>
      <c r="D619" s="14">
        <f>(B619-B607)/B607</f>
        <v/>
      </c>
      <c r="E619" s="15">
        <f>VLOOKUP(Table2[[#This Row],[Date]],'Fed Fund New'!$A:$C,2,FALSE)</f>
        <v/>
      </c>
      <c r="F619" s="15">
        <f>VLOOKUP(Table2[[#This Row],[Date]],'Fed Fund New'!$A:$C,3,FALSE)</f>
        <v/>
      </c>
    </row>
    <row r="620">
      <c r="A620" s="61" t="n">
        <v>35886</v>
      </c>
      <c r="B620" s="68">
        <f>VLOOKUP(Table2[[#This Row],[Date]],Database!A:E,2,)</f>
        <v/>
      </c>
      <c r="C620" s="14">
        <f>(B620-B619)/B619</f>
        <v/>
      </c>
      <c r="D620" s="14">
        <f>(B620-B608)/B608</f>
        <v/>
      </c>
      <c r="E620" s="15">
        <f>VLOOKUP(Table2[[#This Row],[Date]],'Fed Fund New'!$A:$C,2,FALSE)</f>
        <v/>
      </c>
      <c r="F620" s="15">
        <f>VLOOKUP(Table2[[#This Row],[Date]],'Fed Fund New'!$A:$C,3,FALSE)</f>
        <v/>
      </c>
    </row>
    <row r="621">
      <c r="A621" s="61" t="n">
        <v>35916</v>
      </c>
      <c r="B621" s="68">
        <f>VLOOKUP(Table2[[#This Row],[Date]],Database!A:E,2,)</f>
        <v/>
      </c>
      <c r="C621" s="14">
        <f>(B621-B620)/B620</f>
        <v/>
      </c>
      <c r="D621" s="14">
        <f>(B621-B609)/B609</f>
        <v/>
      </c>
      <c r="E621" s="15">
        <f>VLOOKUP(Table2[[#This Row],[Date]],'Fed Fund New'!$A:$C,2,FALSE)</f>
        <v/>
      </c>
      <c r="F621" s="15">
        <f>VLOOKUP(Table2[[#This Row],[Date]],'Fed Fund New'!$A:$C,3,FALSE)</f>
        <v/>
      </c>
    </row>
    <row r="622">
      <c r="A622" s="61" t="n">
        <v>35947</v>
      </c>
      <c r="B622" s="68">
        <f>VLOOKUP(Table2[[#This Row],[Date]],Database!A:E,2,)</f>
        <v/>
      </c>
      <c r="C622" s="14">
        <f>(B622-B621)/B621</f>
        <v/>
      </c>
      <c r="D622" s="14">
        <f>(B622-B610)/B610</f>
        <v/>
      </c>
      <c r="E622" s="15">
        <f>VLOOKUP(Table2[[#This Row],[Date]],'Fed Fund New'!$A:$C,2,FALSE)</f>
        <v/>
      </c>
      <c r="F622" s="15">
        <f>VLOOKUP(Table2[[#This Row],[Date]],'Fed Fund New'!$A:$C,3,FALSE)</f>
        <v/>
      </c>
    </row>
    <row r="623">
      <c r="A623" s="61" t="n">
        <v>35977</v>
      </c>
      <c r="B623" s="68">
        <f>VLOOKUP(Table2[[#This Row],[Date]],Database!A:E,2,)</f>
        <v/>
      </c>
      <c r="C623" s="14">
        <f>(B623-B622)/B622</f>
        <v/>
      </c>
      <c r="D623" s="14">
        <f>(B623-B611)/B611</f>
        <v/>
      </c>
      <c r="E623" s="15">
        <f>VLOOKUP(Table2[[#This Row],[Date]],'Fed Fund New'!$A:$C,2,FALSE)</f>
        <v/>
      </c>
      <c r="F623" s="15">
        <f>VLOOKUP(Table2[[#This Row],[Date]],'Fed Fund New'!$A:$C,3,FALSE)</f>
        <v/>
      </c>
    </row>
    <row r="624">
      <c r="A624" s="61" t="n">
        <v>36008</v>
      </c>
      <c r="B624" s="68">
        <f>VLOOKUP(Table2[[#This Row],[Date]],Database!A:E,2,)</f>
        <v/>
      </c>
      <c r="C624" s="14">
        <f>(B624-B623)/B623</f>
        <v/>
      </c>
      <c r="D624" s="14">
        <f>(B624-B612)/B612</f>
        <v/>
      </c>
      <c r="E624" s="15">
        <f>VLOOKUP(Table2[[#This Row],[Date]],'Fed Fund New'!$A:$C,2,FALSE)</f>
        <v/>
      </c>
      <c r="F624" s="15">
        <f>VLOOKUP(Table2[[#This Row],[Date]],'Fed Fund New'!$A:$C,3,FALSE)</f>
        <v/>
      </c>
    </row>
    <row r="625">
      <c r="A625" s="61" t="n">
        <v>36039</v>
      </c>
      <c r="B625" s="68">
        <f>VLOOKUP(Table2[[#This Row],[Date]],Database!A:E,2,)</f>
        <v/>
      </c>
      <c r="C625" s="14">
        <f>(B625-B624)/B624</f>
        <v/>
      </c>
      <c r="D625" s="14">
        <f>(B625-B613)/B613</f>
        <v/>
      </c>
      <c r="E625" s="15">
        <f>VLOOKUP(Table2[[#This Row],[Date]],'Fed Fund New'!$A:$C,2,FALSE)</f>
        <v/>
      </c>
      <c r="F625" s="15">
        <f>VLOOKUP(Table2[[#This Row],[Date]],'Fed Fund New'!$A:$C,3,FALSE)</f>
        <v/>
      </c>
    </row>
    <row r="626">
      <c r="A626" s="61" t="n">
        <v>36069</v>
      </c>
      <c r="B626" s="68">
        <f>VLOOKUP(Table2[[#This Row],[Date]],Database!A:E,2,)</f>
        <v/>
      </c>
      <c r="C626" s="14">
        <f>(B626-B625)/B625</f>
        <v/>
      </c>
      <c r="D626" s="14">
        <f>(B626-B614)/B614</f>
        <v/>
      </c>
      <c r="E626" s="15">
        <f>VLOOKUP(Table2[[#This Row],[Date]],'Fed Fund New'!$A:$C,2,FALSE)</f>
        <v/>
      </c>
      <c r="F626" s="15">
        <f>VLOOKUP(Table2[[#This Row],[Date]],'Fed Fund New'!$A:$C,3,FALSE)</f>
        <v/>
      </c>
    </row>
    <row r="627">
      <c r="A627" s="61" t="n">
        <v>36100</v>
      </c>
      <c r="B627" s="68">
        <f>VLOOKUP(Table2[[#This Row],[Date]],Database!A:E,2,)</f>
        <v/>
      </c>
      <c r="C627" s="14">
        <f>(B627-B626)/B626</f>
        <v/>
      </c>
      <c r="D627" s="14">
        <f>(B627-B615)/B615</f>
        <v/>
      </c>
      <c r="E627" s="15">
        <f>VLOOKUP(Table2[[#This Row],[Date]],'Fed Fund New'!$A:$C,2,FALSE)</f>
        <v/>
      </c>
      <c r="F627" s="15">
        <f>VLOOKUP(Table2[[#This Row],[Date]],'Fed Fund New'!$A:$C,3,FALSE)</f>
        <v/>
      </c>
    </row>
    <row r="628">
      <c r="A628" s="61" t="n">
        <v>36130</v>
      </c>
      <c r="B628" s="68">
        <f>VLOOKUP(Table2[[#This Row],[Date]],Database!A:E,2,)</f>
        <v/>
      </c>
      <c r="C628" s="14">
        <f>(B628-B627)/B627</f>
        <v/>
      </c>
      <c r="D628" s="14">
        <f>(B628-B616)/B616</f>
        <v/>
      </c>
      <c r="E628" s="15">
        <f>VLOOKUP(Table2[[#This Row],[Date]],'Fed Fund New'!$A:$C,2,FALSE)</f>
        <v/>
      </c>
      <c r="F628" s="15">
        <f>VLOOKUP(Table2[[#This Row],[Date]],'Fed Fund New'!$A:$C,3,FALSE)</f>
        <v/>
      </c>
    </row>
    <row r="629">
      <c r="A629" s="61" t="n">
        <v>36161</v>
      </c>
      <c r="B629" s="68">
        <f>VLOOKUP(Table2[[#This Row],[Date]],Database!A:E,2,)</f>
        <v/>
      </c>
      <c r="C629" s="14">
        <f>(B629-B628)/B628</f>
        <v/>
      </c>
      <c r="D629" s="14">
        <f>(B629-B617)/B617</f>
        <v/>
      </c>
      <c r="E629" s="15">
        <f>VLOOKUP(Table2[[#This Row],[Date]],'Fed Fund New'!$A:$C,2,FALSE)</f>
        <v/>
      </c>
      <c r="F629" s="15">
        <f>VLOOKUP(Table2[[#This Row],[Date]],'Fed Fund New'!$A:$C,3,FALSE)</f>
        <v/>
      </c>
    </row>
    <row r="630">
      <c r="A630" s="61" t="n">
        <v>36192</v>
      </c>
      <c r="B630" s="68">
        <f>VLOOKUP(Table2[[#This Row],[Date]],Database!A:E,2,)</f>
        <v/>
      </c>
      <c r="C630" s="14">
        <f>(B630-B629)/B629</f>
        <v/>
      </c>
      <c r="D630" s="14">
        <f>(B630-B618)/B618</f>
        <v/>
      </c>
      <c r="E630" s="15">
        <f>VLOOKUP(Table2[[#This Row],[Date]],'Fed Fund New'!$A:$C,2,FALSE)</f>
        <v/>
      </c>
      <c r="F630" s="15">
        <f>VLOOKUP(Table2[[#This Row],[Date]],'Fed Fund New'!$A:$C,3,FALSE)</f>
        <v/>
      </c>
    </row>
    <row r="631">
      <c r="A631" s="61" t="n">
        <v>36220</v>
      </c>
      <c r="B631" s="68">
        <f>VLOOKUP(Table2[[#This Row],[Date]],Database!A:E,2,)</f>
        <v/>
      </c>
      <c r="C631" s="14">
        <f>(B631-B630)/B630</f>
        <v/>
      </c>
      <c r="D631" s="14">
        <f>(B631-B619)/B619</f>
        <v/>
      </c>
      <c r="E631" s="15">
        <f>VLOOKUP(Table2[[#This Row],[Date]],'Fed Fund New'!$A:$C,2,FALSE)</f>
        <v/>
      </c>
      <c r="F631" s="15">
        <f>VLOOKUP(Table2[[#This Row],[Date]],'Fed Fund New'!$A:$C,3,FALSE)</f>
        <v/>
      </c>
    </row>
    <row r="632">
      <c r="A632" s="61" t="n">
        <v>36251</v>
      </c>
      <c r="B632" s="68">
        <f>VLOOKUP(Table2[[#This Row],[Date]],Database!A:E,2,)</f>
        <v/>
      </c>
      <c r="C632" s="14">
        <f>(B632-B631)/B631</f>
        <v/>
      </c>
      <c r="D632" s="14">
        <f>(B632-B620)/B620</f>
        <v/>
      </c>
      <c r="E632" s="15">
        <f>VLOOKUP(Table2[[#This Row],[Date]],'Fed Fund New'!$A:$C,2,FALSE)</f>
        <v/>
      </c>
      <c r="F632" s="15">
        <f>VLOOKUP(Table2[[#This Row],[Date]],'Fed Fund New'!$A:$C,3,FALSE)</f>
        <v/>
      </c>
    </row>
    <row r="633">
      <c r="A633" s="61" t="n">
        <v>36281</v>
      </c>
      <c r="B633" s="68">
        <f>VLOOKUP(Table2[[#This Row],[Date]],Database!A:E,2,)</f>
        <v/>
      </c>
      <c r="C633" s="14">
        <f>(B633-B632)/B632</f>
        <v/>
      </c>
      <c r="D633" s="14">
        <f>(B633-B621)/B621</f>
        <v/>
      </c>
      <c r="E633" s="15">
        <f>VLOOKUP(Table2[[#This Row],[Date]],'Fed Fund New'!$A:$C,2,FALSE)</f>
        <v/>
      </c>
      <c r="F633" s="15">
        <f>VLOOKUP(Table2[[#This Row],[Date]],'Fed Fund New'!$A:$C,3,FALSE)</f>
        <v/>
      </c>
    </row>
    <row r="634">
      <c r="A634" s="61" t="n">
        <v>36312</v>
      </c>
      <c r="B634" s="68">
        <f>VLOOKUP(Table2[[#This Row],[Date]],Database!A:E,2,)</f>
        <v/>
      </c>
      <c r="C634" s="14">
        <f>(B634-B633)/B633</f>
        <v/>
      </c>
      <c r="D634" s="14">
        <f>(B634-B622)/B622</f>
        <v/>
      </c>
      <c r="E634" s="15">
        <f>VLOOKUP(Table2[[#This Row],[Date]],'Fed Fund New'!$A:$C,2,FALSE)</f>
        <v/>
      </c>
      <c r="F634" s="15">
        <f>VLOOKUP(Table2[[#This Row],[Date]],'Fed Fund New'!$A:$C,3,FALSE)</f>
        <v/>
      </c>
    </row>
    <row r="635">
      <c r="A635" s="61" t="n">
        <v>36342</v>
      </c>
      <c r="B635" s="68">
        <f>VLOOKUP(Table2[[#This Row],[Date]],Database!A:E,2,)</f>
        <v/>
      </c>
      <c r="C635" s="14">
        <f>(B635-B634)/B634</f>
        <v/>
      </c>
      <c r="D635" s="14">
        <f>(B635-B623)/B623</f>
        <v/>
      </c>
      <c r="E635" s="15">
        <f>VLOOKUP(Table2[[#This Row],[Date]],'Fed Fund New'!$A:$C,2,FALSE)</f>
        <v/>
      </c>
      <c r="F635" s="15">
        <f>VLOOKUP(Table2[[#This Row],[Date]],'Fed Fund New'!$A:$C,3,FALSE)</f>
        <v/>
      </c>
    </row>
    <row r="636">
      <c r="A636" s="61" t="n">
        <v>36373</v>
      </c>
      <c r="B636" s="68">
        <f>VLOOKUP(Table2[[#This Row],[Date]],Database!A:E,2,)</f>
        <v/>
      </c>
      <c r="C636" s="14">
        <f>(B636-B635)/B635</f>
        <v/>
      </c>
      <c r="D636" s="14">
        <f>(B636-B624)/B624</f>
        <v/>
      </c>
      <c r="E636" s="15">
        <f>VLOOKUP(Table2[[#This Row],[Date]],'Fed Fund New'!$A:$C,2,FALSE)</f>
        <v/>
      </c>
      <c r="F636" s="15">
        <f>VLOOKUP(Table2[[#This Row],[Date]],'Fed Fund New'!$A:$C,3,FALSE)</f>
        <v/>
      </c>
    </row>
    <row r="637">
      <c r="A637" s="61" t="n">
        <v>36404</v>
      </c>
      <c r="B637" s="68">
        <f>VLOOKUP(Table2[[#This Row],[Date]],Database!A:E,2,)</f>
        <v/>
      </c>
      <c r="C637" s="14">
        <f>(B637-B636)/B636</f>
        <v/>
      </c>
      <c r="D637" s="14">
        <f>(B637-B625)/B625</f>
        <v/>
      </c>
      <c r="E637" s="15">
        <f>VLOOKUP(Table2[[#This Row],[Date]],'Fed Fund New'!$A:$C,2,FALSE)</f>
        <v/>
      </c>
      <c r="F637" s="15">
        <f>VLOOKUP(Table2[[#This Row],[Date]],'Fed Fund New'!$A:$C,3,FALSE)</f>
        <v/>
      </c>
    </row>
    <row r="638">
      <c r="A638" s="61" t="n">
        <v>36434</v>
      </c>
      <c r="B638" s="68">
        <f>VLOOKUP(Table2[[#This Row],[Date]],Database!A:E,2,)</f>
        <v/>
      </c>
      <c r="C638" s="14">
        <f>(B638-B637)/B637</f>
        <v/>
      </c>
      <c r="D638" s="14">
        <f>(B638-B626)/B626</f>
        <v/>
      </c>
      <c r="E638" s="15">
        <f>VLOOKUP(Table2[[#This Row],[Date]],'Fed Fund New'!$A:$C,2,FALSE)</f>
        <v/>
      </c>
      <c r="F638" s="15">
        <f>VLOOKUP(Table2[[#This Row],[Date]],'Fed Fund New'!$A:$C,3,FALSE)</f>
        <v/>
      </c>
    </row>
    <row r="639">
      <c r="A639" s="61" t="n">
        <v>36465</v>
      </c>
      <c r="B639" s="68">
        <f>VLOOKUP(Table2[[#This Row],[Date]],Database!A:E,2,)</f>
        <v/>
      </c>
      <c r="C639" s="14">
        <f>(B639-B638)/B638</f>
        <v/>
      </c>
      <c r="D639" s="14">
        <f>(B639-B627)/B627</f>
        <v/>
      </c>
      <c r="E639" s="15">
        <f>VLOOKUP(Table2[[#This Row],[Date]],'Fed Fund New'!$A:$C,2,FALSE)</f>
        <v/>
      </c>
      <c r="F639" s="15">
        <f>VLOOKUP(Table2[[#This Row],[Date]],'Fed Fund New'!$A:$C,3,FALSE)</f>
        <v/>
      </c>
    </row>
    <row r="640">
      <c r="A640" s="61" t="n">
        <v>36495</v>
      </c>
      <c r="B640" s="68">
        <f>VLOOKUP(Table2[[#This Row],[Date]],Database!A:E,2,)</f>
        <v/>
      </c>
      <c r="C640" s="14">
        <f>(B640-B639)/B639</f>
        <v/>
      </c>
      <c r="D640" s="14">
        <f>(B640-B628)/B628</f>
        <v/>
      </c>
      <c r="E640" s="15">
        <f>VLOOKUP(Table2[[#This Row],[Date]],'Fed Fund New'!$A:$C,2,FALSE)</f>
        <v/>
      </c>
      <c r="F640" s="15">
        <f>VLOOKUP(Table2[[#This Row],[Date]],'Fed Fund New'!$A:$C,3,FALSE)</f>
        <v/>
      </c>
    </row>
    <row r="641">
      <c r="A641" s="61" t="n">
        <v>36526</v>
      </c>
      <c r="B641" s="68">
        <f>VLOOKUP(Table2[[#This Row],[Date]],Database!A:E,2,)</f>
        <v/>
      </c>
      <c r="C641" s="14">
        <f>(B641-B640)/B640</f>
        <v/>
      </c>
      <c r="D641" s="14">
        <f>(B641-B629)/B629</f>
        <v/>
      </c>
      <c r="E641" s="15">
        <f>VLOOKUP(Table2[[#This Row],[Date]],'Fed Fund New'!$A:$C,2,FALSE)</f>
        <v/>
      </c>
      <c r="F641" s="15">
        <f>VLOOKUP(Table2[[#This Row],[Date]],'Fed Fund New'!$A:$C,3,FALSE)</f>
        <v/>
      </c>
    </row>
    <row r="642">
      <c r="A642" s="61" t="n">
        <v>36557</v>
      </c>
      <c r="B642" s="68">
        <f>VLOOKUP(Table2[[#This Row],[Date]],Database!A:E,2,)</f>
        <v/>
      </c>
      <c r="C642" s="14">
        <f>(B642-B641)/B641</f>
        <v/>
      </c>
      <c r="D642" s="14">
        <f>(B642-B630)/B630</f>
        <v/>
      </c>
      <c r="E642" s="15">
        <f>VLOOKUP(Table2[[#This Row],[Date]],'Fed Fund New'!$A:$C,2,FALSE)</f>
        <v/>
      </c>
      <c r="F642" s="15">
        <f>VLOOKUP(Table2[[#This Row],[Date]],'Fed Fund New'!$A:$C,3,FALSE)</f>
        <v/>
      </c>
    </row>
    <row r="643">
      <c r="A643" s="61" t="n">
        <v>36586</v>
      </c>
      <c r="B643" s="68">
        <f>VLOOKUP(Table2[[#This Row],[Date]],Database!A:E,2,)</f>
        <v/>
      </c>
      <c r="C643" s="14">
        <f>(B643-B642)/B642</f>
        <v/>
      </c>
      <c r="D643" s="14">
        <f>(B643-B631)/B631</f>
        <v/>
      </c>
      <c r="E643" s="15">
        <f>VLOOKUP(Table2[[#This Row],[Date]],'Fed Fund New'!$A:$C,2,FALSE)</f>
        <v/>
      </c>
      <c r="F643" s="15">
        <f>VLOOKUP(Table2[[#This Row],[Date]],'Fed Fund New'!$A:$C,3,FALSE)</f>
        <v/>
      </c>
    </row>
    <row r="644">
      <c r="A644" s="61" t="n">
        <v>36617</v>
      </c>
      <c r="B644" s="68">
        <f>VLOOKUP(Table2[[#This Row],[Date]],Database!A:E,2,)</f>
        <v/>
      </c>
      <c r="C644" s="14">
        <f>(B644-B643)/B643</f>
        <v/>
      </c>
      <c r="D644" s="14">
        <f>(B644-B632)/B632</f>
        <v/>
      </c>
      <c r="E644" s="15">
        <f>VLOOKUP(Table2[[#This Row],[Date]],'Fed Fund New'!$A:$C,2,FALSE)</f>
        <v/>
      </c>
      <c r="F644" s="15">
        <f>VLOOKUP(Table2[[#This Row],[Date]],'Fed Fund New'!$A:$C,3,FALSE)</f>
        <v/>
      </c>
    </row>
    <row r="645">
      <c r="A645" s="61" t="n">
        <v>36647</v>
      </c>
      <c r="B645" s="68">
        <f>VLOOKUP(Table2[[#This Row],[Date]],Database!A:E,2,)</f>
        <v/>
      </c>
      <c r="C645" s="14">
        <f>(B645-B644)/B644</f>
        <v/>
      </c>
      <c r="D645" s="14">
        <f>(B645-B633)/B633</f>
        <v/>
      </c>
      <c r="E645" s="15">
        <f>VLOOKUP(Table2[[#This Row],[Date]],'Fed Fund New'!$A:$C,2,FALSE)</f>
        <v/>
      </c>
      <c r="F645" s="15">
        <f>VLOOKUP(Table2[[#This Row],[Date]],'Fed Fund New'!$A:$C,3,FALSE)</f>
        <v/>
      </c>
    </row>
    <row r="646">
      <c r="A646" s="61" t="n">
        <v>36678</v>
      </c>
      <c r="B646" s="68">
        <f>VLOOKUP(Table2[[#This Row],[Date]],Database!A:E,2,)</f>
        <v/>
      </c>
      <c r="C646" s="14">
        <f>(B646-B645)/B645</f>
        <v/>
      </c>
      <c r="D646" s="14">
        <f>(B646-B634)/B634</f>
        <v/>
      </c>
      <c r="E646" s="15">
        <f>VLOOKUP(Table2[[#This Row],[Date]],'Fed Fund New'!$A:$C,2,FALSE)</f>
        <v/>
      </c>
      <c r="F646" s="15">
        <f>VLOOKUP(Table2[[#This Row],[Date]],'Fed Fund New'!$A:$C,3,FALSE)</f>
        <v/>
      </c>
    </row>
    <row r="647">
      <c r="A647" s="61" t="n">
        <v>36708</v>
      </c>
      <c r="B647" s="68">
        <f>VLOOKUP(Table2[[#This Row],[Date]],Database!A:E,2,)</f>
        <v/>
      </c>
      <c r="C647" s="14">
        <f>(B647-B646)/B646</f>
        <v/>
      </c>
      <c r="D647" s="14">
        <f>(B647-B635)/B635</f>
        <v/>
      </c>
      <c r="E647" s="15">
        <f>VLOOKUP(Table2[[#This Row],[Date]],'Fed Fund New'!$A:$C,2,FALSE)</f>
        <v/>
      </c>
      <c r="F647" s="15">
        <f>VLOOKUP(Table2[[#This Row],[Date]],'Fed Fund New'!$A:$C,3,FALSE)</f>
        <v/>
      </c>
    </row>
    <row r="648">
      <c r="A648" s="61" t="n">
        <v>36739</v>
      </c>
      <c r="B648" s="68">
        <f>VLOOKUP(Table2[[#This Row],[Date]],Database!A:E,2,)</f>
        <v/>
      </c>
      <c r="C648" s="14">
        <f>(B648-B647)/B647</f>
        <v/>
      </c>
      <c r="D648" s="14">
        <f>(B648-B636)/B636</f>
        <v/>
      </c>
      <c r="E648" s="15">
        <f>VLOOKUP(Table2[[#This Row],[Date]],'Fed Fund New'!$A:$C,2,FALSE)</f>
        <v/>
      </c>
      <c r="F648" s="15">
        <f>VLOOKUP(Table2[[#This Row],[Date]],'Fed Fund New'!$A:$C,3,FALSE)</f>
        <v/>
      </c>
    </row>
    <row r="649">
      <c r="A649" s="61" t="n">
        <v>36770</v>
      </c>
      <c r="B649" s="68">
        <f>VLOOKUP(Table2[[#This Row],[Date]],Database!A:E,2,)</f>
        <v/>
      </c>
      <c r="C649" s="14">
        <f>(B649-B648)/B648</f>
        <v/>
      </c>
      <c r="D649" s="14">
        <f>(B649-B637)/B637</f>
        <v/>
      </c>
      <c r="E649" s="15">
        <f>VLOOKUP(Table2[[#This Row],[Date]],'Fed Fund New'!$A:$C,2,FALSE)</f>
        <v/>
      </c>
      <c r="F649" s="15">
        <f>VLOOKUP(Table2[[#This Row],[Date]],'Fed Fund New'!$A:$C,3,FALSE)</f>
        <v/>
      </c>
    </row>
    <row r="650">
      <c r="A650" s="61" t="n">
        <v>36800</v>
      </c>
      <c r="B650" s="68">
        <f>VLOOKUP(Table2[[#This Row],[Date]],Database!A:E,2,)</f>
        <v/>
      </c>
      <c r="C650" s="14">
        <f>(B650-B649)/B649</f>
        <v/>
      </c>
      <c r="D650" s="14">
        <f>(B650-B638)/B638</f>
        <v/>
      </c>
      <c r="E650" s="15">
        <f>VLOOKUP(Table2[[#This Row],[Date]],'Fed Fund New'!$A:$C,2,FALSE)</f>
        <v/>
      </c>
      <c r="F650" s="15">
        <f>VLOOKUP(Table2[[#This Row],[Date]],'Fed Fund New'!$A:$C,3,FALSE)</f>
        <v/>
      </c>
    </row>
    <row r="651">
      <c r="A651" s="61" t="n">
        <v>36831</v>
      </c>
      <c r="B651" s="68">
        <f>VLOOKUP(Table2[[#This Row],[Date]],Database!A:E,2,)</f>
        <v/>
      </c>
      <c r="C651" s="14">
        <f>(B651-B650)/B650</f>
        <v/>
      </c>
      <c r="D651" s="14">
        <f>(B651-B639)/B639</f>
        <v/>
      </c>
      <c r="E651" s="15">
        <f>VLOOKUP(Table2[[#This Row],[Date]],'Fed Fund New'!$A:$C,2,FALSE)</f>
        <v/>
      </c>
      <c r="F651" s="15">
        <f>VLOOKUP(Table2[[#This Row],[Date]],'Fed Fund New'!$A:$C,3,FALSE)</f>
        <v/>
      </c>
    </row>
    <row r="652">
      <c r="A652" s="61" t="n">
        <v>36861</v>
      </c>
      <c r="B652" s="68">
        <f>VLOOKUP(Table2[[#This Row],[Date]],Database!A:E,2,)</f>
        <v/>
      </c>
      <c r="C652" s="14">
        <f>(B652-B651)/B651</f>
        <v/>
      </c>
      <c r="D652" s="14">
        <f>(B652-B640)/B640</f>
        <v/>
      </c>
      <c r="E652" s="15">
        <f>VLOOKUP(Table2[[#This Row],[Date]],'Fed Fund New'!$A:$C,2,FALSE)</f>
        <v/>
      </c>
      <c r="F652" s="15">
        <f>VLOOKUP(Table2[[#This Row],[Date]],'Fed Fund New'!$A:$C,3,FALSE)</f>
        <v/>
      </c>
    </row>
    <row r="653">
      <c r="A653" s="61" t="n">
        <v>36892</v>
      </c>
      <c r="B653" s="68">
        <f>VLOOKUP(Table2[[#This Row],[Date]],Database!A:E,2,)</f>
        <v/>
      </c>
      <c r="C653" s="14">
        <f>(B653-B652)/B652</f>
        <v/>
      </c>
      <c r="D653" s="14">
        <f>(B653-B641)/B641</f>
        <v/>
      </c>
      <c r="E653" s="15">
        <f>VLOOKUP(Table2[[#This Row],[Date]],'Fed Fund New'!$A:$C,2,FALSE)</f>
        <v/>
      </c>
      <c r="F653" s="15">
        <f>VLOOKUP(Table2[[#This Row],[Date]],'Fed Fund New'!$A:$C,3,FALSE)</f>
        <v/>
      </c>
    </row>
    <row r="654">
      <c r="A654" s="61" t="n">
        <v>36923</v>
      </c>
      <c r="B654" s="68">
        <f>VLOOKUP(Table2[[#This Row],[Date]],Database!A:E,2,)</f>
        <v/>
      </c>
      <c r="C654" s="14">
        <f>(B654-B653)/B653</f>
        <v/>
      </c>
      <c r="D654" s="14">
        <f>(B654-B642)/B642</f>
        <v/>
      </c>
      <c r="E654" s="15">
        <f>VLOOKUP(Table2[[#This Row],[Date]],'Fed Fund New'!$A:$C,2,FALSE)</f>
        <v/>
      </c>
      <c r="F654" s="15">
        <f>VLOOKUP(Table2[[#This Row],[Date]],'Fed Fund New'!$A:$C,3,FALSE)</f>
        <v/>
      </c>
    </row>
    <row r="655">
      <c r="A655" s="61" t="n">
        <v>36951</v>
      </c>
      <c r="B655" s="68">
        <f>VLOOKUP(Table2[[#This Row],[Date]],Database!A:E,2,)</f>
        <v/>
      </c>
      <c r="C655" s="14">
        <f>(B655-B654)/B654</f>
        <v/>
      </c>
      <c r="D655" s="14">
        <f>(B655-B643)/B643</f>
        <v/>
      </c>
      <c r="E655" s="15">
        <f>VLOOKUP(Table2[[#This Row],[Date]],'Fed Fund New'!$A:$C,2,FALSE)</f>
        <v/>
      </c>
      <c r="F655" s="15">
        <f>VLOOKUP(Table2[[#This Row],[Date]],'Fed Fund New'!$A:$C,3,FALSE)</f>
        <v/>
      </c>
    </row>
    <row r="656">
      <c r="A656" s="61" t="n">
        <v>36982</v>
      </c>
      <c r="B656" s="68">
        <f>VLOOKUP(Table2[[#This Row],[Date]],Database!A:E,2,)</f>
        <v/>
      </c>
      <c r="C656" s="14">
        <f>(B656-B655)/B655</f>
        <v/>
      </c>
      <c r="D656" s="14">
        <f>(B656-B644)/B644</f>
        <v/>
      </c>
      <c r="E656" s="15">
        <f>VLOOKUP(Table2[[#This Row],[Date]],'Fed Fund New'!$A:$C,2,FALSE)</f>
        <v/>
      </c>
      <c r="F656" s="15">
        <f>VLOOKUP(Table2[[#This Row],[Date]],'Fed Fund New'!$A:$C,3,FALSE)</f>
        <v/>
      </c>
    </row>
    <row r="657">
      <c r="A657" s="61" t="n">
        <v>37012</v>
      </c>
      <c r="B657" s="68">
        <f>VLOOKUP(Table2[[#This Row],[Date]],Database!A:E,2,)</f>
        <v/>
      </c>
      <c r="C657" s="14">
        <f>(B657-B656)/B656</f>
        <v/>
      </c>
      <c r="D657" s="14">
        <f>(B657-B645)/B645</f>
        <v/>
      </c>
      <c r="E657" s="15">
        <f>VLOOKUP(Table2[[#This Row],[Date]],'Fed Fund New'!$A:$C,2,FALSE)</f>
        <v/>
      </c>
      <c r="F657" s="15">
        <f>VLOOKUP(Table2[[#This Row],[Date]],'Fed Fund New'!$A:$C,3,FALSE)</f>
        <v/>
      </c>
    </row>
    <row r="658">
      <c r="A658" s="61" t="n">
        <v>37043</v>
      </c>
      <c r="B658" s="68">
        <f>VLOOKUP(Table2[[#This Row],[Date]],Database!A:E,2,)</f>
        <v/>
      </c>
      <c r="C658" s="14">
        <f>(B658-B657)/B657</f>
        <v/>
      </c>
      <c r="D658" s="14">
        <f>(B658-B646)/B646</f>
        <v/>
      </c>
      <c r="E658" s="15">
        <f>VLOOKUP(Table2[[#This Row],[Date]],'Fed Fund New'!$A:$C,2,FALSE)</f>
        <v/>
      </c>
      <c r="F658" s="15">
        <f>VLOOKUP(Table2[[#This Row],[Date]],'Fed Fund New'!$A:$C,3,FALSE)</f>
        <v/>
      </c>
    </row>
    <row r="659">
      <c r="A659" s="61" t="n">
        <v>37073</v>
      </c>
      <c r="B659" s="68">
        <f>VLOOKUP(Table2[[#This Row],[Date]],Database!A:E,2,)</f>
        <v/>
      </c>
      <c r="C659" s="14">
        <f>(B659-B658)/B658</f>
        <v/>
      </c>
      <c r="D659" s="14">
        <f>(B659-B647)/B647</f>
        <v/>
      </c>
      <c r="E659" s="15">
        <f>VLOOKUP(Table2[[#This Row],[Date]],'Fed Fund New'!$A:$C,2,FALSE)</f>
        <v/>
      </c>
      <c r="F659" s="15">
        <f>VLOOKUP(Table2[[#This Row],[Date]],'Fed Fund New'!$A:$C,3,FALSE)</f>
        <v/>
      </c>
    </row>
    <row r="660">
      <c r="A660" s="61" t="n">
        <v>37104</v>
      </c>
      <c r="B660" s="68">
        <f>VLOOKUP(Table2[[#This Row],[Date]],Database!A:E,2,)</f>
        <v/>
      </c>
      <c r="C660" s="14">
        <f>(B660-B659)/B659</f>
        <v/>
      </c>
      <c r="D660" s="14">
        <f>(B660-B648)/B648</f>
        <v/>
      </c>
      <c r="E660" s="15">
        <f>VLOOKUP(Table2[[#This Row],[Date]],'Fed Fund New'!$A:$C,2,FALSE)</f>
        <v/>
      </c>
      <c r="F660" s="15">
        <f>VLOOKUP(Table2[[#This Row],[Date]],'Fed Fund New'!$A:$C,3,FALSE)</f>
        <v/>
      </c>
    </row>
    <row r="661">
      <c r="A661" s="61" t="n">
        <v>37135</v>
      </c>
      <c r="B661" s="68">
        <f>VLOOKUP(Table2[[#This Row],[Date]],Database!A:E,2,)</f>
        <v/>
      </c>
      <c r="C661" s="14">
        <f>(B661-B660)/B660</f>
        <v/>
      </c>
      <c r="D661" s="14">
        <f>(B661-B649)/B649</f>
        <v/>
      </c>
      <c r="E661" s="15">
        <f>VLOOKUP(Table2[[#This Row],[Date]],'Fed Fund New'!$A:$C,2,FALSE)</f>
        <v/>
      </c>
      <c r="F661" s="15">
        <f>VLOOKUP(Table2[[#This Row],[Date]],'Fed Fund New'!$A:$C,3,FALSE)</f>
        <v/>
      </c>
    </row>
    <row r="662">
      <c r="A662" s="61" t="n">
        <v>37165</v>
      </c>
      <c r="B662" s="68">
        <f>VLOOKUP(Table2[[#This Row],[Date]],Database!A:E,2,)</f>
        <v/>
      </c>
      <c r="C662" s="14">
        <f>(B662-B661)/B661</f>
        <v/>
      </c>
      <c r="D662" s="14">
        <f>(B662-B650)/B650</f>
        <v/>
      </c>
      <c r="E662" s="15">
        <f>VLOOKUP(Table2[[#This Row],[Date]],'Fed Fund New'!$A:$C,2,FALSE)</f>
        <v/>
      </c>
      <c r="F662" s="15">
        <f>VLOOKUP(Table2[[#This Row],[Date]],'Fed Fund New'!$A:$C,3,FALSE)</f>
        <v/>
      </c>
    </row>
    <row r="663">
      <c r="A663" s="61" t="n">
        <v>37196</v>
      </c>
      <c r="B663" s="68">
        <f>VLOOKUP(Table2[[#This Row],[Date]],Database!A:E,2,)</f>
        <v/>
      </c>
      <c r="C663" s="14">
        <f>(B663-B662)/B662</f>
        <v/>
      </c>
      <c r="D663" s="14">
        <f>(B663-B651)/B651</f>
        <v/>
      </c>
      <c r="E663" s="15">
        <f>VLOOKUP(Table2[[#This Row],[Date]],'Fed Fund New'!$A:$C,2,FALSE)</f>
        <v/>
      </c>
      <c r="F663" s="15">
        <f>VLOOKUP(Table2[[#This Row],[Date]],'Fed Fund New'!$A:$C,3,FALSE)</f>
        <v/>
      </c>
    </row>
    <row r="664">
      <c r="A664" s="61" t="n">
        <v>37226</v>
      </c>
      <c r="B664" s="68">
        <f>VLOOKUP(Table2[[#This Row],[Date]],Database!A:E,2,)</f>
        <v/>
      </c>
      <c r="C664" s="14">
        <f>(B664-B663)/B663</f>
        <v/>
      </c>
      <c r="D664" s="14">
        <f>(B664-B652)/B652</f>
        <v/>
      </c>
      <c r="E664" s="15">
        <f>VLOOKUP(Table2[[#This Row],[Date]],'Fed Fund New'!$A:$C,2,FALSE)</f>
        <v/>
      </c>
      <c r="F664" s="15">
        <f>VLOOKUP(Table2[[#This Row],[Date]],'Fed Fund New'!$A:$C,3,FALSE)</f>
        <v/>
      </c>
    </row>
    <row r="665">
      <c r="A665" s="61" t="n">
        <v>37257</v>
      </c>
      <c r="B665" s="68">
        <f>VLOOKUP(Table2[[#This Row],[Date]],Database!A:E,2,)</f>
        <v/>
      </c>
      <c r="C665" s="14">
        <f>(B665-B664)/B664</f>
        <v/>
      </c>
      <c r="D665" s="14">
        <f>(B665-B653)/B653</f>
        <v/>
      </c>
      <c r="E665" s="15">
        <f>VLOOKUP(Table2[[#This Row],[Date]],'Fed Fund New'!$A:$C,2,FALSE)</f>
        <v/>
      </c>
      <c r="F665" s="15">
        <f>VLOOKUP(Table2[[#This Row],[Date]],'Fed Fund New'!$A:$C,3,FALSE)</f>
        <v/>
      </c>
    </row>
    <row r="666">
      <c r="A666" s="61" t="n">
        <v>37288</v>
      </c>
      <c r="B666" s="68">
        <f>VLOOKUP(Table2[[#This Row],[Date]],Database!A:E,2,)</f>
        <v/>
      </c>
      <c r="C666" s="14">
        <f>(B666-B665)/B665</f>
        <v/>
      </c>
      <c r="D666" s="14">
        <f>(B666-B654)/B654</f>
        <v/>
      </c>
      <c r="E666" s="15">
        <f>VLOOKUP(Table2[[#This Row],[Date]],'Fed Fund New'!$A:$C,2,FALSE)</f>
        <v/>
      </c>
      <c r="F666" s="15">
        <f>VLOOKUP(Table2[[#This Row],[Date]],'Fed Fund New'!$A:$C,3,FALSE)</f>
        <v/>
      </c>
    </row>
    <row r="667">
      <c r="A667" s="61" t="n">
        <v>37316</v>
      </c>
      <c r="B667" s="68">
        <f>VLOOKUP(Table2[[#This Row],[Date]],Database!A:E,2,)</f>
        <v/>
      </c>
      <c r="C667" s="14">
        <f>(B667-B666)/B666</f>
        <v/>
      </c>
      <c r="D667" s="14">
        <f>(B667-B655)/B655</f>
        <v/>
      </c>
      <c r="E667" s="15">
        <f>VLOOKUP(Table2[[#This Row],[Date]],'Fed Fund New'!$A:$C,2,FALSE)</f>
        <v/>
      </c>
      <c r="F667" s="15">
        <f>VLOOKUP(Table2[[#This Row],[Date]],'Fed Fund New'!$A:$C,3,FALSE)</f>
        <v/>
      </c>
    </row>
    <row r="668">
      <c r="A668" s="61" t="n">
        <v>37347</v>
      </c>
      <c r="B668" s="68">
        <f>VLOOKUP(Table2[[#This Row],[Date]],Database!A:E,2,)</f>
        <v/>
      </c>
      <c r="C668" s="14">
        <f>(B668-B667)/B667</f>
        <v/>
      </c>
      <c r="D668" s="14">
        <f>(B668-B656)/B656</f>
        <v/>
      </c>
      <c r="E668" s="15">
        <f>VLOOKUP(Table2[[#This Row],[Date]],'Fed Fund New'!$A:$C,2,FALSE)</f>
        <v/>
      </c>
      <c r="F668" s="15">
        <f>VLOOKUP(Table2[[#This Row],[Date]],'Fed Fund New'!$A:$C,3,FALSE)</f>
        <v/>
      </c>
    </row>
    <row r="669">
      <c r="A669" s="61" t="n">
        <v>37377</v>
      </c>
      <c r="B669" s="68">
        <f>VLOOKUP(Table2[[#This Row],[Date]],Database!A:E,2,)</f>
        <v/>
      </c>
      <c r="C669" s="14">
        <f>(B669-B668)/B668</f>
        <v/>
      </c>
      <c r="D669" s="14">
        <f>(B669-B657)/B657</f>
        <v/>
      </c>
      <c r="E669" s="15">
        <f>VLOOKUP(Table2[[#This Row],[Date]],'Fed Fund New'!$A:$C,2,FALSE)</f>
        <v/>
      </c>
      <c r="F669" s="15">
        <f>VLOOKUP(Table2[[#This Row],[Date]],'Fed Fund New'!$A:$C,3,FALSE)</f>
        <v/>
      </c>
    </row>
    <row r="670">
      <c r="A670" s="61" t="n">
        <v>37408</v>
      </c>
      <c r="B670" s="68">
        <f>VLOOKUP(Table2[[#This Row],[Date]],Database!A:E,2,)</f>
        <v/>
      </c>
      <c r="C670" s="14">
        <f>(B670-B669)/B669</f>
        <v/>
      </c>
      <c r="D670" s="14">
        <f>(B670-B658)/B658</f>
        <v/>
      </c>
      <c r="E670" s="15">
        <f>VLOOKUP(Table2[[#This Row],[Date]],'Fed Fund New'!$A:$C,2,FALSE)</f>
        <v/>
      </c>
      <c r="F670" s="15">
        <f>VLOOKUP(Table2[[#This Row],[Date]],'Fed Fund New'!$A:$C,3,FALSE)</f>
        <v/>
      </c>
    </row>
    <row r="671">
      <c r="A671" s="61" t="n">
        <v>37438</v>
      </c>
      <c r="B671" s="68">
        <f>VLOOKUP(Table2[[#This Row],[Date]],Database!A:E,2,)</f>
        <v/>
      </c>
      <c r="C671" s="14">
        <f>(B671-B670)/B670</f>
        <v/>
      </c>
      <c r="D671" s="14">
        <f>(B671-B659)/B659</f>
        <v/>
      </c>
      <c r="E671" s="15">
        <f>VLOOKUP(Table2[[#This Row],[Date]],'Fed Fund New'!$A:$C,2,FALSE)</f>
        <v/>
      </c>
      <c r="F671" s="15">
        <f>VLOOKUP(Table2[[#This Row],[Date]],'Fed Fund New'!$A:$C,3,FALSE)</f>
        <v/>
      </c>
    </row>
    <row r="672">
      <c r="A672" s="61" t="n">
        <v>37469</v>
      </c>
      <c r="B672" s="68">
        <f>VLOOKUP(Table2[[#This Row],[Date]],Database!A:E,2,)</f>
        <v/>
      </c>
      <c r="C672" s="14">
        <f>(B672-B671)/B671</f>
        <v/>
      </c>
      <c r="D672" s="14">
        <f>(B672-B660)/B660</f>
        <v/>
      </c>
      <c r="E672" s="15">
        <f>VLOOKUP(Table2[[#This Row],[Date]],'Fed Fund New'!$A:$C,2,FALSE)</f>
        <v/>
      </c>
      <c r="F672" s="15">
        <f>VLOOKUP(Table2[[#This Row],[Date]],'Fed Fund New'!$A:$C,3,FALSE)</f>
        <v/>
      </c>
    </row>
    <row r="673">
      <c r="A673" s="61" t="n">
        <v>37500</v>
      </c>
      <c r="B673" s="68">
        <f>VLOOKUP(Table2[[#This Row],[Date]],Database!A:E,2,)</f>
        <v/>
      </c>
      <c r="C673" s="14">
        <f>(B673-B672)/B672</f>
        <v/>
      </c>
      <c r="D673" s="14">
        <f>(B673-B661)/B661</f>
        <v/>
      </c>
      <c r="E673" s="15">
        <f>VLOOKUP(Table2[[#This Row],[Date]],'Fed Fund New'!$A:$C,2,FALSE)</f>
        <v/>
      </c>
      <c r="F673" s="15">
        <f>VLOOKUP(Table2[[#This Row],[Date]],'Fed Fund New'!$A:$C,3,FALSE)</f>
        <v/>
      </c>
    </row>
    <row r="674">
      <c r="A674" s="61" t="n">
        <v>37530</v>
      </c>
      <c r="B674" s="68">
        <f>VLOOKUP(Table2[[#This Row],[Date]],Database!A:E,2,)</f>
        <v/>
      </c>
      <c r="C674" s="14">
        <f>(B674-B673)/B673</f>
        <v/>
      </c>
      <c r="D674" s="14">
        <f>(B674-B662)/B662</f>
        <v/>
      </c>
      <c r="E674" s="15">
        <f>VLOOKUP(Table2[[#This Row],[Date]],'Fed Fund New'!$A:$C,2,FALSE)</f>
        <v/>
      </c>
      <c r="F674" s="15">
        <f>VLOOKUP(Table2[[#This Row],[Date]],'Fed Fund New'!$A:$C,3,FALSE)</f>
        <v/>
      </c>
    </row>
    <row r="675">
      <c r="A675" s="61" t="n">
        <v>37561</v>
      </c>
      <c r="B675" s="68">
        <f>VLOOKUP(Table2[[#This Row],[Date]],Database!A:E,2,)</f>
        <v/>
      </c>
      <c r="C675" s="14">
        <f>(B675-B674)/B674</f>
        <v/>
      </c>
      <c r="D675" s="14">
        <f>(B675-B663)/B663</f>
        <v/>
      </c>
      <c r="E675" s="15">
        <f>VLOOKUP(Table2[[#This Row],[Date]],'Fed Fund New'!$A:$C,2,FALSE)</f>
        <v/>
      </c>
      <c r="F675" s="15">
        <f>VLOOKUP(Table2[[#This Row],[Date]],'Fed Fund New'!$A:$C,3,FALSE)</f>
        <v/>
      </c>
    </row>
    <row r="676">
      <c r="A676" s="61" t="n">
        <v>37591</v>
      </c>
      <c r="B676" s="68">
        <f>VLOOKUP(Table2[[#This Row],[Date]],Database!A:E,2,)</f>
        <v/>
      </c>
      <c r="C676" s="14">
        <f>(B676-B675)/B675</f>
        <v/>
      </c>
      <c r="D676" s="14">
        <f>(B676-B664)/B664</f>
        <v/>
      </c>
      <c r="E676" s="15">
        <f>VLOOKUP(Table2[[#This Row],[Date]],'Fed Fund New'!$A:$C,2,FALSE)</f>
        <v/>
      </c>
      <c r="F676" s="15">
        <f>VLOOKUP(Table2[[#This Row],[Date]],'Fed Fund New'!$A:$C,3,FALSE)</f>
        <v/>
      </c>
    </row>
    <row r="677">
      <c r="A677" s="61" t="n">
        <v>37622</v>
      </c>
      <c r="B677" s="68">
        <f>VLOOKUP(Table2[[#This Row],[Date]],Database!A:E,2,)</f>
        <v/>
      </c>
      <c r="C677" s="14">
        <f>(B677-B676)/B676</f>
        <v/>
      </c>
      <c r="D677" s="14">
        <f>(B677-B665)/B665</f>
        <v/>
      </c>
      <c r="E677" s="15">
        <f>VLOOKUP(Table2[[#This Row],[Date]],'Fed Fund New'!$A:$C,2,FALSE)</f>
        <v/>
      </c>
      <c r="F677" s="15">
        <f>VLOOKUP(Table2[[#This Row],[Date]],'Fed Fund New'!$A:$C,3,FALSE)</f>
        <v/>
      </c>
    </row>
    <row r="678">
      <c r="A678" s="61" t="n">
        <v>37653</v>
      </c>
      <c r="B678" s="68">
        <f>VLOOKUP(Table2[[#This Row],[Date]],Database!A:E,2,)</f>
        <v/>
      </c>
      <c r="C678" s="14">
        <f>(B678-B677)/B677</f>
        <v/>
      </c>
      <c r="D678" s="14">
        <f>(B678-B666)/B666</f>
        <v/>
      </c>
      <c r="E678" s="15">
        <f>VLOOKUP(Table2[[#This Row],[Date]],'Fed Fund New'!$A:$C,2,FALSE)</f>
        <v/>
      </c>
      <c r="F678" s="15">
        <f>VLOOKUP(Table2[[#This Row],[Date]],'Fed Fund New'!$A:$C,3,FALSE)</f>
        <v/>
      </c>
    </row>
    <row r="679">
      <c r="A679" s="61" t="n">
        <v>37681</v>
      </c>
      <c r="B679" s="68">
        <f>VLOOKUP(Table2[[#This Row],[Date]],Database!A:E,2,)</f>
        <v/>
      </c>
      <c r="C679" s="14">
        <f>(B679-B678)/B678</f>
        <v/>
      </c>
      <c r="D679" s="14">
        <f>(B679-B667)/B667</f>
        <v/>
      </c>
      <c r="E679" s="15">
        <f>VLOOKUP(Table2[[#This Row],[Date]],'Fed Fund New'!$A:$C,2,FALSE)</f>
        <v/>
      </c>
      <c r="F679" s="15">
        <f>VLOOKUP(Table2[[#This Row],[Date]],'Fed Fund New'!$A:$C,3,FALSE)</f>
        <v/>
      </c>
    </row>
    <row r="680">
      <c r="A680" s="61" t="n">
        <v>37712</v>
      </c>
      <c r="B680" s="68">
        <f>VLOOKUP(Table2[[#This Row],[Date]],Database!A:E,2,)</f>
        <v/>
      </c>
      <c r="C680" s="14">
        <f>(B680-B679)/B679</f>
        <v/>
      </c>
      <c r="D680" s="14">
        <f>(B680-B668)/B668</f>
        <v/>
      </c>
      <c r="E680" s="15">
        <f>VLOOKUP(Table2[[#This Row],[Date]],'Fed Fund New'!$A:$C,2,FALSE)</f>
        <v/>
      </c>
      <c r="F680" s="15">
        <f>VLOOKUP(Table2[[#This Row],[Date]],'Fed Fund New'!$A:$C,3,FALSE)</f>
        <v/>
      </c>
    </row>
    <row r="681">
      <c r="A681" s="61" t="n">
        <v>37742</v>
      </c>
      <c r="B681" s="68">
        <f>VLOOKUP(Table2[[#This Row],[Date]],Database!A:E,2,)</f>
        <v/>
      </c>
      <c r="C681" s="14">
        <f>(B681-B680)/B680</f>
        <v/>
      </c>
      <c r="D681" s="14">
        <f>(B681-B669)/B669</f>
        <v/>
      </c>
      <c r="E681" s="15">
        <f>VLOOKUP(Table2[[#This Row],[Date]],'Fed Fund New'!$A:$C,2,FALSE)</f>
        <v/>
      </c>
      <c r="F681" s="15">
        <f>VLOOKUP(Table2[[#This Row],[Date]],'Fed Fund New'!$A:$C,3,FALSE)</f>
        <v/>
      </c>
    </row>
    <row r="682">
      <c r="A682" s="61" t="n">
        <v>37773</v>
      </c>
      <c r="B682" s="68">
        <f>VLOOKUP(Table2[[#This Row],[Date]],Database!A:E,2,)</f>
        <v/>
      </c>
      <c r="C682" s="14">
        <f>(B682-B681)/B681</f>
        <v/>
      </c>
      <c r="D682" s="14">
        <f>(B682-B670)/B670</f>
        <v/>
      </c>
      <c r="E682" s="15">
        <f>VLOOKUP(Table2[[#This Row],[Date]],'Fed Fund New'!$A:$C,2,FALSE)</f>
        <v/>
      </c>
      <c r="F682" s="15">
        <f>VLOOKUP(Table2[[#This Row],[Date]],'Fed Fund New'!$A:$C,3,FALSE)</f>
        <v/>
      </c>
    </row>
    <row r="683">
      <c r="A683" s="61" t="n">
        <v>37803</v>
      </c>
      <c r="B683" s="68">
        <f>VLOOKUP(Table2[[#This Row],[Date]],Database!A:E,2,)</f>
        <v/>
      </c>
      <c r="C683" s="14">
        <f>(B683-B682)/B682</f>
        <v/>
      </c>
      <c r="D683" s="14">
        <f>(B683-B671)/B671</f>
        <v/>
      </c>
      <c r="E683" s="15">
        <f>VLOOKUP(Table2[[#This Row],[Date]],'Fed Fund New'!$A:$C,2,FALSE)</f>
        <v/>
      </c>
      <c r="F683" s="15">
        <f>VLOOKUP(Table2[[#This Row],[Date]],'Fed Fund New'!$A:$C,3,FALSE)</f>
        <v/>
      </c>
    </row>
    <row r="684">
      <c r="A684" s="61" t="n">
        <v>37834</v>
      </c>
      <c r="B684" s="68">
        <f>VLOOKUP(Table2[[#This Row],[Date]],Database!A:E,2,)</f>
        <v/>
      </c>
      <c r="C684" s="14">
        <f>(B684-B683)/B683</f>
        <v/>
      </c>
      <c r="D684" s="14">
        <f>(B684-B672)/B672</f>
        <v/>
      </c>
      <c r="E684" s="15">
        <f>VLOOKUP(Table2[[#This Row],[Date]],'Fed Fund New'!$A:$C,2,FALSE)</f>
        <v/>
      </c>
      <c r="F684" s="15">
        <f>VLOOKUP(Table2[[#This Row],[Date]],'Fed Fund New'!$A:$C,3,FALSE)</f>
        <v/>
      </c>
    </row>
    <row r="685">
      <c r="A685" s="61" t="n">
        <v>37865</v>
      </c>
      <c r="B685" s="68">
        <f>VLOOKUP(Table2[[#This Row],[Date]],Database!A:E,2,)</f>
        <v/>
      </c>
      <c r="C685" s="14">
        <f>(B685-B684)/B684</f>
        <v/>
      </c>
      <c r="D685" s="14">
        <f>(B685-B673)/B673</f>
        <v/>
      </c>
      <c r="E685" s="15">
        <f>VLOOKUP(Table2[[#This Row],[Date]],'Fed Fund New'!$A:$C,2,FALSE)</f>
        <v/>
      </c>
      <c r="F685" s="15">
        <f>VLOOKUP(Table2[[#This Row],[Date]],'Fed Fund New'!$A:$C,3,FALSE)</f>
        <v/>
      </c>
    </row>
    <row r="686">
      <c r="A686" s="61" t="n">
        <v>37895</v>
      </c>
      <c r="B686" s="68">
        <f>VLOOKUP(Table2[[#This Row],[Date]],Database!A:E,2,)</f>
        <v/>
      </c>
      <c r="C686" s="14">
        <f>(B686-B685)/B685</f>
        <v/>
      </c>
      <c r="D686" s="14">
        <f>(B686-B674)/B674</f>
        <v/>
      </c>
      <c r="E686" s="15">
        <f>VLOOKUP(Table2[[#This Row],[Date]],'Fed Fund New'!$A:$C,2,FALSE)</f>
        <v/>
      </c>
      <c r="F686" s="15">
        <f>VLOOKUP(Table2[[#This Row],[Date]],'Fed Fund New'!$A:$C,3,FALSE)</f>
        <v/>
      </c>
    </row>
    <row r="687">
      <c r="A687" s="61" t="n">
        <v>37926</v>
      </c>
      <c r="B687" s="68">
        <f>VLOOKUP(Table2[[#This Row],[Date]],Database!A:E,2,)</f>
        <v/>
      </c>
      <c r="C687" s="14">
        <f>(B687-B686)/B686</f>
        <v/>
      </c>
      <c r="D687" s="14">
        <f>(B687-B675)/B675</f>
        <v/>
      </c>
      <c r="E687" s="15">
        <f>VLOOKUP(Table2[[#This Row],[Date]],'Fed Fund New'!$A:$C,2,FALSE)</f>
        <v/>
      </c>
      <c r="F687" s="15">
        <f>VLOOKUP(Table2[[#This Row],[Date]],'Fed Fund New'!$A:$C,3,FALSE)</f>
        <v/>
      </c>
    </row>
    <row r="688">
      <c r="A688" s="61" t="n">
        <v>37956</v>
      </c>
      <c r="B688" s="68">
        <f>VLOOKUP(Table2[[#This Row],[Date]],Database!A:E,2,)</f>
        <v/>
      </c>
      <c r="C688" s="14">
        <f>(B688-B687)/B687</f>
        <v/>
      </c>
      <c r="D688" s="14">
        <f>(B688-B676)/B676</f>
        <v/>
      </c>
      <c r="E688" s="15">
        <f>VLOOKUP(Table2[[#This Row],[Date]],'Fed Fund New'!$A:$C,2,FALSE)</f>
        <v/>
      </c>
      <c r="F688" s="15">
        <f>VLOOKUP(Table2[[#This Row],[Date]],'Fed Fund New'!$A:$C,3,FALSE)</f>
        <v/>
      </c>
    </row>
    <row r="689">
      <c r="A689" s="61" t="n">
        <v>37987</v>
      </c>
      <c r="B689" s="68">
        <f>VLOOKUP(Table2[[#This Row],[Date]],Database!A:E,2,)</f>
        <v/>
      </c>
      <c r="C689" s="14">
        <f>(B689-B688)/B688</f>
        <v/>
      </c>
      <c r="D689" s="14">
        <f>(B689-B677)/B677</f>
        <v/>
      </c>
      <c r="E689" s="15">
        <f>VLOOKUP(Table2[[#This Row],[Date]],'Fed Fund New'!$A:$C,2,FALSE)</f>
        <v/>
      </c>
      <c r="F689" s="15">
        <f>VLOOKUP(Table2[[#This Row],[Date]],'Fed Fund New'!$A:$C,3,FALSE)</f>
        <v/>
      </c>
    </row>
    <row r="690">
      <c r="A690" s="61" t="n">
        <v>38018</v>
      </c>
      <c r="B690" s="68">
        <f>VLOOKUP(Table2[[#This Row],[Date]],Database!A:E,2,)</f>
        <v/>
      </c>
      <c r="C690" s="14">
        <f>(B690-B689)/B689</f>
        <v/>
      </c>
      <c r="D690" s="14">
        <f>(B690-B678)/B678</f>
        <v/>
      </c>
      <c r="E690" s="15">
        <f>VLOOKUP(Table2[[#This Row],[Date]],'Fed Fund New'!$A:$C,2,FALSE)</f>
        <v/>
      </c>
      <c r="F690" s="15">
        <f>VLOOKUP(Table2[[#This Row],[Date]],'Fed Fund New'!$A:$C,3,FALSE)</f>
        <v/>
      </c>
    </row>
    <row r="691">
      <c r="A691" s="61" t="n">
        <v>38047</v>
      </c>
      <c r="B691" s="68">
        <f>VLOOKUP(Table2[[#This Row],[Date]],Database!A:E,2,)</f>
        <v/>
      </c>
      <c r="C691" s="14">
        <f>(B691-B690)/B690</f>
        <v/>
      </c>
      <c r="D691" s="14">
        <f>(B691-B679)/B679</f>
        <v/>
      </c>
      <c r="E691" s="15">
        <f>VLOOKUP(Table2[[#This Row],[Date]],'Fed Fund New'!$A:$C,2,FALSE)</f>
        <v/>
      </c>
      <c r="F691" s="15">
        <f>VLOOKUP(Table2[[#This Row],[Date]],'Fed Fund New'!$A:$C,3,FALSE)</f>
        <v/>
      </c>
    </row>
    <row r="692">
      <c r="A692" s="61" t="n">
        <v>38078</v>
      </c>
      <c r="B692" s="68">
        <f>VLOOKUP(Table2[[#This Row],[Date]],Database!A:E,2,)</f>
        <v/>
      </c>
      <c r="C692" s="14">
        <f>(B692-B691)/B691</f>
        <v/>
      </c>
      <c r="D692" s="14">
        <f>(B692-B680)/B680</f>
        <v/>
      </c>
      <c r="E692" s="15">
        <f>VLOOKUP(Table2[[#This Row],[Date]],'Fed Fund New'!$A:$C,2,FALSE)</f>
        <v/>
      </c>
      <c r="F692" s="15">
        <f>VLOOKUP(Table2[[#This Row],[Date]],'Fed Fund New'!$A:$C,3,FALSE)</f>
        <v/>
      </c>
    </row>
    <row r="693">
      <c r="A693" s="61" t="n">
        <v>38108</v>
      </c>
      <c r="B693" s="68">
        <f>VLOOKUP(Table2[[#This Row],[Date]],Database!A:E,2,)</f>
        <v/>
      </c>
      <c r="C693" s="14">
        <f>(B693-B692)/B692</f>
        <v/>
      </c>
      <c r="D693" s="14">
        <f>(B693-B681)/B681</f>
        <v/>
      </c>
      <c r="E693" s="15">
        <f>VLOOKUP(Table2[[#This Row],[Date]],'Fed Fund New'!$A:$C,2,FALSE)</f>
        <v/>
      </c>
      <c r="F693" s="15">
        <f>VLOOKUP(Table2[[#This Row],[Date]],'Fed Fund New'!$A:$C,3,FALSE)</f>
        <v/>
      </c>
    </row>
    <row r="694">
      <c r="A694" s="61" t="n">
        <v>38139</v>
      </c>
      <c r="B694" s="68">
        <f>VLOOKUP(Table2[[#This Row],[Date]],Database!A:E,2,)</f>
        <v/>
      </c>
      <c r="C694" s="14">
        <f>(B694-B693)/B693</f>
        <v/>
      </c>
      <c r="D694" s="14">
        <f>(B694-B682)/B682</f>
        <v/>
      </c>
      <c r="E694" s="15">
        <f>VLOOKUP(Table2[[#This Row],[Date]],'Fed Fund New'!$A:$C,2,FALSE)</f>
        <v/>
      </c>
      <c r="F694" s="15">
        <f>VLOOKUP(Table2[[#This Row],[Date]],'Fed Fund New'!$A:$C,3,FALSE)</f>
        <v/>
      </c>
    </row>
    <row r="695">
      <c r="A695" s="61" t="n">
        <v>38169</v>
      </c>
      <c r="B695" s="68">
        <f>VLOOKUP(Table2[[#This Row],[Date]],Database!A:E,2,)</f>
        <v/>
      </c>
      <c r="C695" s="14">
        <f>(B695-B694)/B694</f>
        <v/>
      </c>
      <c r="D695" s="14">
        <f>(B695-B683)/B683</f>
        <v/>
      </c>
      <c r="E695" s="15">
        <f>VLOOKUP(Table2[[#This Row],[Date]],'Fed Fund New'!$A:$C,2,FALSE)</f>
        <v/>
      </c>
      <c r="F695" s="15">
        <f>VLOOKUP(Table2[[#This Row],[Date]],'Fed Fund New'!$A:$C,3,FALSE)</f>
        <v/>
      </c>
    </row>
    <row r="696">
      <c r="A696" s="61" t="n">
        <v>38200</v>
      </c>
      <c r="B696" s="68">
        <f>VLOOKUP(Table2[[#This Row],[Date]],Database!A:E,2,)</f>
        <v/>
      </c>
      <c r="C696" s="14">
        <f>(B696-B695)/B695</f>
        <v/>
      </c>
      <c r="D696" s="14">
        <f>(B696-B684)/B684</f>
        <v/>
      </c>
      <c r="E696" s="15">
        <f>VLOOKUP(Table2[[#This Row],[Date]],'Fed Fund New'!$A:$C,2,FALSE)</f>
        <v/>
      </c>
      <c r="F696" s="15">
        <f>VLOOKUP(Table2[[#This Row],[Date]],'Fed Fund New'!$A:$C,3,FALSE)</f>
        <v/>
      </c>
    </row>
    <row r="697">
      <c r="A697" s="61" t="n">
        <v>38231</v>
      </c>
      <c r="B697" s="68">
        <f>VLOOKUP(Table2[[#This Row],[Date]],Database!A:E,2,)</f>
        <v/>
      </c>
      <c r="C697" s="14">
        <f>(B697-B696)/B696</f>
        <v/>
      </c>
      <c r="D697" s="14">
        <f>(B697-B685)/B685</f>
        <v/>
      </c>
      <c r="E697" s="15">
        <f>VLOOKUP(Table2[[#This Row],[Date]],'Fed Fund New'!$A:$C,2,FALSE)</f>
        <v/>
      </c>
      <c r="F697" s="15">
        <f>VLOOKUP(Table2[[#This Row],[Date]],'Fed Fund New'!$A:$C,3,FALSE)</f>
        <v/>
      </c>
    </row>
    <row r="698">
      <c r="A698" s="61" t="n">
        <v>38261</v>
      </c>
      <c r="B698" s="68">
        <f>VLOOKUP(Table2[[#This Row],[Date]],Database!A:E,2,)</f>
        <v/>
      </c>
      <c r="C698" s="14">
        <f>(B698-B697)/B697</f>
        <v/>
      </c>
      <c r="D698" s="14">
        <f>(B698-B686)/B686</f>
        <v/>
      </c>
      <c r="E698" s="15">
        <f>VLOOKUP(Table2[[#This Row],[Date]],'Fed Fund New'!$A:$C,2,FALSE)</f>
        <v/>
      </c>
      <c r="F698" s="15">
        <f>VLOOKUP(Table2[[#This Row],[Date]],'Fed Fund New'!$A:$C,3,FALSE)</f>
        <v/>
      </c>
    </row>
    <row r="699">
      <c r="A699" s="61" t="n">
        <v>38292</v>
      </c>
      <c r="B699" s="68">
        <f>VLOOKUP(Table2[[#This Row],[Date]],Database!A:E,2,)</f>
        <v/>
      </c>
      <c r="C699" s="14">
        <f>(B699-B698)/B698</f>
        <v/>
      </c>
      <c r="D699" s="14">
        <f>(B699-B687)/B687</f>
        <v/>
      </c>
      <c r="E699" s="15">
        <f>VLOOKUP(Table2[[#This Row],[Date]],'Fed Fund New'!$A:$C,2,FALSE)</f>
        <v/>
      </c>
      <c r="F699" s="15">
        <f>VLOOKUP(Table2[[#This Row],[Date]],'Fed Fund New'!$A:$C,3,FALSE)</f>
        <v/>
      </c>
    </row>
    <row r="700">
      <c r="A700" s="61" t="n">
        <v>38322</v>
      </c>
      <c r="B700" s="68">
        <f>VLOOKUP(Table2[[#This Row],[Date]],Database!A:E,2,)</f>
        <v/>
      </c>
      <c r="C700" s="14">
        <f>(B700-B699)/B699</f>
        <v/>
      </c>
      <c r="D700" s="14">
        <f>(B700-B688)/B688</f>
        <v/>
      </c>
      <c r="E700" s="15">
        <f>VLOOKUP(Table2[[#This Row],[Date]],'Fed Fund New'!$A:$C,2,FALSE)</f>
        <v/>
      </c>
      <c r="F700" s="15">
        <f>VLOOKUP(Table2[[#This Row],[Date]],'Fed Fund New'!$A:$C,3,FALSE)</f>
        <v/>
      </c>
    </row>
    <row r="701">
      <c r="A701" s="61" t="n">
        <v>38353</v>
      </c>
      <c r="B701" s="68">
        <f>VLOOKUP(Table2[[#This Row],[Date]],Database!A:E,2,)</f>
        <v/>
      </c>
      <c r="C701" s="14">
        <f>(B701-B700)/B700</f>
        <v/>
      </c>
      <c r="D701" s="14">
        <f>(B701-B689)/B689</f>
        <v/>
      </c>
      <c r="E701" s="15">
        <f>VLOOKUP(Table2[[#This Row],[Date]],'Fed Fund New'!$A:$C,2,FALSE)</f>
        <v/>
      </c>
      <c r="F701" s="15">
        <f>VLOOKUP(Table2[[#This Row],[Date]],'Fed Fund New'!$A:$C,3,FALSE)</f>
        <v/>
      </c>
    </row>
    <row r="702">
      <c r="A702" s="61" t="n">
        <v>38384</v>
      </c>
      <c r="B702" s="68">
        <f>VLOOKUP(Table2[[#This Row],[Date]],Database!A:E,2,)</f>
        <v/>
      </c>
      <c r="C702" s="14">
        <f>(B702-B701)/B701</f>
        <v/>
      </c>
      <c r="D702" s="14">
        <f>(B702-B690)/B690</f>
        <v/>
      </c>
      <c r="E702" s="15">
        <f>VLOOKUP(Table2[[#This Row],[Date]],'Fed Fund New'!$A:$C,2,FALSE)</f>
        <v/>
      </c>
      <c r="F702" s="15">
        <f>VLOOKUP(Table2[[#This Row],[Date]],'Fed Fund New'!$A:$C,3,FALSE)</f>
        <v/>
      </c>
    </row>
    <row r="703">
      <c r="A703" s="61" t="n">
        <v>38412</v>
      </c>
      <c r="B703" s="68">
        <f>VLOOKUP(Table2[[#This Row],[Date]],Database!A:E,2,)</f>
        <v/>
      </c>
      <c r="C703" s="14">
        <f>(B703-B702)/B702</f>
        <v/>
      </c>
      <c r="D703" s="14">
        <f>(B703-B691)/B691</f>
        <v/>
      </c>
      <c r="E703" s="15">
        <f>VLOOKUP(Table2[[#This Row],[Date]],'Fed Fund New'!$A:$C,2,FALSE)</f>
        <v/>
      </c>
      <c r="F703" s="15">
        <f>VLOOKUP(Table2[[#This Row],[Date]],'Fed Fund New'!$A:$C,3,FALSE)</f>
        <v/>
      </c>
    </row>
    <row r="704">
      <c r="A704" s="61" t="n">
        <v>38443</v>
      </c>
      <c r="B704" s="68">
        <f>VLOOKUP(Table2[[#This Row],[Date]],Database!A:E,2,)</f>
        <v/>
      </c>
      <c r="C704" s="14">
        <f>(B704-B703)/B703</f>
        <v/>
      </c>
      <c r="D704" s="14">
        <f>(B704-B692)/B692</f>
        <v/>
      </c>
      <c r="E704" s="15">
        <f>VLOOKUP(Table2[[#This Row],[Date]],'Fed Fund New'!$A:$C,2,FALSE)</f>
        <v/>
      </c>
      <c r="F704" s="15">
        <f>VLOOKUP(Table2[[#This Row],[Date]],'Fed Fund New'!$A:$C,3,FALSE)</f>
        <v/>
      </c>
    </row>
    <row r="705">
      <c r="A705" s="61" t="n">
        <v>38473</v>
      </c>
      <c r="B705" s="68">
        <f>VLOOKUP(Table2[[#This Row],[Date]],Database!A:E,2,)</f>
        <v/>
      </c>
      <c r="C705" s="14">
        <f>(B705-B704)/B704</f>
        <v/>
      </c>
      <c r="D705" s="14">
        <f>(B705-B693)/B693</f>
        <v/>
      </c>
      <c r="E705" s="15">
        <f>VLOOKUP(Table2[[#This Row],[Date]],'Fed Fund New'!$A:$C,2,FALSE)</f>
        <v/>
      </c>
      <c r="F705" s="15">
        <f>VLOOKUP(Table2[[#This Row],[Date]],'Fed Fund New'!$A:$C,3,FALSE)</f>
        <v/>
      </c>
    </row>
    <row r="706">
      <c r="A706" s="61" t="n">
        <v>38504</v>
      </c>
      <c r="B706" s="68">
        <f>VLOOKUP(Table2[[#This Row],[Date]],Database!A:E,2,)</f>
        <v/>
      </c>
      <c r="C706" s="14">
        <f>(B706-B705)/B705</f>
        <v/>
      </c>
      <c r="D706" s="14">
        <f>(B706-B694)/B694</f>
        <v/>
      </c>
      <c r="E706" s="15">
        <f>VLOOKUP(Table2[[#This Row],[Date]],'Fed Fund New'!$A:$C,2,FALSE)</f>
        <v/>
      </c>
      <c r="F706" s="15">
        <f>VLOOKUP(Table2[[#This Row],[Date]],'Fed Fund New'!$A:$C,3,FALSE)</f>
        <v/>
      </c>
    </row>
    <row r="707">
      <c r="A707" s="61" t="n">
        <v>38534</v>
      </c>
      <c r="B707" s="68">
        <f>VLOOKUP(Table2[[#This Row],[Date]],Database!A:E,2,)</f>
        <v/>
      </c>
      <c r="C707" s="14">
        <f>(B707-B706)/B706</f>
        <v/>
      </c>
      <c r="D707" s="14">
        <f>(B707-B695)/B695</f>
        <v/>
      </c>
      <c r="E707" s="15">
        <f>VLOOKUP(Table2[[#This Row],[Date]],'Fed Fund New'!$A:$C,2,FALSE)</f>
        <v/>
      </c>
      <c r="F707" s="15">
        <f>VLOOKUP(Table2[[#This Row],[Date]],'Fed Fund New'!$A:$C,3,FALSE)</f>
        <v/>
      </c>
    </row>
    <row r="708">
      <c r="A708" s="61" t="n">
        <v>38565</v>
      </c>
      <c r="B708" s="68">
        <f>VLOOKUP(Table2[[#This Row],[Date]],Database!A:E,2,)</f>
        <v/>
      </c>
      <c r="C708" s="14">
        <f>(B708-B707)/B707</f>
        <v/>
      </c>
      <c r="D708" s="14">
        <f>(B708-B696)/B696</f>
        <v/>
      </c>
      <c r="E708" s="15">
        <f>VLOOKUP(Table2[[#This Row],[Date]],'Fed Fund New'!$A:$C,2,FALSE)</f>
        <v/>
      </c>
      <c r="F708" s="15">
        <f>VLOOKUP(Table2[[#This Row],[Date]],'Fed Fund New'!$A:$C,3,FALSE)</f>
        <v/>
      </c>
    </row>
    <row r="709">
      <c r="A709" s="61" t="n">
        <v>38596</v>
      </c>
      <c r="B709" s="68">
        <f>VLOOKUP(Table2[[#This Row],[Date]],Database!A:E,2,)</f>
        <v/>
      </c>
      <c r="C709" s="14">
        <f>(B709-B708)/B708</f>
        <v/>
      </c>
      <c r="D709" s="14">
        <f>(B709-B697)/B697</f>
        <v/>
      </c>
      <c r="E709" s="15">
        <f>VLOOKUP(Table2[[#This Row],[Date]],'Fed Fund New'!$A:$C,2,FALSE)</f>
        <v/>
      </c>
      <c r="F709" s="15">
        <f>VLOOKUP(Table2[[#This Row],[Date]],'Fed Fund New'!$A:$C,3,FALSE)</f>
        <v/>
      </c>
    </row>
    <row r="710">
      <c r="A710" s="61" t="n">
        <v>38626</v>
      </c>
      <c r="B710" s="68">
        <f>VLOOKUP(Table2[[#This Row],[Date]],Database!A:E,2,)</f>
        <v/>
      </c>
      <c r="C710" s="14">
        <f>(B710-B709)/B709</f>
        <v/>
      </c>
      <c r="D710" s="14">
        <f>(B710-B698)/B698</f>
        <v/>
      </c>
      <c r="E710" s="15">
        <f>VLOOKUP(Table2[[#This Row],[Date]],'Fed Fund New'!$A:$C,2,FALSE)</f>
        <v/>
      </c>
      <c r="F710" s="15">
        <f>VLOOKUP(Table2[[#This Row],[Date]],'Fed Fund New'!$A:$C,3,FALSE)</f>
        <v/>
      </c>
    </row>
    <row r="711">
      <c r="A711" s="61" t="n">
        <v>38657</v>
      </c>
      <c r="B711" s="68">
        <f>VLOOKUP(Table2[[#This Row],[Date]],Database!A:E,2,)</f>
        <v/>
      </c>
      <c r="C711" s="14">
        <f>(B711-B710)/B710</f>
        <v/>
      </c>
      <c r="D711" s="14">
        <f>(B711-B699)/B699</f>
        <v/>
      </c>
      <c r="E711" s="15">
        <f>VLOOKUP(Table2[[#This Row],[Date]],'Fed Fund New'!$A:$C,2,FALSE)</f>
        <v/>
      </c>
      <c r="F711" s="15">
        <f>VLOOKUP(Table2[[#This Row],[Date]],'Fed Fund New'!$A:$C,3,FALSE)</f>
        <v/>
      </c>
    </row>
    <row r="712">
      <c r="A712" s="61" t="n">
        <v>38687</v>
      </c>
      <c r="B712" s="68">
        <f>VLOOKUP(Table2[[#This Row],[Date]],Database!A:E,2,)</f>
        <v/>
      </c>
      <c r="C712" s="14">
        <f>(B712-B711)/B711</f>
        <v/>
      </c>
      <c r="D712" s="14">
        <f>(B712-B700)/B700</f>
        <v/>
      </c>
      <c r="E712" s="15">
        <f>VLOOKUP(Table2[[#This Row],[Date]],'Fed Fund New'!$A:$C,2,FALSE)</f>
        <v/>
      </c>
      <c r="F712" s="15">
        <f>VLOOKUP(Table2[[#This Row],[Date]],'Fed Fund New'!$A:$C,3,FALSE)</f>
        <v/>
      </c>
    </row>
    <row r="713">
      <c r="A713" s="61" t="n">
        <v>38718</v>
      </c>
      <c r="B713" s="68">
        <f>VLOOKUP(Table2[[#This Row],[Date]],Database!A:E,2,)</f>
        <v/>
      </c>
      <c r="C713" s="14">
        <f>(B713-B712)/B712</f>
        <v/>
      </c>
      <c r="D713" s="14">
        <f>(B713-B701)/B701</f>
        <v/>
      </c>
      <c r="E713" s="15">
        <f>VLOOKUP(Table2[[#This Row],[Date]],'Fed Fund New'!$A:$C,2,FALSE)</f>
        <v/>
      </c>
      <c r="F713" s="15">
        <f>VLOOKUP(Table2[[#This Row],[Date]],'Fed Fund New'!$A:$C,3,FALSE)</f>
        <v/>
      </c>
    </row>
    <row r="714">
      <c r="A714" s="61" t="n">
        <v>38749</v>
      </c>
      <c r="B714" s="68">
        <f>VLOOKUP(Table2[[#This Row],[Date]],Database!A:E,2,)</f>
        <v/>
      </c>
      <c r="C714" s="14">
        <f>(B714-B713)/B713</f>
        <v/>
      </c>
      <c r="D714" s="14">
        <f>(B714-B702)/B702</f>
        <v/>
      </c>
      <c r="E714" s="15">
        <f>VLOOKUP(Table2[[#This Row],[Date]],'Fed Fund New'!$A:$C,2,FALSE)</f>
        <v/>
      </c>
      <c r="F714" s="15">
        <f>VLOOKUP(Table2[[#This Row],[Date]],'Fed Fund New'!$A:$C,3,FALSE)</f>
        <v/>
      </c>
    </row>
    <row r="715">
      <c r="A715" s="61" t="n">
        <v>38777</v>
      </c>
      <c r="B715" s="68">
        <f>VLOOKUP(Table2[[#This Row],[Date]],Database!A:E,2,)</f>
        <v/>
      </c>
      <c r="C715" s="14">
        <f>(B715-B714)/B714</f>
        <v/>
      </c>
      <c r="D715" s="14">
        <f>(B715-B703)/B703</f>
        <v/>
      </c>
      <c r="E715" s="15">
        <f>VLOOKUP(Table2[[#This Row],[Date]],'Fed Fund New'!$A:$C,2,FALSE)</f>
        <v/>
      </c>
      <c r="F715" s="15">
        <f>VLOOKUP(Table2[[#This Row],[Date]],'Fed Fund New'!$A:$C,3,FALSE)</f>
        <v/>
      </c>
    </row>
    <row r="716">
      <c r="A716" s="61" t="n">
        <v>38808</v>
      </c>
      <c r="B716" s="68">
        <f>VLOOKUP(Table2[[#This Row],[Date]],Database!A:E,2,)</f>
        <v/>
      </c>
      <c r="C716" s="14">
        <f>(B716-B715)/B715</f>
        <v/>
      </c>
      <c r="D716" s="14">
        <f>(B716-B704)/B704</f>
        <v/>
      </c>
      <c r="E716" s="15">
        <f>VLOOKUP(Table2[[#This Row],[Date]],'Fed Fund New'!$A:$C,2,FALSE)</f>
        <v/>
      </c>
      <c r="F716" s="15">
        <f>VLOOKUP(Table2[[#This Row],[Date]],'Fed Fund New'!$A:$C,3,FALSE)</f>
        <v/>
      </c>
    </row>
    <row r="717">
      <c r="A717" s="61" t="n">
        <v>38838</v>
      </c>
      <c r="B717" s="68">
        <f>VLOOKUP(Table2[[#This Row],[Date]],Database!A:E,2,)</f>
        <v/>
      </c>
      <c r="C717" s="14">
        <f>(B717-B716)/B716</f>
        <v/>
      </c>
      <c r="D717" s="14">
        <f>(B717-B705)/B705</f>
        <v/>
      </c>
      <c r="E717" s="15">
        <f>VLOOKUP(Table2[[#This Row],[Date]],'Fed Fund New'!$A:$C,2,FALSE)</f>
        <v/>
      </c>
      <c r="F717" s="15">
        <f>VLOOKUP(Table2[[#This Row],[Date]],'Fed Fund New'!$A:$C,3,FALSE)</f>
        <v/>
      </c>
    </row>
    <row r="718">
      <c r="A718" s="61" t="n">
        <v>38869</v>
      </c>
      <c r="B718" s="68">
        <f>VLOOKUP(Table2[[#This Row],[Date]],Database!A:E,2,)</f>
        <v/>
      </c>
      <c r="C718" s="14">
        <f>(B718-B717)/B717</f>
        <v/>
      </c>
      <c r="D718" s="14">
        <f>(B718-B706)/B706</f>
        <v/>
      </c>
      <c r="E718" s="15">
        <f>VLOOKUP(Table2[[#This Row],[Date]],'Fed Fund New'!$A:$C,2,FALSE)</f>
        <v/>
      </c>
      <c r="F718" s="15">
        <f>VLOOKUP(Table2[[#This Row],[Date]],'Fed Fund New'!$A:$C,3,FALSE)</f>
        <v/>
      </c>
    </row>
    <row r="719">
      <c r="A719" s="61" t="n">
        <v>38899</v>
      </c>
      <c r="B719" s="68">
        <f>VLOOKUP(Table2[[#This Row],[Date]],Database!A:E,2,)</f>
        <v/>
      </c>
      <c r="C719" s="14">
        <f>(B719-B718)/B718</f>
        <v/>
      </c>
      <c r="D719" s="14">
        <f>(B719-B707)/B707</f>
        <v/>
      </c>
      <c r="E719" s="15">
        <f>VLOOKUP(Table2[[#This Row],[Date]],'Fed Fund New'!$A:$C,2,FALSE)</f>
        <v/>
      </c>
      <c r="F719" s="15">
        <f>VLOOKUP(Table2[[#This Row],[Date]],'Fed Fund New'!$A:$C,3,FALSE)</f>
        <v/>
      </c>
    </row>
    <row r="720">
      <c r="A720" s="61" t="n">
        <v>38930</v>
      </c>
      <c r="B720" s="68">
        <f>VLOOKUP(Table2[[#This Row],[Date]],Database!A:E,2,)</f>
        <v/>
      </c>
      <c r="C720" s="14">
        <f>(B720-B719)/B719</f>
        <v/>
      </c>
      <c r="D720" s="14">
        <f>(B720-B708)/B708</f>
        <v/>
      </c>
      <c r="E720" s="15">
        <f>VLOOKUP(Table2[[#This Row],[Date]],'Fed Fund New'!$A:$C,2,FALSE)</f>
        <v/>
      </c>
      <c r="F720" s="15">
        <f>VLOOKUP(Table2[[#This Row],[Date]],'Fed Fund New'!$A:$C,3,FALSE)</f>
        <v/>
      </c>
    </row>
    <row r="721">
      <c r="A721" s="61" t="n">
        <v>38961</v>
      </c>
      <c r="B721" s="68">
        <f>VLOOKUP(Table2[[#This Row],[Date]],Database!A:E,2,)</f>
        <v/>
      </c>
      <c r="C721" s="14">
        <f>(B721-B720)/B720</f>
        <v/>
      </c>
      <c r="D721" s="14">
        <f>(B721-B709)/B709</f>
        <v/>
      </c>
      <c r="E721" s="15">
        <f>VLOOKUP(Table2[[#This Row],[Date]],'Fed Fund New'!$A:$C,2,FALSE)</f>
        <v/>
      </c>
      <c r="F721" s="15">
        <f>VLOOKUP(Table2[[#This Row],[Date]],'Fed Fund New'!$A:$C,3,FALSE)</f>
        <v/>
      </c>
    </row>
    <row r="722">
      <c r="A722" s="61" t="n">
        <v>38991</v>
      </c>
      <c r="B722" s="68">
        <f>VLOOKUP(Table2[[#This Row],[Date]],Database!A:E,2,)</f>
        <v/>
      </c>
      <c r="C722" s="14">
        <f>(B722-B721)/B721</f>
        <v/>
      </c>
      <c r="D722" s="14">
        <f>(B722-B710)/B710</f>
        <v/>
      </c>
      <c r="E722" s="15">
        <f>VLOOKUP(Table2[[#This Row],[Date]],'Fed Fund New'!$A:$C,2,FALSE)</f>
        <v/>
      </c>
      <c r="F722" s="15">
        <f>VLOOKUP(Table2[[#This Row],[Date]],'Fed Fund New'!$A:$C,3,FALSE)</f>
        <v/>
      </c>
    </row>
    <row r="723">
      <c r="A723" s="61" t="n">
        <v>39022</v>
      </c>
      <c r="B723" s="68">
        <f>VLOOKUP(Table2[[#This Row],[Date]],Database!A:E,2,)</f>
        <v/>
      </c>
      <c r="C723" s="14">
        <f>(B723-B722)/B722</f>
        <v/>
      </c>
      <c r="D723" s="14">
        <f>(B723-B711)/B711</f>
        <v/>
      </c>
      <c r="E723" s="15">
        <f>VLOOKUP(Table2[[#This Row],[Date]],'Fed Fund New'!$A:$C,2,FALSE)</f>
        <v/>
      </c>
      <c r="F723" s="15">
        <f>VLOOKUP(Table2[[#This Row],[Date]],'Fed Fund New'!$A:$C,3,FALSE)</f>
        <v/>
      </c>
    </row>
    <row r="724">
      <c r="A724" s="61" t="n">
        <v>39052</v>
      </c>
      <c r="B724" s="68">
        <f>VLOOKUP(Table2[[#This Row],[Date]],Database!A:E,2,)</f>
        <v/>
      </c>
      <c r="C724" s="14">
        <f>(B724-B723)/B723</f>
        <v/>
      </c>
      <c r="D724" s="14">
        <f>(B724-B712)/B712</f>
        <v/>
      </c>
      <c r="E724" s="15">
        <f>VLOOKUP(Table2[[#This Row],[Date]],'Fed Fund New'!$A:$C,2,FALSE)</f>
        <v/>
      </c>
      <c r="F724" s="15">
        <f>VLOOKUP(Table2[[#This Row],[Date]],'Fed Fund New'!$A:$C,3,FALSE)</f>
        <v/>
      </c>
    </row>
    <row r="725">
      <c r="A725" s="61" t="n">
        <v>39083</v>
      </c>
      <c r="B725" s="68">
        <f>VLOOKUP(Table2[[#This Row],[Date]],Database!A:E,2,)</f>
        <v/>
      </c>
      <c r="C725" s="14">
        <f>(B725-B724)/B724</f>
        <v/>
      </c>
      <c r="D725" s="14">
        <f>(B725-B713)/B713</f>
        <v/>
      </c>
      <c r="E725" s="15">
        <f>VLOOKUP(Table2[[#This Row],[Date]],'Fed Fund New'!$A:$C,2,FALSE)</f>
        <v/>
      </c>
      <c r="F725" s="15">
        <f>VLOOKUP(Table2[[#This Row],[Date]],'Fed Fund New'!$A:$C,3,FALSE)</f>
        <v/>
      </c>
    </row>
    <row r="726">
      <c r="A726" s="61" t="n">
        <v>39114</v>
      </c>
      <c r="B726" s="68">
        <f>VLOOKUP(Table2[[#This Row],[Date]],Database!A:E,2,)</f>
        <v/>
      </c>
      <c r="C726" s="14">
        <f>(B726-B725)/B725</f>
        <v/>
      </c>
      <c r="D726" s="14">
        <f>(B726-B714)/B714</f>
        <v/>
      </c>
      <c r="E726" s="15">
        <f>VLOOKUP(Table2[[#This Row],[Date]],'Fed Fund New'!$A:$C,2,FALSE)</f>
        <v/>
      </c>
      <c r="F726" s="15">
        <f>VLOOKUP(Table2[[#This Row],[Date]],'Fed Fund New'!$A:$C,3,FALSE)</f>
        <v/>
      </c>
    </row>
    <row r="727">
      <c r="A727" s="61" t="n">
        <v>39142</v>
      </c>
      <c r="B727" s="68">
        <f>VLOOKUP(Table2[[#This Row],[Date]],Database!A:E,2,)</f>
        <v/>
      </c>
      <c r="C727" s="14">
        <f>(B727-B726)/B726</f>
        <v/>
      </c>
      <c r="D727" s="14">
        <f>(B727-B715)/B715</f>
        <v/>
      </c>
      <c r="E727" s="15">
        <f>VLOOKUP(Table2[[#This Row],[Date]],'Fed Fund New'!$A:$C,2,FALSE)</f>
        <v/>
      </c>
      <c r="F727" s="15">
        <f>VLOOKUP(Table2[[#This Row],[Date]],'Fed Fund New'!$A:$C,3,FALSE)</f>
        <v/>
      </c>
    </row>
    <row r="728">
      <c r="A728" s="61" t="n">
        <v>39173</v>
      </c>
      <c r="B728" s="68">
        <f>VLOOKUP(Table2[[#This Row],[Date]],Database!A:E,2,)</f>
        <v/>
      </c>
      <c r="C728" s="14">
        <f>(B728-B727)/B727</f>
        <v/>
      </c>
      <c r="D728" s="14">
        <f>(B728-B716)/B716</f>
        <v/>
      </c>
      <c r="E728" s="15">
        <f>VLOOKUP(Table2[[#This Row],[Date]],'Fed Fund New'!$A:$C,2,FALSE)</f>
        <v/>
      </c>
      <c r="F728" s="15">
        <f>VLOOKUP(Table2[[#This Row],[Date]],'Fed Fund New'!$A:$C,3,FALSE)</f>
        <v/>
      </c>
    </row>
    <row r="729">
      <c r="A729" s="61" t="n">
        <v>39203</v>
      </c>
      <c r="B729" s="68">
        <f>VLOOKUP(Table2[[#This Row],[Date]],Database!A:E,2,)</f>
        <v/>
      </c>
      <c r="C729" s="14">
        <f>(B729-B728)/B728</f>
        <v/>
      </c>
      <c r="D729" s="14">
        <f>(B729-B717)/B717</f>
        <v/>
      </c>
      <c r="E729" s="15">
        <f>VLOOKUP(Table2[[#This Row],[Date]],'Fed Fund New'!$A:$C,2,FALSE)</f>
        <v/>
      </c>
      <c r="F729" s="15">
        <f>VLOOKUP(Table2[[#This Row],[Date]],'Fed Fund New'!$A:$C,3,FALSE)</f>
        <v/>
      </c>
    </row>
    <row r="730">
      <c r="A730" s="61" t="n">
        <v>39234</v>
      </c>
      <c r="B730" s="68">
        <f>VLOOKUP(Table2[[#This Row],[Date]],Database!A:E,2,)</f>
        <v/>
      </c>
      <c r="C730" s="14">
        <f>(B730-B729)/B729</f>
        <v/>
      </c>
      <c r="D730" s="14">
        <f>(B730-B718)/B718</f>
        <v/>
      </c>
      <c r="E730" s="15">
        <f>VLOOKUP(Table2[[#This Row],[Date]],'Fed Fund New'!$A:$C,2,FALSE)</f>
        <v/>
      </c>
      <c r="F730" s="15">
        <f>VLOOKUP(Table2[[#This Row],[Date]],'Fed Fund New'!$A:$C,3,FALSE)</f>
        <v/>
      </c>
    </row>
    <row r="731">
      <c r="A731" s="61" t="n">
        <v>39264</v>
      </c>
      <c r="B731" s="68">
        <f>VLOOKUP(Table2[[#This Row],[Date]],Database!A:E,2,)</f>
        <v/>
      </c>
      <c r="C731" s="14">
        <f>(B731-B730)/B730</f>
        <v/>
      </c>
      <c r="D731" s="14">
        <f>(B731-B719)/B719</f>
        <v/>
      </c>
      <c r="E731" s="15">
        <f>VLOOKUP(Table2[[#This Row],[Date]],'Fed Fund New'!$A:$C,2,FALSE)</f>
        <v/>
      </c>
      <c r="F731" s="15">
        <f>VLOOKUP(Table2[[#This Row],[Date]],'Fed Fund New'!$A:$C,3,FALSE)</f>
        <v/>
      </c>
    </row>
    <row r="732">
      <c r="A732" s="61" t="n">
        <v>39295</v>
      </c>
      <c r="B732" s="68">
        <f>VLOOKUP(Table2[[#This Row],[Date]],Database!A:E,2,)</f>
        <v/>
      </c>
      <c r="C732" s="14">
        <f>(B732-B731)/B731</f>
        <v/>
      </c>
      <c r="D732" s="14">
        <f>(B732-B720)/B720</f>
        <v/>
      </c>
      <c r="E732" s="15">
        <f>VLOOKUP(Table2[[#This Row],[Date]],'Fed Fund New'!$A:$C,2,FALSE)</f>
        <v/>
      </c>
      <c r="F732" s="15">
        <f>VLOOKUP(Table2[[#This Row],[Date]],'Fed Fund New'!$A:$C,3,FALSE)</f>
        <v/>
      </c>
    </row>
    <row r="733">
      <c r="A733" s="61" t="n">
        <v>39326</v>
      </c>
      <c r="B733" s="68">
        <f>VLOOKUP(Table2[[#This Row],[Date]],Database!A:E,2,)</f>
        <v/>
      </c>
      <c r="C733" s="14">
        <f>(B733-B732)/B732</f>
        <v/>
      </c>
      <c r="D733" s="14">
        <f>(B733-B721)/B721</f>
        <v/>
      </c>
      <c r="E733" s="15">
        <f>VLOOKUP(Table2[[#This Row],[Date]],'Fed Fund New'!$A:$C,2,FALSE)</f>
        <v/>
      </c>
      <c r="F733" s="15">
        <f>VLOOKUP(Table2[[#This Row],[Date]],'Fed Fund New'!$A:$C,3,FALSE)</f>
        <v/>
      </c>
    </row>
    <row r="734">
      <c r="A734" s="61" t="n">
        <v>39356</v>
      </c>
      <c r="B734" s="68">
        <f>VLOOKUP(Table2[[#This Row],[Date]],Database!A:E,2,)</f>
        <v/>
      </c>
      <c r="C734" s="14">
        <f>(B734-B733)/B733</f>
        <v/>
      </c>
      <c r="D734" s="14">
        <f>(B734-B722)/B722</f>
        <v/>
      </c>
      <c r="E734" s="15">
        <f>VLOOKUP(Table2[[#This Row],[Date]],'Fed Fund New'!$A:$C,2,FALSE)</f>
        <v/>
      </c>
      <c r="F734" s="15">
        <f>VLOOKUP(Table2[[#This Row],[Date]],'Fed Fund New'!$A:$C,3,FALSE)</f>
        <v/>
      </c>
    </row>
    <row r="735">
      <c r="A735" s="61" t="n">
        <v>39387</v>
      </c>
      <c r="B735" s="68">
        <f>VLOOKUP(Table2[[#This Row],[Date]],Database!A:E,2,)</f>
        <v/>
      </c>
      <c r="C735" s="14">
        <f>(B735-B734)/B734</f>
        <v/>
      </c>
      <c r="D735" s="14">
        <f>(B735-B723)/B723</f>
        <v/>
      </c>
      <c r="E735" s="15">
        <f>VLOOKUP(Table2[[#This Row],[Date]],'Fed Fund New'!$A:$C,2,FALSE)</f>
        <v/>
      </c>
      <c r="F735" s="15">
        <f>VLOOKUP(Table2[[#This Row],[Date]],'Fed Fund New'!$A:$C,3,FALSE)</f>
        <v/>
      </c>
    </row>
    <row r="736">
      <c r="A736" s="61" t="n">
        <v>39417</v>
      </c>
      <c r="B736" s="68">
        <f>VLOOKUP(Table2[[#This Row],[Date]],Database!A:E,2,)</f>
        <v/>
      </c>
      <c r="C736" s="14">
        <f>(B736-B735)/B735</f>
        <v/>
      </c>
      <c r="D736" s="14">
        <f>(B736-B724)/B724</f>
        <v/>
      </c>
      <c r="E736" s="15">
        <f>VLOOKUP(Table2[[#This Row],[Date]],'Fed Fund New'!$A:$C,2,FALSE)</f>
        <v/>
      </c>
      <c r="F736" s="15">
        <f>VLOOKUP(Table2[[#This Row],[Date]],'Fed Fund New'!$A:$C,3,FALSE)</f>
        <v/>
      </c>
    </row>
    <row r="737">
      <c r="A737" s="61" t="n">
        <v>39448</v>
      </c>
      <c r="B737" s="68">
        <f>VLOOKUP(Table2[[#This Row],[Date]],Database!A:E,2,)</f>
        <v/>
      </c>
      <c r="C737" s="14">
        <f>(B737-B736)/B736</f>
        <v/>
      </c>
      <c r="D737" s="14">
        <f>(B737-B725)/B725</f>
        <v/>
      </c>
      <c r="E737" s="15">
        <f>VLOOKUP(Table2[[#This Row],[Date]],'Fed Fund New'!$A:$C,2,FALSE)</f>
        <v/>
      </c>
      <c r="F737" s="15">
        <f>VLOOKUP(Table2[[#This Row],[Date]],'Fed Fund New'!$A:$C,3,FALSE)</f>
        <v/>
      </c>
    </row>
    <row r="738">
      <c r="A738" s="61" t="n">
        <v>39479</v>
      </c>
      <c r="B738" s="68">
        <f>VLOOKUP(Table2[[#This Row],[Date]],Database!A:E,2,)</f>
        <v/>
      </c>
      <c r="C738" s="14">
        <f>(B738-B737)/B737</f>
        <v/>
      </c>
      <c r="D738" s="14">
        <f>(B738-B726)/B726</f>
        <v/>
      </c>
      <c r="E738" s="15">
        <f>VLOOKUP(Table2[[#This Row],[Date]],'Fed Fund New'!$A:$C,2,FALSE)</f>
        <v/>
      </c>
      <c r="F738" s="15">
        <f>VLOOKUP(Table2[[#This Row],[Date]],'Fed Fund New'!$A:$C,3,FALSE)</f>
        <v/>
      </c>
    </row>
    <row r="739">
      <c r="A739" s="61" t="n">
        <v>39508</v>
      </c>
      <c r="B739" s="68">
        <f>VLOOKUP(Table2[[#This Row],[Date]],Database!A:E,2,)</f>
        <v/>
      </c>
      <c r="C739" s="14">
        <f>(B739-B738)/B738</f>
        <v/>
      </c>
      <c r="D739" s="14">
        <f>(B739-B727)/B727</f>
        <v/>
      </c>
      <c r="E739" s="15">
        <f>VLOOKUP(Table2[[#This Row],[Date]],'Fed Fund New'!$A:$C,2,FALSE)</f>
        <v/>
      </c>
      <c r="F739" s="15">
        <f>VLOOKUP(Table2[[#This Row],[Date]],'Fed Fund New'!$A:$C,3,FALSE)</f>
        <v/>
      </c>
    </row>
    <row r="740">
      <c r="A740" s="61" t="n">
        <v>39539</v>
      </c>
      <c r="B740" s="68">
        <f>VLOOKUP(Table2[[#This Row],[Date]],Database!A:E,2,)</f>
        <v/>
      </c>
      <c r="C740" s="14">
        <f>(B740-B739)/B739</f>
        <v/>
      </c>
      <c r="D740" s="14">
        <f>(B740-B728)/B728</f>
        <v/>
      </c>
      <c r="E740" s="15">
        <f>VLOOKUP(Table2[[#This Row],[Date]],'Fed Fund New'!$A:$C,2,FALSE)</f>
        <v/>
      </c>
      <c r="F740" s="15">
        <f>VLOOKUP(Table2[[#This Row],[Date]],'Fed Fund New'!$A:$C,3,FALSE)</f>
        <v/>
      </c>
    </row>
    <row r="741">
      <c r="A741" s="61" t="n">
        <v>39569</v>
      </c>
      <c r="B741" s="68">
        <f>VLOOKUP(Table2[[#This Row],[Date]],Database!A:E,2,)</f>
        <v/>
      </c>
      <c r="C741" s="14">
        <f>(B741-B740)/B740</f>
        <v/>
      </c>
      <c r="D741" s="14">
        <f>(B741-B729)/B729</f>
        <v/>
      </c>
      <c r="E741" s="15">
        <f>VLOOKUP(Table2[[#This Row],[Date]],'Fed Fund New'!$A:$C,2,FALSE)</f>
        <v/>
      </c>
      <c r="F741" s="15">
        <f>VLOOKUP(Table2[[#This Row],[Date]],'Fed Fund New'!$A:$C,3,FALSE)</f>
        <v/>
      </c>
    </row>
    <row r="742">
      <c r="A742" s="61" t="n">
        <v>39600</v>
      </c>
      <c r="B742" s="68">
        <f>VLOOKUP(Table2[[#This Row],[Date]],Database!A:E,2,)</f>
        <v/>
      </c>
      <c r="C742" s="14">
        <f>(B742-B741)/B741</f>
        <v/>
      </c>
      <c r="D742" s="14">
        <f>(B742-B730)/B730</f>
        <v/>
      </c>
      <c r="E742" s="15">
        <f>VLOOKUP(Table2[[#This Row],[Date]],'Fed Fund New'!$A:$C,2,FALSE)</f>
        <v/>
      </c>
      <c r="F742" s="15">
        <f>VLOOKUP(Table2[[#This Row],[Date]],'Fed Fund New'!$A:$C,3,FALSE)</f>
        <v/>
      </c>
    </row>
    <row r="743">
      <c r="A743" s="61" t="n">
        <v>39630</v>
      </c>
      <c r="B743" s="68">
        <f>VLOOKUP(Table2[[#This Row],[Date]],Database!A:E,2,)</f>
        <v/>
      </c>
      <c r="C743" s="14">
        <f>(B743-B742)/B742</f>
        <v/>
      </c>
      <c r="D743" s="14">
        <f>(B743-B731)/B731</f>
        <v/>
      </c>
      <c r="E743" s="15">
        <f>VLOOKUP(Table2[[#This Row],[Date]],'Fed Fund New'!$A:$C,2,FALSE)</f>
        <v/>
      </c>
      <c r="F743" s="15">
        <f>VLOOKUP(Table2[[#This Row],[Date]],'Fed Fund New'!$A:$C,3,FALSE)</f>
        <v/>
      </c>
    </row>
    <row r="744">
      <c r="A744" s="61" t="n">
        <v>39661</v>
      </c>
      <c r="B744" s="68">
        <f>VLOOKUP(Table2[[#This Row],[Date]],Database!A:E,2,)</f>
        <v/>
      </c>
      <c r="C744" s="14">
        <f>(B744-B743)/B743</f>
        <v/>
      </c>
      <c r="D744" s="14">
        <f>(B744-B732)/B732</f>
        <v/>
      </c>
      <c r="E744" s="15">
        <f>VLOOKUP(Table2[[#This Row],[Date]],'Fed Fund New'!$A:$C,2,FALSE)</f>
        <v/>
      </c>
      <c r="F744" s="15">
        <f>VLOOKUP(Table2[[#This Row],[Date]],'Fed Fund New'!$A:$C,3,FALSE)</f>
        <v/>
      </c>
    </row>
    <row r="745">
      <c r="A745" s="61" t="n">
        <v>39692</v>
      </c>
      <c r="B745" s="68">
        <f>VLOOKUP(Table2[[#This Row],[Date]],Database!A:E,2,)</f>
        <v/>
      </c>
      <c r="C745" s="14">
        <f>(B745-B744)/B744</f>
        <v/>
      </c>
      <c r="D745" s="14">
        <f>(B745-B733)/B733</f>
        <v/>
      </c>
      <c r="E745" s="15">
        <f>VLOOKUP(Table2[[#This Row],[Date]],'Fed Fund New'!$A:$C,2,FALSE)</f>
        <v/>
      </c>
      <c r="F745" s="15">
        <f>VLOOKUP(Table2[[#This Row],[Date]],'Fed Fund New'!$A:$C,3,FALSE)</f>
        <v/>
      </c>
    </row>
    <row r="746">
      <c r="A746" s="61" t="n">
        <v>39722</v>
      </c>
      <c r="B746" s="68">
        <f>VLOOKUP(Table2[[#This Row],[Date]],Database!A:E,2,)</f>
        <v/>
      </c>
      <c r="C746" s="14">
        <f>(B746-B745)/B745</f>
        <v/>
      </c>
      <c r="D746" s="14">
        <f>(B746-B734)/B734</f>
        <v/>
      </c>
      <c r="E746" s="15">
        <f>VLOOKUP(Table2[[#This Row],[Date]],'Fed Fund New'!$A:$C,2,FALSE)</f>
        <v/>
      </c>
      <c r="F746" s="15">
        <f>VLOOKUP(Table2[[#This Row],[Date]],'Fed Fund New'!$A:$C,3,FALSE)</f>
        <v/>
      </c>
    </row>
    <row r="747">
      <c r="A747" s="61" t="n">
        <v>39753</v>
      </c>
      <c r="B747" s="68">
        <f>VLOOKUP(Table2[[#This Row],[Date]],Database!A:E,2,)</f>
        <v/>
      </c>
      <c r="C747" s="14">
        <f>(B747-B746)/B746</f>
        <v/>
      </c>
      <c r="D747" s="14">
        <f>(B747-B735)/B735</f>
        <v/>
      </c>
      <c r="E747" s="15">
        <f>VLOOKUP(Table2[[#This Row],[Date]],'Fed Fund New'!$A:$C,2,FALSE)</f>
        <v/>
      </c>
      <c r="F747" s="15">
        <f>VLOOKUP(Table2[[#This Row],[Date]],'Fed Fund New'!$A:$C,3,FALSE)</f>
        <v/>
      </c>
    </row>
    <row r="748">
      <c r="A748" s="61" t="n">
        <v>39783</v>
      </c>
      <c r="B748" s="68">
        <f>VLOOKUP(Table2[[#This Row],[Date]],Database!A:E,2,)</f>
        <v/>
      </c>
      <c r="C748" s="14">
        <f>(B748-B747)/B747</f>
        <v/>
      </c>
      <c r="D748" s="14">
        <f>(B748-B736)/B736</f>
        <v/>
      </c>
      <c r="E748" s="15">
        <f>VLOOKUP(Table2[[#This Row],[Date]],'Fed Fund New'!$A:$C,2,FALSE)</f>
        <v/>
      </c>
      <c r="F748" s="15">
        <f>VLOOKUP(Table2[[#This Row],[Date]],'Fed Fund New'!$A:$C,3,FALSE)</f>
        <v/>
      </c>
    </row>
    <row r="749">
      <c r="A749" s="61" t="n">
        <v>39814</v>
      </c>
      <c r="B749" s="68">
        <f>VLOOKUP(Table2[[#This Row],[Date]],Database!A:E,2,)</f>
        <v/>
      </c>
      <c r="C749" s="14">
        <f>(B749-B748)/B748</f>
        <v/>
      </c>
      <c r="D749" s="14">
        <f>(B749-B737)/B737</f>
        <v/>
      </c>
      <c r="E749" s="15">
        <f>VLOOKUP(Table2[[#This Row],[Date]],'Fed Fund New'!$A:$C,2,FALSE)</f>
        <v/>
      </c>
      <c r="F749" s="15">
        <f>VLOOKUP(Table2[[#This Row],[Date]],'Fed Fund New'!$A:$C,3,FALSE)</f>
        <v/>
      </c>
    </row>
    <row r="750">
      <c r="A750" s="61" t="n">
        <v>39845</v>
      </c>
      <c r="B750" s="68">
        <f>VLOOKUP(Table2[[#This Row],[Date]],Database!A:E,2,)</f>
        <v/>
      </c>
      <c r="C750" s="14">
        <f>(B750-B749)/B749</f>
        <v/>
      </c>
      <c r="D750" s="14">
        <f>(B750-B738)/B738</f>
        <v/>
      </c>
      <c r="E750" s="15">
        <f>VLOOKUP(Table2[[#This Row],[Date]],'Fed Fund New'!$A:$C,2,FALSE)</f>
        <v/>
      </c>
      <c r="F750" s="15">
        <f>VLOOKUP(Table2[[#This Row],[Date]],'Fed Fund New'!$A:$C,3,FALSE)</f>
        <v/>
      </c>
    </row>
    <row r="751">
      <c r="A751" s="61" t="n">
        <v>39873</v>
      </c>
      <c r="B751" s="68">
        <f>VLOOKUP(Table2[[#This Row],[Date]],Database!A:E,2,)</f>
        <v/>
      </c>
      <c r="C751" s="14">
        <f>(B751-B750)/B750</f>
        <v/>
      </c>
      <c r="D751" s="14">
        <f>(B751-B739)/B739</f>
        <v/>
      </c>
      <c r="E751" s="15">
        <f>VLOOKUP(Table2[[#This Row],[Date]],'Fed Fund New'!$A:$C,2,FALSE)</f>
        <v/>
      </c>
      <c r="F751" s="15">
        <f>VLOOKUP(Table2[[#This Row],[Date]],'Fed Fund New'!$A:$C,3,FALSE)</f>
        <v/>
      </c>
    </row>
    <row r="752">
      <c r="A752" s="61" t="n">
        <v>39904</v>
      </c>
      <c r="B752" s="68">
        <f>VLOOKUP(Table2[[#This Row],[Date]],Database!A:E,2,)</f>
        <v/>
      </c>
      <c r="C752" s="14">
        <f>(B752-B751)/B751</f>
        <v/>
      </c>
      <c r="D752" s="14">
        <f>(B752-B740)/B740</f>
        <v/>
      </c>
      <c r="E752" s="15">
        <f>VLOOKUP(Table2[[#This Row],[Date]],'Fed Fund New'!$A:$C,2,FALSE)</f>
        <v/>
      </c>
      <c r="F752" s="15">
        <f>VLOOKUP(Table2[[#This Row],[Date]],'Fed Fund New'!$A:$C,3,FALSE)</f>
        <v/>
      </c>
    </row>
    <row r="753">
      <c r="A753" s="61" t="n">
        <v>39934</v>
      </c>
      <c r="B753" s="68">
        <f>VLOOKUP(Table2[[#This Row],[Date]],Database!A:E,2,)</f>
        <v/>
      </c>
      <c r="C753" s="14">
        <f>(B753-B752)/B752</f>
        <v/>
      </c>
      <c r="D753" s="14">
        <f>(B753-B741)/B741</f>
        <v/>
      </c>
      <c r="E753" s="15">
        <f>VLOOKUP(Table2[[#This Row],[Date]],'Fed Fund New'!$A:$C,2,FALSE)</f>
        <v/>
      </c>
      <c r="F753" s="15">
        <f>VLOOKUP(Table2[[#This Row],[Date]],'Fed Fund New'!$A:$C,3,FALSE)</f>
        <v/>
      </c>
    </row>
    <row r="754">
      <c r="A754" s="61" t="n">
        <v>39965</v>
      </c>
      <c r="B754" s="68">
        <f>VLOOKUP(Table2[[#This Row],[Date]],Database!A:E,2,)</f>
        <v/>
      </c>
      <c r="C754" s="14">
        <f>(B754-B753)/B753</f>
        <v/>
      </c>
      <c r="D754" s="14">
        <f>(B754-B742)/B742</f>
        <v/>
      </c>
      <c r="E754" s="15">
        <f>VLOOKUP(Table2[[#This Row],[Date]],'Fed Fund New'!$A:$C,2,FALSE)</f>
        <v/>
      </c>
      <c r="F754" s="15">
        <f>VLOOKUP(Table2[[#This Row],[Date]],'Fed Fund New'!$A:$C,3,FALSE)</f>
        <v/>
      </c>
    </row>
    <row r="755">
      <c r="A755" s="61" t="n">
        <v>39995</v>
      </c>
      <c r="B755" s="68">
        <f>VLOOKUP(Table2[[#This Row],[Date]],Database!A:E,2,)</f>
        <v/>
      </c>
      <c r="C755" s="14">
        <f>(B755-B754)/B754</f>
        <v/>
      </c>
      <c r="D755" s="14">
        <f>(B755-B743)/B743</f>
        <v/>
      </c>
      <c r="E755" s="15">
        <f>VLOOKUP(Table2[[#This Row],[Date]],'Fed Fund New'!$A:$C,2,FALSE)</f>
        <v/>
      </c>
      <c r="F755" s="15">
        <f>VLOOKUP(Table2[[#This Row],[Date]],'Fed Fund New'!$A:$C,3,FALSE)</f>
        <v/>
      </c>
    </row>
    <row r="756">
      <c r="A756" s="61" t="n">
        <v>40026</v>
      </c>
      <c r="B756" s="68">
        <f>VLOOKUP(Table2[[#This Row],[Date]],Database!A:E,2,)</f>
        <v/>
      </c>
      <c r="C756" s="14">
        <f>(B756-B755)/B755</f>
        <v/>
      </c>
      <c r="D756" s="14">
        <f>(B756-B744)/B744</f>
        <v/>
      </c>
      <c r="E756" s="15">
        <f>VLOOKUP(Table2[[#This Row],[Date]],'Fed Fund New'!$A:$C,2,FALSE)</f>
        <v/>
      </c>
      <c r="F756" s="15">
        <f>VLOOKUP(Table2[[#This Row],[Date]],'Fed Fund New'!$A:$C,3,FALSE)</f>
        <v/>
      </c>
    </row>
    <row r="757">
      <c r="A757" s="61" t="n">
        <v>40057</v>
      </c>
      <c r="B757" s="68">
        <f>VLOOKUP(Table2[[#This Row],[Date]],Database!A:E,2,)</f>
        <v/>
      </c>
      <c r="C757" s="14">
        <f>(B757-B756)/B756</f>
        <v/>
      </c>
      <c r="D757" s="14">
        <f>(B757-B745)/B745</f>
        <v/>
      </c>
      <c r="E757" s="15">
        <f>VLOOKUP(Table2[[#This Row],[Date]],'Fed Fund New'!$A:$C,2,FALSE)</f>
        <v/>
      </c>
      <c r="F757" s="15">
        <f>VLOOKUP(Table2[[#This Row],[Date]],'Fed Fund New'!$A:$C,3,FALSE)</f>
        <v/>
      </c>
    </row>
    <row r="758">
      <c r="A758" s="61" t="n">
        <v>40087</v>
      </c>
      <c r="B758" s="68">
        <f>VLOOKUP(Table2[[#This Row],[Date]],Database!A:E,2,)</f>
        <v/>
      </c>
      <c r="C758" s="14">
        <f>(B758-B757)/B757</f>
        <v/>
      </c>
      <c r="D758" s="14">
        <f>(B758-B746)/B746</f>
        <v/>
      </c>
      <c r="E758" s="15">
        <f>VLOOKUP(Table2[[#This Row],[Date]],'Fed Fund New'!$A:$C,2,FALSE)</f>
        <v/>
      </c>
      <c r="F758" s="15">
        <f>VLOOKUP(Table2[[#This Row],[Date]],'Fed Fund New'!$A:$C,3,FALSE)</f>
        <v/>
      </c>
    </row>
    <row r="759">
      <c r="A759" s="61" t="n">
        <v>40118</v>
      </c>
      <c r="B759" s="68">
        <f>VLOOKUP(Table2[[#This Row],[Date]],Database!A:E,2,)</f>
        <v/>
      </c>
      <c r="C759" s="14">
        <f>(B759-B758)/B758</f>
        <v/>
      </c>
      <c r="D759" s="14">
        <f>(B759-B747)/B747</f>
        <v/>
      </c>
      <c r="E759" s="15">
        <f>VLOOKUP(Table2[[#This Row],[Date]],'Fed Fund New'!$A:$C,2,FALSE)</f>
        <v/>
      </c>
      <c r="F759" s="15">
        <f>VLOOKUP(Table2[[#This Row],[Date]],'Fed Fund New'!$A:$C,3,FALSE)</f>
        <v/>
      </c>
    </row>
    <row r="760">
      <c r="A760" s="61" t="n">
        <v>40148</v>
      </c>
      <c r="B760" s="68">
        <f>VLOOKUP(Table2[[#This Row],[Date]],Database!A:E,2,)</f>
        <v/>
      </c>
      <c r="C760" s="14">
        <f>(B760-B759)/B759</f>
        <v/>
      </c>
      <c r="D760" s="14">
        <f>(B760-B748)/B748</f>
        <v/>
      </c>
      <c r="E760" s="15">
        <f>VLOOKUP(Table2[[#This Row],[Date]],'Fed Fund New'!$A:$C,2,FALSE)</f>
        <v/>
      </c>
      <c r="F760" s="15">
        <f>VLOOKUP(Table2[[#This Row],[Date]],'Fed Fund New'!$A:$C,3,FALSE)</f>
        <v/>
      </c>
    </row>
    <row r="761">
      <c r="A761" s="61" t="n">
        <v>40179</v>
      </c>
      <c r="B761" s="68">
        <f>VLOOKUP(Table2[[#This Row],[Date]],Database!A:E,2,)</f>
        <v/>
      </c>
      <c r="C761" s="14">
        <f>(B761-B760)/B760</f>
        <v/>
      </c>
      <c r="D761" s="14">
        <f>(B761-B749)/B749</f>
        <v/>
      </c>
      <c r="E761" s="15">
        <f>VLOOKUP(Table2[[#This Row],[Date]],'Fed Fund New'!$A:$C,2,FALSE)</f>
        <v/>
      </c>
      <c r="F761" s="15">
        <f>VLOOKUP(Table2[[#This Row],[Date]],'Fed Fund New'!$A:$C,3,FALSE)</f>
        <v/>
      </c>
    </row>
    <row r="762">
      <c r="A762" s="61" t="n">
        <v>40210</v>
      </c>
      <c r="B762" s="68">
        <f>VLOOKUP(Table2[[#This Row],[Date]],Database!A:E,2,)</f>
        <v/>
      </c>
      <c r="C762" s="14">
        <f>(B762-B761)/B761</f>
        <v/>
      </c>
      <c r="D762" s="14">
        <f>(B762-B750)/B750</f>
        <v/>
      </c>
      <c r="E762" s="15">
        <f>VLOOKUP(Table2[[#This Row],[Date]],'Fed Fund New'!$A:$C,2,FALSE)</f>
        <v/>
      </c>
      <c r="F762" s="15">
        <f>VLOOKUP(Table2[[#This Row],[Date]],'Fed Fund New'!$A:$C,3,FALSE)</f>
        <v/>
      </c>
    </row>
    <row r="763">
      <c r="A763" s="61" t="n">
        <v>40238</v>
      </c>
      <c r="B763" s="68">
        <f>VLOOKUP(Table2[[#This Row],[Date]],Database!A:E,2,)</f>
        <v/>
      </c>
      <c r="C763" s="14">
        <f>(B763-B762)/B762</f>
        <v/>
      </c>
      <c r="D763" s="14">
        <f>(B763-B751)/B751</f>
        <v/>
      </c>
      <c r="E763" s="15">
        <f>VLOOKUP(Table2[[#This Row],[Date]],'Fed Fund New'!$A:$C,2,FALSE)</f>
        <v/>
      </c>
      <c r="F763" s="15">
        <f>VLOOKUP(Table2[[#This Row],[Date]],'Fed Fund New'!$A:$C,3,FALSE)</f>
        <v/>
      </c>
    </row>
    <row r="764">
      <c r="A764" s="61" t="n">
        <v>40269</v>
      </c>
      <c r="B764" s="68">
        <f>VLOOKUP(Table2[[#This Row],[Date]],Database!A:E,2,)</f>
        <v/>
      </c>
      <c r="C764" s="14">
        <f>(B764-B763)/B763</f>
        <v/>
      </c>
      <c r="D764" s="14">
        <f>(B764-B752)/B752</f>
        <v/>
      </c>
      <c r="E764" s="15">
        <f>VLOOKUP(Table2[[#This Row],[Date]],'Fed Fund New'!$A:$C,2,FALSE)</f>
        <v/>
      </c>
      <c r="F764" s="15">
        <f>VLOOKUP(Table2[[#This Row],[Date]],'Fed Fund New'!$A:$C,3,FALSE)</f>
        <v/>
      </c>
    </row>
    <row r="765">
      <c r="A765" s="61" t="n">
        <v>40299</v>
      </c>
      <c r="B765" s="68">
        <f>VLOOKUP(Table2[[#This Row],[Date]],Database!A:E,2,)</f>
        <v/>
      </c>
      <c r="C765" s="14">
        <f>(B765-B764)/B764</f>
        <v/>
      </c>
      <c r="D765" s="14">
        <f>(B765-B753)/B753</f>
        <v/>
      </c>
      <c r="E765" s="15">
        <f>VLOOKUP(Table2[[#This Row],[Date]],'Fed Fund New'!$A:$C,2,FALSE)</f>
        <v/>
      </c>
      <c r="F765" s="15">
        <f>VLOOKUP(Table2[[#This Row],[Date]],'Fed Fund New'!$A:$C,3,FALSE)</f>
        <v/>
      </c>
    </row>
    <row r="766">
      <c r="A766" s="61" t="n">
        <v>40330</v>
      </c>
      <c r="B766" s="68">
        <f>VLOOKUP(Table2[[#This Row],[Date]],Database!A:E,2,)</f>
        <v/>
      </c>
      <c r="C766" s="14">
        <f>(B766-B765)/B765</f>
        <v/>
      </c>
      <c r="D766" s="14">
        <f>(B766-B754)/B754</f>
        <v/>
      </c>
      <c r="E766" s="15">
        <f>VLOOKUP(Table2[[#This Row],[Date]],'Fed Fund New'!$A:$C,2,FALSE)</f>
        <v/>
      </c>
      <c r="F766" s="15">
        <f>VLOOKUP(Table2[[#This Row],[Date]],'Fed Fund New'!$A:$C,3,FALSE)</f>
        <v/>
      </c>
    </row>
    <row r="767">
      <c r="A767" s="61" t="n">
        <v>40360</v>
      </c>
      <c r="B767" s="68">
        <f>VLOOKUP(Table2[[#This Row],[Date]],Database!A:E,2,)</f>
        <v/>
      </c>
      <c r="C767" s="14">
        <f>(B767-B766)/B766</f>
        <v/>
      </c>
      <c r="D767" s="14">
        <f>(B767-B755)/B755</f>
        <v/>
      </c>
      <c r="E767" s="15">
        <f>VLOOKUP(Table2[[#This Row],[Date]],'Fed Fund New'!$A:$C,2,FALSE)</f>
        <v/>
      </c>
      <c r="F767" s="15">
        <f>VLOOKUP(Table2[[#This Row],[Date]],'Fed Fund New'!$A:$C,3,FALSE)</f>
        <v/>
      </c>
    </row>
    <row r="768">
      <c r="A768" s="61" t="n">
        <v>40391</v>
      </c>
      <c r="B768" s="68">
        <f>VLOOKUP(Table2[[#This Row],[Date]],Database!A:E,2,)</f>
        <v/>
      </c>
      <c r="C768" s="14">
        <f>(B768-B767)/B767</f>
        <v/>
      </c>
      <c r="D768" s="14">
        <f>(B768-B756)/B756</f>
        <v/>
      </c>
      <c r="E768" s="15">
        <f>VLOOKUP(Table2[[#This Row],[Date]],'Fed Fund New'!$A:$C,2,FALSE)</f>
        <v/>
      </c>
      <c r="F768" s="15">
        <f>VLOOKUP(Table2[[#This Row],[Date]],'Fed Fund New'!$A:$C,3,FALSE)</f>
        <v/>
      </c>
    </row>
    <row r="769">
      <c r="A769" s="61" t="n">
        <v>40422</v>
      </c>
      <c r="B769" s="68">
        <f>VLOOKUP(Table2[[#This Row],[Date]],Database!A:E,2,)</f>
        <v/>
      </c>
      <c r="C769" s="14">
        <f>(B769-B768)/B768</f>
        <v/>
      </c>
      <c r="D769" s="14">
        <f>(B769-B757)/B757</f>
        <v/>
      </c>
      <c r="E769" s="15">
        <f>VLOOKUP(Table2[[#This Row],[Date]],'Fed Fund New'!$A:$C,2,FALSE)</f>
        <v/>
      </c>
      <c r="F769" s="15">
        <f>VLOOKUP(Table2[[#This Row],[Date]],'Fed Fund New'!$A:$C,3,FALSE)</f>
        <v/>
      </c>
    </row>
    <row r="770">
      <c r="A770" s="61" t="n">
        <v>40452</v>
      </c>
      <c r="B770" s="68">
        <f>VLOOKUP(Table2[[#This Row],[Date]],Database!A:E,2,)</f>
        <v/>
      </c>
      <c r="C770" s="14">
        <f>(B770-B769)/B769</f>
        <v/>
      </c>
      <c r="D770" s="14">
        <f>(B770-B758)/B758</f>
        <v/>
      </c>
      <c r="E770" s="15">
        <f>VLOOKUP(Table2[[#This Row],[Date]],'Fed Fund New'!$A:$C,2,FALSE)</f>
        <v/>
      </c>
      <c r="F770" s="15">
        <f>VLOOKUP(Table2[[#This Row],[Date]],'Fed Fund New'!$A:$C,3,FALSE)</f>
        <v/>
      </c>
    </row>
    <row r="771">
      <c r="A771" s="61" t="n">
        <v>40483</v>
      </c>
      <c r="B771" s="68">
        <f>VLOOKUP(Table2[[#This Row],[Date]],Database!A:E,2,)</f>
        <v/>
      </c>
      <c r="C771" s="14">
        <f>(B771-B770)/B770</f>
        <v/>
      </c>
      <c r="D771" s="14">
        <f>(B771-B759)/B759</f>
        <v/>
      </c>
      <c r="E771" s="15">
        <f>VLOOKUP(Table2[[#This Row],[Date]],'Fed Fund New'!$A:$C,2,FALSE)</f>
        <v/>
      </c>
      <c r="F771" s="15">
        <f>VLOOKUP(Table2[[#This Row],[Date]],'Fed Fund New'!$A:$C,3,FALSE)</f>
        <v/>
      </c>
    </row>
    <row r="772">
      <c r="A772" s="61" t="n">
        <v>40513</v>
      </c>
      <c r="B772" s="68">
        <f>VLOOKUP(Table2[[#This Row],[Date]],Database!A:E,2,)</f>
        <v/>
      </c>
      <c r="C772" s="14">
        <f>(B772-B771)/B771</f>
        <v/>
      </c>
      <c r="D772" s="14">
        <f>(B772-B760)/B760</f>
        <v/>
      </c>
      <c r="E772" s="15">
        <f>VLOOKUP(Table2[[#This Row],[Date]],'Fed Fund New'!$A:$C,2,FALSE)</f>
        <v/>
      </c>
      <c r="F772" s="15">
        <f>VLOOKUP(Table2[[#This Row],[Date]],'Fed Fund New'!$A:$C,3,FALSE)</f>
        <v/>
      </c>
    </row>
    <row r="773">
      <c r="A773" s="61" t="n">
        <v>40544</v>
      </c>
      <c r="B773" s="68">
        <f>VLOOKUP(Table2[[#This Row],[Date]],Database!A:E,2,)</f>
        <v/>
      </c>
      <c r="C773" s="14">
        <f>(B773-B772)/B772</f>
        <v/>
      </c>
      <c r="D773" s="14">
        <f>(B773-B761)/B761</f>
        <v/>
      </c>
      <c r="E773" s="15">
        <f>VLOOKUP(Table2[[#This Row],[Date]],'Fed Fund New'!$A:$C,2,FALSE)</f>
        <v/>
      </c>
      <c r="F773" s="15">
        <f>VLOOKUP(Table2[[#This Row],[Date]],'Fed Fund New'!$A:$C,3,FALSE)</f>
        <v/>
      </c>
    </row>
    <row r="774">
      <c r="A774" s="61" t="n">
        <v>40575</v>
      </c>
      <c r="B774" s="68">
        <f>VLOOKUP(Table2[[#This Row],[Date]],Database!A:E,2,)</f>
        <v/>
      </c>
      <c r="C774" s="14">
        <f>(B774-B773)/B773</f>
        <v/>
      </c>
      <c r="D774" s="14">
        <f>(B774-B762)/B762</f>
        <v/>
      </c>
      <c r="E774" s="15">
        <f>VLOOKUP(Table2[[#This Row],[Date]],'Fed Fund New'!$A:$C,2,FALSE)</f>
        <v/>
      </c>
      <c r="F774" s="15">
        <f>VLOOKUP(Table2[[#This Row],[Date]],'Fed Fund New'!$A:$C,3,FALSE)</f>
        <v/>
      </c>
    </row>
    <row r="775">
      <c r="A775" s="61" t="n">
        <v>40603</v>
      </c>
      <c r="B775" s="68">
        <f>VLOOKUP(Table2[[#This Row],[Date]],Database!A:E,2,)</f>
        <v/>
      </c>
      <c r="C775" s="14">
        <f>(B775-B774)/B774</f>
        <v/>
      </c>
      <c r="D775" s="14">
        <f>(B775-B763)/B763</f>
        <v/>
      </c>
      <c r="E775" s="15">
        <f>VLOOKUP(Table2[[#This Row],[Date]],'Fed Fund New'!$A:$C,2,FALSE)</f>
        <v/>
      </c>
      <c r="F775" s="15">
        <f>VLOOKUP(Table2[[#This Row],[Date]],'Fed Fund New'!$A:$C,3,FALSE)</f>
        <v/>
      </c>
    </row>
    <row r="776">
      <c r="A776" s="61" t="n">
        <v>40634</v>
      </c>
      <c r="B776" s="68">
        <f>VLOOKUP(Table2[[#This Row],[Date]],Database!A:E,2,)</f>
        <v/>
      </c>
      <c r="C776" s="14">
        <f>(B776-B775)/B775</f>
        <v/>
      </c>
      <c r="D776" s="14">
        <f>(B776-B764)/B764</f>
        <v/>
      </c>
      <c r="E776" s="15">
        <f>VLOOKUP(Table2[[#This Row],[Date]],'Fed Fund New'!$A:$C,2,FALSE)</f>
        <v/>
      </c>
      <c r="F776" s="15">
        <f>VLOOKUP(Table2[[#This Row],[Date]],'Fed Fund New'!$A:$C,3,FALSE)</f>
        <v/>
      </c>
    </row>
    <row r="777">
      <c r="A777" s="61" t="n">
        <v>40664</v>
      </c>
      <c r="B777" s="68">
        <f>VLOOKUP(Table2[[#This Row],[Date]],Database!A:E,2,)</f>
        <v/>
      </c>
      <c r="C777" s="14">
        <f>(B777-B776)/B776</f>
        <v/>
      </c>
      <c r="D777" s="14">
        <f>(B777-B765)/B765</f>
        <v/>
      </c>
      <c r="E777" s="15">
        <f>VLOOKUP(Table2[[#This Row],[Date]],'Fed Fund New'!$A:$C,2,FALSE)</f>
        <v/>
      </c>
      <c r="F777" s="15">
        <f>VLOOKUP(Table2[[#This Row],[Date]],'Fed Fund New'!$A:$C,3,FALSE)</f>
        <v/>
      </c>
    </row>
    <row r="778">
      <c r="A778" s="61" t="n">
        <v>40695</v>
      </c>
      <c r="B778" s="68">
        <f>VLOOKUP(Table2[[#This Row],[Date]],Database!A:E,2,)</f>
        <v/>
      </c>
      <c r="C778" s="14">
        <f>(B778-B777)/B777</f>
        <v/>
      </c>
      <c r="D778" s="14">
        <f>(B778-B766)/B766</f>
        <v/>
      </c>
      <c r="E778" s="15">
        <f>VLOOKUP(Table2[[#This Row],[Date]],'Fed Fund New'!$A:$C,2,FALSE)</f>
        <v/>
      </c>
      <c r="F778" s="15">
        <f>VLOOKUP(Table2[[#This Row],[Date]],'Fed Fund New'!$A:$C,3,FALSE)</f>
        <v/>
      </c>
    </row>
    <row r="779">
      <c r="A779" s="61" t="n">
        <v>40725</v>
      </c>
      <c r="B779" s="68">
        <f>VLOOKUP(Table2[[#This Row],[Date]],Database!A:E,2,)</f>
        <v/>
      </c>
      <c r="C779" s="14">
        <f>(B779-B778)/B778</f>
        <v/>
      </c>
      <c r="D779" s="14">
        <f>(B779-B767)/B767</f>
        <v/>
      </c>
      <c r="E779" s="15">
        <f>VLOOKUP(Table2[[#This Row],[Date]],'Fed Fund New'!$A:$C,2,FALSE)</f>
        <v/>
      </c>
      <c r="F779" s="15">
        <f>VLOOKUP(Table2[[#This Row],[Date]],'Fed Fund New'!$A:$C,3,FALSE)</f>
        <v/>
      </c>
    </row>
    <row r="780">
      <c r="A780" s="61" t="n">
        <v>40756</v>
      </c>
      <c r="B780" s="68">
        <f>VLOOKUP(Table2[[#This Row],[Date]],Database!A:E,2,)</f>
        <v/>
      </c>
      <c r="C780" s="14">
        <f>(B780-B779)/B779</f>
        <v/>
      </c>
      <c r="D780" s="14">
        <f>(B780-B768)/B768</f>
        <v/>
      </c>
      <c r="E780" s="15">
        <f>VLOOKUP(Table2[[#This Row],[Date]],'Fed Fund New'!$A:$C,2,FALSE)</f>
        <v/>
      </c>
      <c r="F780" s="15">
        <f>VLOOKUP(Table2[[#This Row],[Date]],'Fed Fund New'!$A:$C,3,FALSE)</f>
        <v/>
      </c>
    </row>
    <row r="781">
      <c r="A781" s="61" t="n">
        <v>40787</v>
      </c>
      <c r="B781" s="68">
        <f>VLOOKUP(Table2[[#This Row],[Date]],Database!A:E,2,)</f>
        <v/>
      </c>
      <c r="C781" s="14">
        <f>(B781-B780)/B780</f>
        <v/>
      </c>
      <c r="D781" s="14">
        <f>(B781-B769)/B769</f>
        <v/>
      </c>
      <c r="E781" s="15">
        <f>VLOOKUP(Table2[[#This Row],[Date]],'Fed Fund New'!$A:$C,2,FALSE)</f>
        <v/>
      </c>
      <c r="F781" s="15">
        <f>VLOOKUP(Table2[[#This Row],[Date]],'Fed Fund New'!$A:$C,3,FALSE)</f>
        <v/>
      </c>
    </row>
    <row r="782">
      <c r="A782" s="61" t="n">
        <v>40817</v>
      </c>
      <c r="B782" s="68">
        <f>VLOOKUP(Table2[[#This Row],[Date]],Database!A:E,2,)</f>
        <v/>
      </c>
      <c r="C782" s="14">
        <f>(B782-B781)/B781</f>
        <v/>
      </c>
      <c r="D782" s="14">
        <f>(B782-B770)/B770</f>
        <v/>
      </c>
      <c r="E782" s="15">
        <f>VLOOKUP(Table2[[#This Row],[Date]],'Fed Fund New'!$A:$C,2,FALSE)</f>
        <v/>
      </c>
      <c r="F782" s="15">
        <f>VLOOKUP(Table2[[#This Row],[Date]],'Fed Fund New'!$A:$C,3,FALSE)</f>
        <v/>
      </c>
    </row>
    <row r="783">
      <c r="A783" s="61" t="n">
        <v>40848</v>
      </c>
      <c r="B783" s="68">
        <f>VLOOKUP(Table2[[#This Row],[Date]],Database!A:E,2,)</f>
        <v/>
      </c>
      <c r="C783" s="14">
        <f>(B783-B782)/B782</f>
        <v/>
      </c>
      <c r="D783" s="14">
        <f>(B783-B771)/B771</f>
        <v/>
      </c>
      <c r="E783" s="15">
        <f>VLOOKUP(Table2[[#This Row],[Date]],'Fed Fund New'!$A:$C,2,FALSE)</f>
        <v/>
      </c>
      <c r="F783" s="15">
        <f>VLOOKUP(Table2[[#This Row],[Date]],'Fed Fund New'!$A:$C,3,FALSE)</f>
        <v/>
      </c>
    </row>
    <row r="784">
      <c r="A784" s="61" t="n">
        <v>40878</v>
      </c>
      <c r="B784" s="68">
        <f>VLOOKUP(Table2[[#This Row],[Date]],Database!A:E,2,)</f>
        <v/>
      </c>
      <c r="C784" s="14">
        <f>(B784-B783)/B783</f>
        <v/>
      </c>
      <c r="D784" s="14">
        <f>(B784-B772)/B772</f>
        <v/>
      </c>
      <c r="E784" s="15">
        <f>VLOOKUP(Table2[[#This Row],[Date]],'Fed Fund New'!$A:$C,2,FALSE)</f>
        <v/>
      </c>
      <c r="F784" s="15">
        <f>VLOOKUP(Table2[[#This Row],[Date]],'Fed Fund New'!$A:$C,3,FALSE)</f>
        <v/>
      </c>
    </row>
    <row r="785">
      <c r="A785" s="61" t="n">
        <v>40909</v>
      </c>
      <c r="B785" s="68">
        <f>VLOOKUP(Table2[[#This Row],[Date]],Database!A:E,2,)</f>
        <v/>
      </c>
      <c r="C785" s="14">
        <f>(B785-B784)/B784</f>
        <v/>
      </c>
      <c r="D785" s="14">
        <f>(B785-B773)/B773</f>
        <v/>
      </c>
      <c r="E785" s="15">
        <f>VLOOKUP(Table2[[#This Row],[Date]],'Fed Fund New'!$A:$C,2,FALSE)</f>
        <v/>
      </c>
      <c r="F785" s="15">
        <f>VLOOKUP(Table2[[#This Row],[Date]],'Fed Fund New'!$A:$C,3,FALSE)</f>
        <v/>
      </c>
    </row>
    <row r="786">
      <c r="A786" s="61" t="n">
        <v>40940</v>
      </c>
      <c r="B786" s="68">
        <f>VLOOKUP(Table2[[#This Row],[Date]],Database!A:E,2,)</f>
        <v/>
      </c>
      <c r="C786" s="14">
        <f>(B786-B785)/B785</f>
        <v/>
      </c>
      <c r="D786" s="14">
        <f>(B786-B774)/B774</f>
        <v/>
      </c>
      <c r="E786" s="15">
        <f>VLOOKUP(Table2[[#This Row],[Date]],'Fed Fund New'!$A:$C,2,FALSE)</f>
        <v/>
      </c>
      <c r="F786" s="15">
        <f>VLOOKUP(Table2[[#This Row],[Date]],'Fed Fund New'!$A:$C,3,FALSE)</f>
        <v/>
      </c>
    </row>
    <row r="787">
      <c r="A787" s="61" t="n">
        <v>40969</v>
      </c>
      <c r="B787" s="68">
        <f>VLOOKUP(Table2[[#This Row],[Date]],Database!A:E,2,)</f>
        <v/>
      </c>
      <c r="C787" s="14">
        <f>(B787-B786)/B786</f>
        <v/>
      </c>
      <c r="D787" s="14">
        <f>(B787-B775)/B775</f>
        <v/>
      </c>
      <c r="E787" s="15">
        <f>VLOOKUP(Table2[[#This Row],[Date]],'Fed Fund New'!$A:$C,2,FALSE)</f>
        <v/>
      </c>
      <c r="F787" s="15">
        <f>VLOOKUP(Table2[[#This Row],[Date]],'Fed Fund New'!$A:$C,3,FALSE)</f>
        <v/>
      </c>
    </row>
    <row r="788">
      <c r="A788" s="61" t="n">
        <v>41000</v>
      </c>
      <c r="B788" s="68">
        <f>VLOOKUP(Table2[[#This Row],[Date]],Database!A:E,2,)</f>
        <v/>
      </c>
      <c r="C788" s="14">
        <f>(B788-B787)/B787</f>
        <v/>
      </c>
      <c r="D788" s="14">
        <f>(B788-B776)/B776</f>
        <v/>
      </c>
      <c r="E788" s="15">
        <f>VLOOKUP(Table2[[#This Row],[Date]],'Fed Fund New'!$A:$C,2,FALSE)</f>
        <v/>
      </c>
      <c r="F788" s="15">
        <f>VLOOKUP(Table2[[#This Row],[Date]],'Fed Fund New'!$A:$C,3,FALSE)</f>
        <v/>
      </c>
    </row>
    <row r="789">
      <c r="A789" s="61" t="n">
        <v>41030</v>
      </c>
      <c r="B789" s="68">
        <f>VLOOKUP(Table2[[#This Row],[Date]],Database!A:E,2,)</f>
        <v/>
      </c>
      <c r="C789" s="14">
        <f>(B789-B788)/B788</f>
        <v/>
      </c>
      <c r="D789" s="14">
        <f>(B789-B777)/B777</f>
        <v/>
      </c>
      <c r="E789" s="15">
        <f>VLOOKUP(Table2[[#This Row],[Date]],'Fed Fund New'!$A:$C,2,FALSE)</f>
        <v/>
      </c>
      <c r="F789" s="15">
        <f>VLOOKUP(Table2[[#This Row],[Date]],'Fed Fund New'!$A:$C,3,FALSE)</f>
        <v/>
      </c>
    </row>
    <row r="790">
      <c r="A790" s="61" t="n">
        <v>41061</v>
      </c>
      <c r="B790" s="68">
        <f>VLOOKUP(Table2[[#This Row],[Date]],Database!A:E,2,)</f>
        <v/>
      </c>
      <c r="C790" s="14">
        <f>(B790-B789)/B789</f>
        <v/>
      </c>
      <c r="D790" s="14">
        <f>(B790-B778)/B778</f>
        <v/>
      </c>
      <c r="E790" s="15">
        <f>VLOOKUP(Table2[[#This Row],[Date]],'Fed Fund New'!$A:$C,2,FALSE)</f>
        <v/>
      </c>
      <c r="F790" s="15">
        <f>VLOOKUP(Table2[[#This Row],[Date]],'Fed Fund New'!$A:$C,3,FALSE)</f>
        <v/>
      </c>
    </row>
    <row r="791">
      <c r="A791" s="61" t="n">
        <v>41091</v>
      </c>
      <c r="B791" s="68">
        <f>VLOOKUP(Table2[[#This Row],[Date]],Database!A:E,2,)</f>
        <v/>
      </c>
      <c r="C791" s="14">
        <f>(B791-B790)/B790</f>
        <v/>
      </c>
      <c r="D791" s="14">
        <f>(B791-B779)/B779</f>
        <v/>
      </c>
      <c r="E791" s="15">
        <f>VLOOKUP(Table2[[#This Row],[Date]],'Fed Fund New'!$A:$C,2,FALSE)</f>
        <v/>
      </c>
      <c r="F791" s="15">
        <f>VLOOKUP(Table2[[#This Row],[Date]],'Fed Fund New'!$A:$C,3,FALSE)</f>
        <v/>
      </c>
    </row>
    <row r="792">
      <c r="A792" s="61" t="n">
        <v>41122</v>
      </c>
      <c r="B792" s="68">
        <f>VLOOKUP(Table2[[#This Row],[Date]],Database!A:E,2,)</f>
        <v/>
      </c>
      <c r="C792" s="14">
        <f>(B792-B791)/B791</f>
        <v/>
      </c>
      <c r="D792" s="14">
        <f>(B792-B780)/B780</f>
        <v/>
      </c>
      <c r="E792" s="15">
        <f>VLOOKUP(Table2[[#This Row],[Date]],'Fed Fund New'!$A:$C,2,FALSE)</f>
        <v/>
      </c>
      <c r="F792" s="15">
        <f>VLOOKUP(Table2[[#This Row],[Date]],'Fed Fund New'!$A:$C,3,FALSE)</f>
        <v/>
      </c>
    </row>
    <row r="793">
      <c r="A793" s="61" t="n">
        <v>41153</v>
      </c>
      <c r="B793" s="68">
        <f>VLOOKUP(Table2[[#This Row],[Date]],Database!A:E,2,)</f>
        <v/>
      </c>
      <c r="C793" s="14">
        <f>(B793-B792)/B792</f>
        <v/>
      </c>
      <c r="D793" s="14">
        <f>(B793-B781)/B781</f>
        <v/>
      </c>
      <c r="E793" s="15">
        <f>VLOOKUP(Table2[[#This Row],[Date]],'Fed Fund New'!$A:$C,2,FALSE)</f>
        <v/>
      </c>
      <c r="F793" s="15">
        <f>VLOOKUP(Table2[[#This Row],[Date]],'Fed Fund New'!$A:$C,3,FALSE)</f>
        <v/>
      </c>
    </row>
    <row r="794">
      <c r="A794" s="61" t="n">
        <v>41183</v>
      </c>
      <c r="B794" s="68">
        <f>VLOOKUP(Table2[[#This Row],[Date]],Database!A:E,2,)</f>
        <v/>
      </c>
      <c r="C794" s="14">
        <f>(B794-B793)/B793</f>
        <v/>
      </c>
      <c r="D794" s="14">
        <f>(B794-B782)/B782</f>
        <v/>
      </c>
      <c r="E794" s="15">
        <f>VLOOKUP(Table2[[#This Row],[Date]],'Fed Fund New'!$A:$C,2,FALSE)</f>
        <v/>
      </c>
      <c r="F794" s="15">
        <f>VLOOKUP(Table2[[#This Row],[Date]],'Fed Fund New'!$A:$C,3,FALSE)</f>
        <v/>
      </c>
    </row>
    <row r="795">
      <c r="A795" s="61" t="n">
        <v>41214</v>
      </c>
      <c r="B795" s="68">
        <f>VLOOKUP(Table2[[#This Row],[Date]],Database!A:E,2,)</f>
        <v/>
      </c>
      <c r="C795" s="14">
        <f>(B795-B794)/B794</f>
        <v/>
      </c>
      <c r="D795" s="14">
        <f>(B795-B783)/B783</f>
        <v/>
      </c>
      <c r="E795" s="15">
        <f>VLOOKUP(Table2[[#This Row],[Date]],'Fed Fund New'!$A:$C,2,FALSE)</f>
        <v/>
      </c>
      <c r="F795" s="15">
        <f>VLOOKUP(Table2[[#This Row],[Date]],'Fed Fund New'!$A:$C,3,FALSE)</f>
        <v/>
      </c>
    </row>
    <row r="796">
      <c r="A796" s="61" t="n">
        <v>41244</v>
      </c>
      <c r="B796" s="68">
        <f>VLOOKUP(Table2[[#This Row],[Date]],Database!A:E,2,)</f>
        <v/>
      </c>
      <c r="C796" s="14">
        <f>(B796-B795)/B795</f>
        <v/>
      </c>
      <c r="D796" s="14">
        <f>(B796-B784)/B784</f>
        <v/>
      </c>
      <c r="E796" s="15">
        <f>VLOOKUP(Table2[[#This Row],[Date]],'Fed Fund New'!$A:$C,2,FALSE)</f>
        <v/>
      </c>
      <c r="F796" s="15">
        <f>VLOOKUP(Table2[[#This Row],[Date]],'Fed Fund New'!$A:$C,3,FALSE)</f>
        <v/>
      </c>
    </row>
    <row r="797">
      <c r="A797" s="61" t="n">
        <v>41275</v>
      </c>
      <c r="B797" s="68">
        <f>VLOOKUP(Table2[[#This Row],[Date]],Database!A:E,2,)</f>
        <v/>
      </c>
      <c r="C797" s="14">
        <f>(B797-B796)/B796</f>
        <v/>
      </c>
      <c r="D797" s="14">
        <f>(B797-B785)/B785</f>
        <v/>
      </c>
      <c r="E797" s="15">
        <f>VLOOKUP(Table2[[#This Row],[Date]],'Fed Fund New'!$A:$C,2,FALSE)</f>
        <v/>
      </c>
      <c r="F797" s="15">
        <f>VLOOKUP(Table2[[#This Row],[Date]],'Fed Fund New'!$A:$C,3,FALSE)</f>
        <v/>
      </c>
    </row>
    <row r="798">
      <c r="A798" s="61" t="n">
        <v>41306</v>
      </c>
      <c r="B798" s="68">
        <f>VLOOKUP(Table2[[#This Row],[Date]],Database!A:E,2,)</f>
        <v/>
      </c>
      <c r="C798" s="14">
        <f>(B798-B797)/B797</f>
        <v/>
      </c>
      <c r="D798" s="14">
        <f>(B798-B786)/B786</f>
        <v/>
      </c>
      <c r="E798" s="15">
        <f>VLOOKUP(Table2[[#This Row],[Date]],'Fed Fund New'!$A:$C,2,FALSE)</f>
        <v/>
      </c>
      <c r="F798" s="15">
        <f>VLOOKUP(Table2[[#This Row],[Date]],'Fed Fund New'!$A:$C,3,FALSE)</f>
        <v/>
      </c>
    </row>
    <row r="799">
      <c r="A799" s="61" t="n">
        <v>41334</v>
      </c>
      <c r="B799" s="68">
        <f>VLOOKUP(Table2[[#This Row],[Date]],Database!A:E,2,)</f>
        <v/>
      </c>
      <c r="C799" s="14">
        <f>(B799-B798)/B798</f>
        <v/>
      </c>
      <c r="D799" s="14">
        <f>(B799-B787)/B787</f>
        <v/>
      </c>
      <c r="E799" s="15">
        <f>VLOOKUP(Table2[[#This Row],[Date]],'Fed Fund New'!$A:$C,2,FALSE)</f>
        <v/>
      </c>
      <c r="F799" s="15">
        <f>VLOOKUP(Table2[[#This Row],[Date]],'Fed Fund New'!$A:$C,3,FALSE)</f>
        <v/>
      </c>
    </row>
    <row r="800">
      <c r="A800" s="61" t="n">
        <v>41365</v>
      </c>
      <c r="B800" s="68">
        <f>VLOOKUP(Table2[[#This Row],[Date]],Database!A:E,2,)</f>
        <v/>
      </c>
      <c r="C800" s="14">
        <f>(B800-B799)/B799</f>
        <v/>
      </c>
      <c r="D800" s="14">
        <f>(B800-B788)/B788</f>
        <v/>
      </c>
      <c r="E800" s="15">
        <f>VLOOKUP(Table2[[#This Row],[Date]],'Fed Fund New'!$A:$C,2,FALSE)</f>
        <v/>
      </c>
      <c r="F800" s="15">
        <f>VLOOKUP(Table2[[#This Row],[Date]],'Fed Fund New'!$A:$C,3,FALSE)</f>
        <v/>
      </c>
    </row>
    <row r="801">
      <c r="A801" s="61" t="n">
        <v>41395</v>
      </c>
      <c r="B801" s="68">
        <f>VLOOKUP(Table2[[#This Row],[Date]],Database!A:E,2,)</f>
        <v/>
      </c>
      <c r="C801" s="14">
        <f>(B801-B800)/B800</f>
        <v/>
      </c>
      <c r="D801" s="14">
        <f>(B801-B789)/B789</f>
        <v/>
      </c>
      <c r="E801" s="15">
        <f>VLOOKUP(Table2[[#This Row],[Date]],'Fed Fund New'!$A:$C,2,FALSE)</f>
        <v/>
      </c>
      <c r="F801" s="15">
        <f>VLOOKUP(Table2[[#This Row],[Date]],'Fed Fund New'!$A:$C,3,FALSE)</f>
        <v/>
      </c>
    </row>
    <row r="802">
      <c r="A802" s="61" t="n">
        <v>41426</v>
      </c>
      <c r="B802" s="68">
        <f>VLOOKUP(Table2[[#This Row],[Date]],Database!A:E,2,)</f>
        <v/>
      </c>
      <c r="C802" s="14">
        <f>(B802-B801)/B801</f>
        <v/>
      </c>
      <c r="D802" s="14">
        <f>(B802-B790)/B790</f>
        <v/>
      </c>
      <c r="E802" s="15">
        <f>VLOOKUP(Table2[[#This Row],[Date]],'Fed Fund New'!$A:$C,2,FALSE)</f>
        <v/>
      </c>
      <c r="F802" s="15">
        <f>VLOOKUP(Table2[[#This Row],[Date]],'Fed Fund New'!$A:$C,3,FALSE)</f>
        <v/>
      </c>
    </row>
    <row r="803">
      <c r="A803" s="61" t="n">
        <v>41456</v>
      </c>
      <c r="B803" s="68">
        <f>VLOOKUP(Table2[[#This Row],[Date]],Database!A:E,2,)</f>
        <v/>
      </c>
      <c r="C803" s="14">
        <f>(B803-B802)/B802</f>
        <v/>
      </c>
      <c r="D803" s="14">
        <f>(B803-B791)/B791</f>
        <v/>
      </c>
      <c r="E803" s="15">
        <f>VLOOKUP(Table2[[#This Row],[Date]],'Fed Fund New'!$A:$C,2,FALSE)</f>
        <v/>
      </c>
      <c r="F803" s="15">
        <f>VLOOKUP(Table2[[#This Row],[Date]],'Fed Fund New'!$A:$C,3,FALSE)</f>
        <v/>
      </c>
    </row>
    <row r="804">
      <c r="A804" s="61" t="n">
        <v>41487</v>
      </c>
      <c r="B804" s="68">
        <f>VLOOKUP(Table2[[#This Row],[Date]],Database!A:E,2,)</f>
        <v/>
      </c>
      <c r="C804" s="14">
        <f>(B804-B803)/B803</f>
        <v/>
      </c>
      <c r="D804" s="14">
        <f>(B804-B792)/B792</f>
        <v/>
      </c>
      <c r="E804" s="15">
        <f>VLOOKUP(Table2[[#This Row],[Date]],'Fed Fund New'!$A:$C,2,FALSE)</f>
        <v/>
      </c>
      <c r="F804" s="15">
        <f>VLOOKUP(Table2[[#This Row],[Date]],'Fed Fund New'!$A:$C,3,FALSE)</f>
        <v/>
      </c>
    </row>
    <row r="805">
      <c r="A805" s="61" t="n">
        <v>41518</v>
      </c>
      <c r="B805" s="68">
        <f>VLOOKUP(Table2[[#This Row],[Date]],Database!A:E,2,)</f>
        <v/>
      </c>
      <c r="C805" s="14">
        <f>(B805-B804)/B804</f>
        <v/>
      </c>
      <c r="D805" s="14">
        <f>(B805-B793)/B793</f>
        <v/>
      </c>
      <c r="E805" s="15">
        <f>VLOOKUP(Table2[[#This Row],[Date]],'Fed Fund New'!$A:$C,2,FALSE)</f>
        <v/>
      </c>
      <c r="F805" s="15">
        <f>VLOOKUP(Table2[[#This Row],[Date]],'Fed Fund New'!$A:$C,3,FALSE)</f>
        <v/>
      </c>
    </row>
    <row r="806">
      <c r="A806" s="61" t="n">
        <v>41548</v>
      </c>
      <c r="B806" s="68">
        <f>VLOOKUP(Table2[[#This Row],[Date]],Database!A:E,2,)</f>
        <v/>
      </c>
      <c r="C806" s="14">
        <f>(B806-B805)/B805</f>
        <v/>
      </c>
      <c r="D806" s="14">
        <f>(B806-B794)/B794</f>
        <v/>
      </c>
      <c r="E806" s="15">
        <f>VLOOKUP(Table2[[#This Row],[Date]],'Fed Fund New'!$A:$C,2,FALSE)</f>
        <v/>
      </c>
      <c r="F806" s="15">
        <f>VLOOKUP(Table2[[#This Row],[Date]],'Fed Fund New'!$A:$C,3,FALSE)</f>
        <v/>
      </c>
    </row>
    <row r="807">
      <c r="A807" s="61" t="n">
        <v>41579</v>
      </c>
      <c r="B807" s="68">
        <f>VLOOKUP(Table2[[#This Row],[Date]],Database!A:E,2,)</f>
        <v/>
      </c>
      <c r="C807" s="14">
        <f>(B807-B806)/B806</f>
        <v/>
      </c>
      <c r="D807" s="14">
        <f>(B807-B795)/B795</f>
        <v/>
      </c>
      <c r="E807" s="15">
        <f>VLOOKUP(Table2[[#This Row],[Date]],'Fed Fund New'!$A:$C,2,FALSE)</f>
        <v/>
      </c>
      <c r="F807" s="15">
        <f>VLOOKUP(Table2[[#This Row],[Date]],'Fed Fund New'!$A:$C,3,FALSE)</f>
        <v/>
      </c>
    </row>
    <row r="808">
      <c r="A808" s="61" t="n">
        <v>41609</v>
      </c>
      <c r="B808" s="68">
        <f>VLOOKUP(Table2[[#This Row],[Date]],Database!A:E,2,)</f>
        <v/>
      </c>
      <c r="C808" s="14">
        <f>(B808-B807)/B807</f>
        <v/>
      </c>
      <c r="D808" s="14">
        <f>(B808-B796)/B796</f>
        <v/>
      </c>
      <c r="E808" s="15">
        <f>VLOOKUP(Table2[[#This Row],[Date]],'Fed Fund New'!$A:$C,2,FALSE)</f>
        <v/>
      </c>
      <c r="F808" s="15">
        <f>VLOOKUP(Table2[[#This Row],[Date]],'Fed Fund New'!$A:$C,3,FALSE)</f>
        <v/>
      </c>
    </row>
    <row r="809">
      <c r="A809" s="61" t="n">
        <v>41640</v>
      </c>
      <c r="B809" s="68">
        <f>VLOOKUP(Table2[[#This Row],[Date]],Database!A:E,2,)</f>
        <v/>
      </c>
      <c r="C809" s="14">
        <f>(B809-B808)/B808</f>
        <v/>
      </c>
      <c r="D809" s="14">
        <f>(B809-B797)/B797</f>
        <v/>
      </c>
      <c r="E809" s="15">
        <f>VLOOKUP(Table2[[#This Row],[Date]],'Fed Fund New'!$A:$C,2,FALSE)</f>
        <v/>
      </c>
      <c r="F809" s="15">
        <f>VLOOKUP(Table2[[#This Row],[Date]],'Fed Fund New'!$A:$C,3,FALSE)</f>
        <v/>
      </c>
    </row>
    <row r="810">
      <c r="A810" s="61" t="n">
        <v>41671</v>
      </c>
      <c r="B810" s="68">
        <f>VLOOKUP(Table2[[#This Row],[Date]],Database!A:E,2,)</f>
        <v/>
      </c>
      <c r="C810" s="14">
        <f>(B810-B809)/B809</f>
        <v/>
      </c>
      <c r="D810" s="14">
        <f>(B810-B798)/B798</f>
        <v/>
      </c>
      <c r="E810" s="15">
        <f>VLOOKUP(Table2[[#This Row],[Date]],'Fed Fund New'!$A:$C,2,FALSE)</f>
        <v/>
      </c>
      <c r="F810" s="15">
        <f>VLOOKUP(Table2[[#This Row],[Date]],'Fed Fund New'!$A:$C,3,FALSE)</f>
        <v/>
      </c>
    </row>
    <row r="811">
      <c r="A811" s="61" t="n">
        <v>41699</v>
      </c>
      <c r="B811" s="68">
        <f>VLOOKUP(Table2[[#This Row],[Date]],Database!A:E,2,)</f>
        <v/>
      </c>
      <c r="C811" s="14">
        <f>(B811-B810)/B810</f>
        <v/>
      </c>
      <c r="D811" s="14">
        <f>(B811-B799)/B799</f>
        <v/>
      </c>
      <c r="E811" s="15">
        <f>VLOOKUP(Table2[[#This Row],[Date]],'Fed Fund New'!$A:$C,2,FALSE)</f>
        <v/>
      </c>
      <c r="F811" s="15">
        <f>VLOOKUP(Table2[[#This Row],[Date]],'Fed Fund New'!$A:$C,3,FALSE)</f>
        <v/>
      </c>
    </row>
    <row r="812">
      <c r="A812" s="61" t="n">
        <v>41730</v>
      </c>
      <c r="B812" s="68">
        <f>VLOOKUP(Table2[[#This Row],[Date]],Database!A:E,2,)</f>
        <v/>
      </c>
      <c r="C812" s="14">
        <f>(B812-B811)/B811</f>
        <v/>
      </c>
      <c r="D812" s="14">
        <f>(B812-B800)/B800</f>
        <v/>
      </c>
      <c r="E812" s="15">
        <f>VLOOKUP(Table2[[#This Row],[Date]],'Fed Fund New'!$A:$C,2,FALSE)</f>
        <v/>
      </c>
      <c r="F812" s="15">
        <f>VLOOKUP(Table2[[#This Row],[Date]],'Fed Fund New'!$A:$C,3,FALSE)</f>
        <v/>
      </c>
    </row>
    <row r="813">
      <c r="A813" s="61" t="n">
        <v>41760</v>
      </c>
      <c r="B813" s="68">
        <f>VLOOKUP(Table2[[#This Row],[Date]],Database!A:E,2,)</f>
        <v/>
      </c>
      <c r="C813" s="14">
        <f>(B813-B812)/B812</f>
        <v/>
      </c>
      <c r="D813" s="14">
        <f>(B813-B801)/B801</f>
        <v/>
      </c>
      <c r="E813" s="15">
        <f>VLOOKUP(Table2[[#This Row],[Date]],'Fed Fund New'!$A:$C,2,FALSE)</f>
        <v/>
      </c>
      <c r="F813" s="15">
        <f>VLOOKUP(Table2[[#This Row],[Date]],'Fed Fund New'!$A:$C,3,FALSE)</f>
        <v/>
      </c>
    </row>
    <row r="814">
      <c r="A814" s="61" t="n">
        <v>41791</v>
      </c>
      <c r="B814" s="68">
        <f>VLOOKUP(Table2[[#This Row],[Date]],Database!A:E,2,)</f>
        <v/>
      </c>
      <c r="C814" s="14">
        <f>(B814-B813)/B813</f>
        <v/>
      </c>
      <c r="D814" s="14">
        <f>(B814-B802)/B802</f>
        <v/>
      </c>
      <c r="E814" s="15">
        <f>VLOOKUP(Table2[[#This Row],[Date]],'Fed Fund New'!$A:$C,2,FALSE)</f>
        <v/>
      </c>
      <c r="F814" s="15">
        <f>VLOOKUP(Table2[[#This Row],[Date]],'Fed Fund New'!$A:$C,3,FALSE)</f>
        <v/>
      </c>
    </row>
    <row r="815">
      <c r="A815" s="61" t="n">
        <v>41821</v>
      </c>
      <c r="B815" s="68">
        <f>VLOOKUP(Table2[[#This Row],[Date]],Database!A:E,2,)</f>
        <v/>
      </c>
      <c r="C815" s="14">
        <f>(B815-B814)/B814</f>
        <v/>
      </c>
      <c r="D815" s="14">
        <f>(B815-B803)/B803</f>
        <v/>
      </c>
      <c r="E815" s="15">
        <f>VLOOKUP(Table2[[#This Row],[Date]],'Fed Fund New'!$A:$C,2,FALSE)</f>
        <v/>
      </c>
      <c r="F815" s="15">
        <f>VLOOKUP(Table2[[#This Row],[Date]],'Fed Fund New'!$A:$C,3,FALSE)</f>
        <v/>
      </c>
    </row>
    <row r="816">
      <c r="A816" s="61" t="n">
        <v>41852</v>
      </c>
      <c r="B816" s="68">
        <f>VLOOKUP(Table2[[#This Row],[Date]],Database!A:E,2,)</f>
        <v/>
      </c>
      <c r="C816" s="14">
        <f>(B816-B815)/B815</f>
        <v/>
      </c>
      <c r="D816" s="14">
        <f>(B816-B804)/B804</f>
        <v/>
      </c>
      <c r="E816" s="15">
        <f>VLOOKUP(Table2[[#This Row],[Date]],'Fed Fund New'!$A:$C,2,FALSE)</f>
        <v/>
      </c>
      <c r="F816" s="15">
        <f>VLOOKUP(Table2[[#This Row],[Date]],'Fed Fund New'!$A:$C,3,FALSE)</f>
        <v/>
      </c>
    </row>
    <row r="817">
      <c r="A817" s="61" t="n">
        <v>41883</v>
      </c>
      <c r="B817" s="68">
        <f>VLOOKUP(Table2[[#This Row],[Date]],Database!A:E,2,)</f>
        <v/>
      </c>
      <c r="C817" s="14">
        <f>(B817-B816)/B816</f>
        <v/>
      </c>
      <c r="D817" s="14">
        <f>(B817-B805)/B805</f>
        <v/>
      </c>
      <c r="E817" s="15">
        <f>VLOOKUP(Table2[[#This Row],[Date]],'Fed Fund New'!$A:$C,2,FALSE)</f>
        <v/>
      </c>
      <c r="F817" s="15">
        <f>VLOOKUP(Table2[[#This Row],[Date]],'Fed Fund New'!$A:$C,3,FALSE)</f>
        <v/>
      </c>
    </row>
    <row r="818">
      <c r="A818" s="61" t="n">
        <v>41913</v>
      </c>
      <c r="B818" s="68">
        <f>VLOOKUP(Table2[[#This Row],[Date]],Database!A:E,2,)</f>
        <v/>
      </c>
      <c r="C818" s="14">
        <f>(B818-B817)/B817</f>
        <v/>
      </c>
      <c r="D818" s="14">
        <f>(B818-B806)/B806</f>
        <v/>
      </c>
      <c r="E818" s="15">
        <f>VLOOKUP(Table2[[#This Row],[Date]],'Fed Fund New'!$A:$C,2,FALSE)</f>
        <v/>
      </c>
      <c r="F818" s="15">
        <f>VLOOKUP(Table2[[#This Row],[Date]],'Fed Fund New'!$A:$C,3,FALSE)</f>
        <v/>
      </c>
    </row>
    <row r="819">
      <c r="A819" s="61" t="n">
        <v>41944</v>
      </c>
      <c r="B819" s="68">
        <f>VLOOKUP(Table2[[#This Row],[Date]],Database!A:E,2,)</f>
        <v/>
      </c>
      <c r="C819" s="14">
        <f>(B819-B818)/B818</f>
        <v/>
      </c>
      <c r="D819" s="14">
        <f>(B819-B807)/B807</f>
        <v/>
      </c>
      <c r="E819" s="15">
        <f>VLOOKUP(Table2[[#This Row],[Date]],'Fed Fund New'!$A:$C,2,FALSE)</f>
        <v/>
      </c>
      <c r="F819" s="15">
        <f>VLOOKUP(Table2[[#This Row],[Date]],'Fed Fund New'!$A:$C,3,FALSE)</f>
        <v/>
      </c>
    </row>
    <row r="820">
      <c r="A820" s="61" t="n">
        <v>41974</v>
      </c>
      <c r="B820" s="68">
        <f>VLOOKUP(Table2[[#This Row],[Date]],Database!A:E,2,)</f>
        <v/>
      </c>
      <c r="C820" s="14">
        <f>(B820-B819)/B819</f>
        <v/>
      </c>
      <c r="D820" s="14">
        <f>(B820-B808)/B808</f>
        <v/>
      </c>
      <c r="E820" s="15">
        <f>VLOOKUP(Table2[[#This Row],[Date]],'Fed Fund New'!$A:$C,2,FALSE)</f>
        <v/>
      </c>
      <c r="F820" s="15">
        <f>VLOOKUP(Table2[[#This Row],[Date]],'Fed Fund New'!$A:$C,3,FALSE)</f>
        <v/>
      </c>
    </row>
    <row r="821">
      <c r="A821" s="61" t="n">
        <v>42005</v>
      </c>
      <c r="B821" s="68">
        <f>VLOOKUP(Table2[[#This Row],[Date]],Database!A:E,2,)</f>
        <v/>
      </c>
      <c r="C821" s="14">
        <f>(B821-B820)/B820</f>
        <v/>
      </c>
      <c r="D821" s="14">
        <f>(B821-B809)/B809</f>
        <v/>
      </c>
      <c r="E821" s="15">
        <f>VLOOKUP(Table2[[#This Row],[Date]],'Fed Fund New'!$A:$C,2,FALSE)</f>
        <v/>
      </c>
      <c r="F821" s="15">
        <f>VLOOKUP(Table2[[#This Row],[Date]],'Fed Fund New'!$A:$C,3,FALSE)</f>
        <v/>
      </c>
    </row>
    <row r="822">
      <c r="A822" s="61" t="n">
        <v>42036</v>
      </c>
      <c r="B822" s="68">
        <f>VLOOKUP(Table2[[#This Row],[Date]],Database!A:E,2,)</f>
        <v/>
      </c>
      <c r="C822" s="14">
        <f>(B822-B821)/B821</f>
        <v/>
      </c>
      <c r="D822" s="14">
        <f>(B822-B810)/B810</f>
        <v/>
      </c>
      <c r="E822" s="15">
        <f>VLOOKUP(Table2[[#This Row],[Date]],'Fed Fund New'!$A:$C,2,FALSE)</f>
        <v/>
      </c>
      <c r="F822" s="15">
        <f>VLOOKUP(Table2[[#This Row],[Date]],'Fed Fund New'!$A:$C,3,FALSE)</f>
        <v/>
      </c>
    </row>
    <row r="823">
      <c r="A823" s="61" t="n">
        <v>42064</v>
      </c>
      <c r="B823" s="68">
        <f>VLOOKUP(Table2[[#This Row],[Date]],Database!A:E,2,)</f>
        <v/>
      </c>
      <c r="C823" s="14">
        <f>(B823-B822)/B822</f>
        <v/>
      </c>
      <c r="D823" s="14">
        <f>(B823-B811)/B811</f>
        <v/>
      </c>
      <c r="E823" s="15">
        <f>VLOOKUP(Table2[[#This Row],[Date]],'Fed Fund New'!$A:$C,2,FALSE)</f>
        <v/>
      </c>
      <c r="F823" s="15">
        <f>VLOOKUP(Table2[[#This Row],[Date]],'Fed Fund New'!$A:$C,3,FALSE)</f>
        <v/>
      </c>
    </row>
    <row r="824">
      <c r="A824" s="61" t="n">
        <v>42095</v>
      </c>
      <c r="B824" s="68">
        <f>VLOOKUP(Table2[[#This Row],[Date]],Database!A:E,2,)</f>
        <v/>
      </c>
      <c r="C824" s="14">
        <f>(B824-B823)/B823</f>
        <v/>
      </c>
      <c r="D824" s="14">
        <f>(B824-B812)/B812</f>
        <v/>
      </c>
      <c r="E824" s="15">
        <f>VLOOKUP(Table2[[#This Row],[Date]],'Fed Fund New'!$A:$C,2,FALSE)</f>
        <v/>
      </c>
      <c r="F824" s="15">
        <f>VLOOKUP(Table2[[#This Row],[Date]],'Fed Fund New'!$A:$C,3,FALSE)</f>
        <v/>
      </c>
    </row>
    <row r="825">
      <c r="A825" s="61" t="n">
        <v>42125</v>
      </c>
      <c r="B825" s="68">
        <f>VLOOKUP(Table2[[#This Row],[Date]],Database!A:E,2,)</f>
        <v/>
      </c>
      <c r="C825" s="14">
        <f>(B825-B824)/B824</f>
        <v/>
      </c>
      <c r="D825" s="14">
        <f>(B825-B813)/B813</f>
        <v/>
      </c>
      <c r="E825" s="15">
        <f>VLOOKUP(Table2[[#This Row],[Date]],'Fed Fund New'!$A:$C,2,FALSE)</f>
        <v/>
      </c>
      <c r="F825" s="15">
        <f>VLOOKUP(Table2[[#This Row],[Date]],'Fed Fund New'!$A:$C,3,FALSE)</f>
        <v/>
      </c>
    </row>
    <row r="826">
      <c r="A826" s="61" t="n">
        <v>42156</v>
      </c>
      <c r="B826" s="68">
        <f>VLOOKUP(Table2[[#This Row],[Date]],Database!A:E,2,)</f>
        <v/>
      </c>
      <c r="C826" s="14">
        <f>(B826-B825)/B825</f>
        <v/>
      </c>
      <c r="D826" s="14">
        <f>(B826-B814)/B814</f>
        <v/>
      </c>
      <c r="E826" s="15">
        <f>VLOOKUP(Table2[[#This Row],[Date]],'Fed Fund New'!$A:$C,2,FALSE)</f>
        <v/>
      </c>
      <c r="F826" s="15">
        <f>VLOOKUP(Table2[[#This Row],[Date]],'Fed Fund New'!$A:$C,3,FALSE)</f>
        <v/>
      </c>
    </row>
    <row r="827">
      <c r="A827" s="61" t="n">
        <v>42186</v>
      </c>
      <c r="B827" s="68">
        <f>VLOOKUP(Table2[[#This Row],[Date]],Database!A:E,2,)</f>
        <v/>
      </c>
      <c r="C827" s="14">
        <f>(B827-B826)/B826</f>
        <v/>
      </c>
      <c r="D827" s="14">
        <f>(B827-B815)/B815</f>
        <v/>
      </c>
      <c r="E827" s="15">
        <f>VLOOKUP(Table2[[#This Row],[Date]],'Fed Fund New'!$A:$C,2,FALSE)</f>
        <v/>
      </c>
      <c r="F827" s="15">
        <f>VLOOKUP(Table2[[#This Row],[Date]],'Fed Fund New'!$A:$C,3,FALSE)</f>
        <v/>
      </c>
    </row>
    <row r="828">
      <c r="A828" s="61" t="n">
        <v>42217</v>
      </c>
      <c r="B828" s="68">
        <f>VLOOKUP(Table2[[#This Row],[Date]],Database!A:E,2,)</f>
        <v/>
      </c>
      <c r="C828" s="14">
        <f>(B828-B827)/B827</f>
        <v/>
      </c>
      <c r="D828" s="14">
        <f>(B828-B816)/B816</f>
        <v/>
      </c>
      <c r="E828" s="15">
        <f>VLOOKUP(Table2[[#This Row],[Date]],'Fed Fund New'!$A:$C,2,FALSE)</f>
        <v/>
      </c>
      <c r="F828" s="15">
        <f>VLOOKUP(Table2[[#This Row],[Date]],'Fed Fund New'!$A:$C,3,FALSE)</f>
        <v/>
      </c>
    </row>
    <row r="829">
      <c r="A829" s="61" t="n">
        <v>42248</v>
      </c>
      <c r="B829" s="68">
        <f>VLOOKUP(Table2[[#This Row],[Date]],Database!A:E,2,)</f>
        <v/>
      </c>
      <c r="C829" s="14">
        <f>(B829-B828)/B828</f>
        <v/>
      </c>
      <c r="D829" s="14">
        <f>(B829-B817)/B817</f>
        <v/>
      </c>
      <c r="E829" s="15">
        <f>VLOOKUP(Table2[[#This Row],[Date]],'Fed Fund New'!$A:$C,2,FALSE)</f>
        <v/>
      </c>
      <c r="F829" s="15">
        <f>VLOOKUP(Table2[[#This Row],[Date]],'Fed Fund New'!$A:$C,3,FALSE)</f>
        <v/>
      </c>
    </row>
    <row r="830">
      <c r="A830" s="61" t="n">
        <v>42278</v>
      </c>
      <c r="B830" s="68">
        <f>VLOOKUP(Table2[[#This Row],[Date]],Database!A:E,2,)</f>
        <v/>
      </c>
      <c r="C830" s="14">
        <f>(B830-B829)/B829</f>
        <v/>
      </c>
      <c r="D830" s="14">
        <f>(B830-B818)/B818</f>
        <v/>
      </c>
      <c r="E830" s="15">
        <f>VLOOKUP(Table2[[#This Row],[Date]],'Fed Fund New'!$A:$C,2,FALSE)</f>
        <v/>
      </c>
      <c r="F830" s="15">
        <f>VLOOKUP(Table2[[#This Row],[Date]],'Fed Fund New'!$A:$C,3,FALSE)</f>
        <v/>
      </c>
    </row>
    <row r="831">
      <c r="A831" s="61" t="n">
        <v>42309</v>
      </c>
      <c r="B831" s="68">
        <f>VLOOKUP(Table2[[#This Row],[Date]],Database!A:E,2,)</f>
        <v/>
      </c>
      <c r="C831" s="14">
        <f>(B831-B830)/B830</f>
        <v/>
      </c>
      <c r="D831" s="14">
        <f>(B831-B819)/B819</f>
        <v/>
      </c>
      <c r="E831" s="15">
        <f>VLOOKUP(Table2[[#This Row],[Date]],'Fed Fund New'!$A:$C,2,FALSE)</f>
        <v/>
      </c>
      <c r="F831" s="15">
        <f>VLOOKUP(Table2[[#This Row],[Date]],'Fed Fund New'!$A:$C,3,FALSE)</f>
        <v/>
      </c>
    </row>
    <row r="832">
      <c r="A832" s="61" t="n">
        <v>42339</v>
      </c>
      <c r="B832" s="68">
        <f>VLOOKUP(Table2[[#This Row],[Date]],Database!A:E,2,)</f>
        <v/>
      </c>
      <c r="C832" s="14">
        <f>(B832-B831)/B831</f>
        <v/>
      </c>
      <c r="D832" s="14">
        <f>(B832-B820)/B820</f>
        <v/>
      </c>
      <c r="E832" s="15">
        <f>VLOOKUP(Table2[[#This Row],[Date]],'Fed Fund New'!$A:$C,2,FALSE)</f>
        <v/>
      </c>
      <c r="F832" s="15">
        <f>VLOOKUP(Table2[[#This Row],[Date]],'Fed Fund New'!$A:$C,3,FALSE)</f>
        <v/>
      </c>
    </row>
    <row r="833">
      <c r="A833" s="61" t="n">
        <v>42370</v>
      </c>
      <c r="B833" s="68">
        <f>VLOOKUP(Table2[[#This Row],[Date]],Database!A:E,2,)</f>
        <v/>
      </c>
      <c r="C833" s="14">
        <f>(B833-B832)/B832</f>
        <v/>
      </c>
      <c r="D833" s="14">
        <f>(B833-B821)/B821</f>
        <v/>
      </c>
      <c r="E833" s="15">
        <f>VLOOKUP(Table2[[#This Row],[Date]],'Fed Fund New'!$A:$C,2,FALSE)</f>
        <v/>
      </c>
      <c r="F833" s="15">
        <f>VLOOKUP(Table2[[#This Row],[Date]],'Fed Fund New'!$A:$C,3,FALSE)</f>
        <v/>
      </c>
    </row>
    <row r="834">
      <c r="A834" s="61" t="n">
        <v>42401</v>
      </c>
      <c r="B834" s="68">
        <f>VLOOKUP(Table2[[#This Row],[Date]],Database!A:E,2,)</f>
        <v/>
      </c>
      <c r="C834" s="14">
        <f>(B834-B833)/B833</f>
        <v/>
      </c>
      <c r="D834" s="14">
        <f>(B834-B822)/B822</f>
        <v/>
      </c>
      <c r="E834" s="15">
        <f>VLOOKUP(Table2[[#This Row],[Date]],'Fed Fund New'!$A:$C,2,FALSE)</f>
        <v/>
      </c>
      <c r="F834" s="15">
        <f>VLOOKUP(Table2[[#This Row],[Date]],'Fed Fund New'!$A:$C,3,FALSE)</f>
        <v/>
      </c>
    </row>
    <row r="835">
      <c r="A835" s="61" t="n">
        <v>42430</v>
      </c>
      <c r="B835" s="68">
        <f>VLOOKUP(Table2[[#This Row],[Date]],Database!A:E,2,)</f>
        <v/>
      </c>
      <c r="C835" s="14">
        <f>(B835-B834)/B834</f>
        <v/>
      </c>
      <c r="D835" s="14">
        <f>(B835-B823)/B823</f>
        <v/>
      </c>
      <c r="E835" s="15">
        <f>VLOOKUP(Table2[[#This Row],[Date]],'Fed Fund New'!$A:$C,2,FALSE)</f>
        <v/>
      </c>
      <c r="F835" s="15">
        <f>VLOOKUP(Table2[[#This Row],[Date]],'Fed Fund New'!$A:$C,3,FALSE)</f>
        <v/>
      </c>
    </row>
    <row r="836">
      <c r="A836" s="61" t="n">
        <v>42461</v>
      </c>
      <c r="B836" s="68">
        <f>VLOOKUP(Table2[[#This Row],[Date]],Database!A:E,2,)</f>
        <v/>
      </c>
      <c r="C836" s="14">
        <f>(B836-B835)/B835</f>
        <v/>
      </c>
      <c r="D836" s="14">
        <f>(B836-B824)/B824</f>
        <v/>
      </c>
      <c r="E836" s="15">
        <f>VLOOKUP(Table2[[#This Row],[Date]],'Fed Fund New'!$A:$C,2,FALSE)</f>
        <v/>
      </c>
      <c r="F836" s="15">
        <f>VLOOKUP(Table2[[#This Row],[Date]],'Fed Fund New'!$A:$C,3,FALSE)</f>
        <v/>
      </c>
    </row>
    <row r="837">
      <c r="A837" s="61" t="n">
        <v>42491</v>
      </c>
      <c r="B837" s="68">
        <f>VLOOKUP(Table2[[#This Row],[Date]],Database!A:E,2,)</f>
        <v/>
      </c>
      <c r="C837" s="14">
        <f>(B837-B836)/B836</f>
        <v/>
      </c>
      <c r="D837" s="14">
        <f>(B837-B825)/B825</f>
        <v/>
      </c>
      <c r="E837" s="15">
        <f>VLOOKUP(Table2[[#This Row],[Date]],'Fed Fund New'!$A:$C,2,FALSE)</f>
        <v/>
      </c>
      <c r="F837" s="15">
        <f>VLOOKUP(Table2[[#This Row],[Date]],'Fed Fund New'!$A:$C,3,FALSE)</f>
        <v/>
      </c>
    </row>
    <row r="838">
      <c r="A838" s="61" t="n">
        <v>42522</v>
      </c>
      <c r="B838" s="68">
        <f>VLOOKUP(Table2[[#This Row],[Date]],Database!A:E,2,)</f>
        <v/>
      </c>
      <c r="C838" s="14">
        <f>(B838-B837)/B837</f>
        <v/>
      </c>
      <c r="D838" s="14">
        <f>(B838-B826)/B826</f>
        <v/>
      </c>
      <c r="E838" s="15">
        <f>VLOOKUP(Table2[[#This Row],[Date]],'Fed Fund New'!$A:$C,2,FALSE)</f>
        <v/>
      </c>
      <c r="F838" s="15">
        <f>VLOOKUP(Table2[[#This Row],[Date]],'Fed Fund New'!$A:$C,3,FALSE)</f>
        <v/>
      </c>
    </row>
    <row r="839">
      <c r="A839" s="61" t="n">
        <v>42552</v>
      </c>
      <c r="B839" s="68">
        <f>VLOOKUP(Table2[[#This Row],[Date]],Database!A:E,2,)</f>
        <v/>
      </c>
      <c r="C839" s="14">
        <f>(B839-B838)/B838</f>
        <v/>
      </c>
      <c r="D839" s="14">
        <f>(B839-B827)/B827</f>
        <v/>
      </c>
      <c r="E839" s="15">
        <f>VLOOKUP(Table2[[#This Row],[Date]],'Fed Fund New'!$A:$C,2,FALSE)</f>
        <v/>
      </c>
      <c r="F839" s="15">
        <f>VLOOKUP(Table2[[#This Row],[Date]],'Fed Fund New'!$A:$C,3,FALSE)</f>
        <v/>
      </c>
    </row>
    <row r="840">
      <c r="A840" s="61" t="n">
        <v>42583</v>
      </c>
      <c r="B840" s="68">
        <f>VLOOKUP(Table2[[#This Row],[Date]],Database!A:E,2,)</f>
        <v/>
      </c>
      <c r="C840" s="14">
        <f>(B840-B839)/B839</f>
        <v/>
      </c>
      <c r="D840" s="14">
        <f>(B840-B828)/B828</f>
        <v/>
      </c>
      <c r="E840" s="15">
        <f>VLOOKUP(Table2[[#This Row],[Date]],'Fed Fund New'!$A:$C,2,FALSE)</f>
        <v/>
      </c>
      <c r="F840" s="15">
        <f>VLOOKUP(Table2[[#This Row],[Date]],'Fed Fund New'!$A:$C,3,FALSE)</f>
        <v/>
      </c>
    </row>
    <row r="841">
      <c r="A841" s="61" t="n">
        <v>42614</v>
      </c>
      <c r="B841" s="68">
        <f>VLOOKUP(Table2[[#This Row],[Date]],Database!A:E,2,)</f>
        <v/>
      </c>
      <c r="C841" s="14">
        <f>(B841-B840)/B840</f>
        <v/>
      </c>
      <c r="D841" s="14">
        <f>(B841-B829)/B829</f>
        <v/>
      </c>
      <c r="E841" s="15">
        <f>VLOOKUP(Table2[[#This Row],[Date]],'Fed Fund New'!$A:$C,2,FALSE)</f>
        <v/>
      </c>
      <c r="F841" s="15">
        <f>VLOOKUP(Table2[[#This Row],[Date]],'Fed Fund New'!$A:$C,3,FALSE)</f>
        <v/>
      </c>
    </row>
    <row r="842">
      <c r="A842" s="61" t="n">
        <v>42644</v>
      </c>
      <c r="B842" s="68">
        <f>VLOOKUP(Table2[[#This Row],[Date]],Database!A:E,2,)</f>
        <v/>
      </c>
      <c r="C842" s="14">
        <f>(B842-B841)/B841</f>
        <v/>
      </c>
      <c r="D842" s="14">
        <f>(B842-B830)/B830</f>
        <v/>
      </c>
      <c r="E842" s="15">
        <f>VLOOKUP(Table2[[#This Row],[Date]],'Fed Fund New'!$A:$C,2,FALSE)</f>
        <v/>
      </c>
      <c r="F842" s="15">
        <f>VLOOKUP(Table2[[#This Row],[Date]],'Fed Fund New'!$A:$C,3,FALSE)</f>
        <v/>
      </c>
    </row>
    <row r="843">
      <c r="A843" s="61" t="n">
        <v>42675</v>
      </c>
      <c r="B843" s="68">
        <f>VLOOKUP(Table2[[#This Row],[Date]],Database!A:E,2,)</f>
        <v/>
      </c>
      <c r="C843" s="14">
        <f>(B843-B842)/B842</f>
        <v/>
      </c>
      <c r="D843" s="14">
        <f>(B843-B831)/B831</f>
        <v/>
      </c>
      <c r="E843" s="15">
        <f>VLOOKUP(Table2[[#This Row],[Date]],'Fed Fund New'!$A:$C,2,FALSE)</f>
        <v/>
      </c>
      <c r="F843" s="15">
        <f>VLOOKUP(Table2[[#This Row],[Date]],'Fed Fund New'!$A:$C,3,FALSE)</f>
        <v/>
      </c>
    </row>
    <row r="844">
      <c r="A844" s="61" t="n">
        <v>42705</v>
      </c>
      <c r="B844" s="68">
        <f>VLOOKUP(Table2[[#This Row],[Date]],Database!A:E,2,)</f>
        <v/>
      </c>
      <c r="C844" s="14">
        <f>(B844-B843)/B843</f>
        <v/>
      </c>
      <c r="D844" s="14">
        <f>(B844-B832)/B832</f>
        <v/>
      </c>
      <c r="E844" s="15">
        <f>VLOOKUP(Table2[[#This Row],[Date]],'Fed Fund New'!$A:$C,2,FALSE)</f>
        <v/>
      </c>
      <c r="F844" s="15">
        <f>VLOOKUP(Table2[[#This Row],[Date]],'Fed Fund New'!$A:$C,3,FALSE)</f>
        <v/>
      </c>
    </row>
    <row r="845">
      <c r="A845" s="61" t="n">
        <v>42736</v>
      </c>
      <c r="B845" s="68">
        <f>VLOOKUP(Table2[[#This Row],[Date]],Database!A:E,2,)</f>
        <v/>
      </c>
      <c r="C845" s="14">
        <f>(B845-B844)/B844</f>
        <v/>
      </c>
      <c r="D845" s="14">
        <f>(B845-B833)/B833</f>
        <v/>
      </c>
      <c r="E845" s="15">
        <f>VLOOKUP(Table2[[#This Row],[Date]],'Fed Fund New'!$A:$C,2,FALSE)</f>
        <v/>
      </c>
      <c r="F845" s="15">
        <f>VLOOKUP(Table2[[#This Row],[Date]],'Fed Fund New'!$A:$C,3,FALSE)</f>
        <v/>
      </c>
    </row>
    <row r="846">
      <c r="A846" s="61" t="n">
        <v>42767</v>
      </c>
      <c r="B846" s="68">
        <f>VLOOKUP(Table2[[#This Row],[Date]],Database!A:E,2,)</f>
        <v/>
      </c>
      <c r="C846" s="14">
        <f>(B846-B845)/B845</f>
        <v/>
      </c>
      <c r="D846" s="14">
        <f>(B846-B834)/B834</f>
        <v/>
      </c>
      <c r="E846" s="15">
        <f>VLOOKUP(Table2[[#This Row],[Date]],'Fed Fund New'!$A:$C,2,FALSE)</f>
        <v/>
      </c>
      <c r="F846" s="15">
        <f>VLOOKUP(Table2[[#This Row],[Date]],'Fed Fund New'!$A:$C,3,FALSE)</f>
        <v/>
      </c>
    </row>
    <row r="847">
      <c r="A847" s="61" t="n">
        <v>42795</v>
      </c>
      <c r="B847" s="68">
        <f>VLOOKUP(Table2[[#This Row],[Date]],Database!A:E,2,)</f>
        <v/>
      </c>
      <c r="C847" s="14">
        <f>(B847-B846)/B846</f>
        <v/>
      </c>
      <c r="D847" s="14">
        <f>(B847-B835)/B835</f>
        <v/>
      </c>
      <c r="E847" s="15">
        <f>VLOOKUP(Table2[[#This Row],[Date]],'Fed Fund New'!$A:$C,2,FALSE)</f>
        <v/>
      </c>
      <c r="F847" s="15">
        <f>VLOOKUP(Table2[[#This Row],[Date]],'Fed Fund New'!$A:$C,3,FALSE)</f>
        <v/>
      </c>
    </row>
    <row r="848">
      <c r="A848" s="61" t="n">
        <v>42826</v>
      </c>
      <c r="B848" s="68">
        <f>VLOOKUP(Table2[[#This Row],[Date]],Database!A:E,2,)</f>
        <v/>
      </c>
      <c r="C848" s="14">
        <f>(B848-B847)/B847</f>
        <v/>
      </c>
      <c r="D848" s="14">
        <f>(B848-B836)/B836</f>
        <v/>
      </c>
      <c r="E848" s="15">
        <f>VLOOKUP(Table2[[#This Row],[Date]],'Fed Fund New'!$A:$C,2,FALSE)</f>
        <v/>
      </c>
      <c r="F848" s="15">
        <f>VLOOKUP(Table2[[#This Row],[Date]],'Fed Fund New'!$A:$C,3,FALSE)</f>
        <v/>
      </c>
    </row>
    <row r="849">
      <c r="A849" s="61" t="n">
        <v>42856</v>
      </c>
      <c r="B849" s="68">
        <f>VLOOKUP(Table2[[#This Row],[Date]],Database!A:E,2,)</f>
        <v/>
      </c>
      <c r="C849" s="14">
        <f>(B849-B848)/B848</f>
        <v/>
      </c>
      <c r="D849" s="14">
        <f>(B849-B837)/B837</f>
        <v/>
      </c>
      <c r="E849" s="15">
        <f>VLOOKUP(Table2[[#This Row],[Date]],'Fed Fund New'!$A:$C,2,FALSE)</f>
        <v/>
      </c>
      <c r="F849" s="15">
        <f>VLOOKUP(Table2[[#This Row],[Date]],'Fed Fund New'!$A:$C,3,FALSE)</f>
        <v/>
      </c>
    </row>
    <row r="850">
      <c r="A850" s="61" t="n">
        <v>42887</v>
      </c>
      <c r="B850" s="68">
        <f>VLOOKUP(Table2[[#This Row],[Date]],Database!A:E,2,)</f>
        <v/>
      </c>
      <c r="C850" s="14">
        <f>(B850-B849)/B849</f>
        <v/>
      </c>
      <c r="D850" s="14">
        <f>(B850-B838)/B838</f>
        <v/>
      </c>
      <c r="E850" s="15">
        <f>VLOOKUP(Table2[[#This Row],[Date]],'Fed Fund New'!$A:$C,2,FALSE)</f>
        <v/>
      </c>
      <c r="F850" s="15">
        <f>VLOOKUP(Table2[[#This Row],[Date]],'Fed Fund New'!$A:$C,3,FALSE)</f>
        <v/>
      </c>
    </row>
    <row r="851">
      <c r="A851" s="61" t="n">
        <v>42917</v>
      </c>
      <c r="B851" s="68">
        <f>VLOOKUP(Table2[[#This Row],[Date]],Database!A:E,2,)</f>
        <v/>
      </c>
      <c r="C851" s="14">
        <f>(B851-B850)/B850</f>
        <v/>
      </c>
      <c r="D851" s="14">
        <f>(B851-B839)/B839</f>
        <v/>
      </c>
      <c r="E851" s="15">
        <f>VLOOKUP(Table2[[#This Row],[Date]],'Fed Fund New'!$A:$C,2,FALSE)</f>
        <v/>
      </c>
      <c r="F851" s="15">
        <f>VLOOKUP(Table2[[#This Row],[Date]],'Fed Fund New'!$A:$C,3,FALSE)</f>
        <v/>
      </c>
    </row>
    <row r="852">
      <c r="A852" s="61" t="n">
        <v>42948</v>
      </c>
      <c r="B852" s="68">
        <f>VLOOKUP(Table2[[#This Row],[Date]],Database!A:E,2,)</f>
        <v/>
      </c>
      <c r="C852" s="14">
        <f>(B852-B851)/B851</f>
        <v/>
      </c>
      <c r="D852" s="14">
        <f>(B852-B840)/B840</f>
        <v/>
      </c>
      <c r="E852" s="15">
        <f>VLOOKUP(Table2[[#This Row],[Date]],'Fed Fund New'!$A:$C,2,FALSE)</f>
        <v/>
      </c>
      <c r="F852" s="15">
        <f>VLOOKUP(Table2[[#This Row],[Date]],'Fed Fund New'!$A:$C,3,FALSE)</f>
        <v/>
      </c>
    </row>
    <row r="853">
      <c r="A853" s="61" t="n">
        <v>42979</v>
      </c>
      <c r="B853" s="68">
        <f>VLOOKUP(Table2[[#This Row],[Date]],Database!A:E,2,)</f>
        <v/>
      </c>
      <c r="C853" s="14">
        <f>(B853-B852)/B852</f>
        <v/>
      </c>
      <c r="D853" s="14">
        <f>(B853-B841)/B841</f>
        <v/>
      </c>
      <c r="E853" s="15">
        <f>VLOOKUP(Table2[[#This Row],[Date]],'Fed Fund New'!$A:$C,2,FALSE)</f>
        <v/>
      </c>
      <c r="F853" s="15">
        <f>VLOOKUP(Table2[[#This Row],[Date]],'Fed Fund New'!$A:$C,3,FALSE)</f>
        <v/>
      </c>
    </row>
    <row r="854">
      <c r="A854" s="61" t="n">
        <v>43009</v>
      </c>
      <c r="B854" s="68">
        <f>VLOOKUP(Table2[[#This Row],[Date]],Database!A:E,2,)</f>
        <v/>
      </c>
      <c r="C854" s="14">
        <f>(B854-B853)/B853</f>
        <v/>
      </c>
      <c r="D854" s="14">
        <f>(B854-B842)/B842</f>
        <v/>
      </c>
      <c r="E854" s="15">
        <f>VLOOKUP(Table2[[#This Row],[Date]],'Fed Fund New'!$A:$C,2,FALSE)</f>
        <v/>
      </c>
      <c r="F854" s="15">
        <f>VLOOKUP(Table2[[#This Row],[Date]],'Fed Fund New'!$A:$C,3,FALSE)</f>
        <v/>
      </c>
    </row>
    <row r="855">
      <c r="A855" s="61" t="n">
        <v>43040</v>
      </c>
      <c r="B855" s="68">
        <f>VLOOKUP(Table2[[#This Row],[Date]],Database!A:E,2,)</f>
        <v/>
      </c>
      <c r="C855" s="14">
        <f>(B855-B854)/B854</f>
        <v/>
      </c>
      <c r="D855" s="14">
        <f>(B855-B843)/B843</f>
        <v/>
      </c>
      <c r="E855" s="15">
        <f>VLOOKUP(Table2[[#This Row],[Date]],'Fed Fund New'!$A:$C,2,FALSE)</f>
        <v/>
      </c>
      <c r="F855" s="15">
        <f>VLOOKUP(Table2[[#This Row],[Date]],'Fed Fund New'!$A:$C,3,FALSE)</f>
        <v/>
      </c>
    </row>
    <row r="856">
      <c r="A856" s="61" t="n">
        <v>43070</v>
      </c>
      <c r="B856" s="68">
        <f>VLOOKUP(Table2[[#This Row],[Date]],Database!A:E,2,)</f>
        <v/>
      </c>
      <c r="C856" s="14">
        <f>(B856-B855)/B855</f>
        <v/>
      </c>
      <c r="D856" s="14">
        <f>(B856-B844)/B844</f>
        <v/>
      </c>
      <c r="E856" s="15">
        <f>VLOOKUP(Table2[[#This Row],[Date]],'Fed Fund New'!$A:$C,2,FALSE)</f>
        <v/>
      </c>
      <c r="F856" s="15">
        <f>VLOOKUP(Table2[[#This Row],[Date]],'Fed Fund New'!$A:$C,3,FALSE)</f>
        <v/>
      </c>
    </row>
    <row r="857">
      <c r="A857" s="61" t="n">
        <v>43101</v>
      </c>
      <c r="B857" s="68">
        <f>VLOOKUP(Table2[[#This Row],[Date]],Database!A:E,2,)</f>
        <v/>
      </c>
      <c r="C857" s="14">
        <f>(B857-B856)/B856</f>
        <v/>
      </c>
      <c r="D857" s="14">
        <f>(B857-B845)/B845</f>
        <v/>
      </c>
      <c r="E857" s="15">
        <f>VLOOKUP(Table2[[#This Row],[Date]],'Fed Fund New'!$A:$C,2,FALSE)</f>
        <v/>
      </c>
      <c r="F857" s="15">
        <f>VLOOKUP(Table2[[#This Row],[Date]],'Fed Fund New'!$A:$C,3,FALSE)</f>
        <v/>
      </c>
    </row>
    <row r="858">
      <c r="A858" s="61" t="n">
        <v>43132</v>
      </c>
      <c r="B858" s="68">
        <f>VLOOKUP(Table2[[#This Row],[Date]],Database!A:E,2,)</f>
        <v/>
      </c>
      <c r="C858" s="14">
        <f>(B858-B857)/B857</f>
        <v/>
      </c>
      <c r="D858" s="14">
        <f>(B858-B846)/B846</f>
        <v/>
      </c>
      <c r="E858" s="15">
        <f>VLOOKUP(Table2[[#This Row],[Date]],'Fed Fund New'!$A:$C,2,FALSE)</f>
        <v/>
      </c>
      <c r="F858" s="15">
        <f>VLOOKUP(Table2[[#This Row],[Date]],'Fed Fund New'!$A:$C,3,FALSE)</f>
        <v/>
      </c>
    </row>
    <row r="859">
      <c r="A859" s="61" t="n">
        <v>43160</v>
      </c>
      <c r="B859" s="68">
        <f>VLOOKUP(Table2[[#This Row],[Date]],Database!A:E,2,)</f>
        <v/>
      </c>
      <c r="C859" s="14">
        <f>(B859-B858)/B858</f>
        <v/>
      </c>
      <c r="D859" s="14">
        <f>(B859-B847)/B847</f>
        <v/>
      </c>
      <c r="E859" s="15">
        <f>VLOOKUP(Table2[[#This Row],[Date]],'Fed Fund New'!$A:$C,2,FALSE)</f>
        <v/>
      </c>
      <c r="F859" s="15">
        <f>VLOOKUP(Table2[[#This Row],[Date]],'Fed Fund New'!$A:$C,3,FALSE)</f>
        <v/>
      </c>
    </row>
    <row r="860">
      <c r="A860" s="61" t="n">
        <v>43191</v>
      </c>
      <c r="B860" s="68">
        <f>VLOOKUP(Table2[[#This Row],[Date]],Database!A:E,2,)</f>
        <v/>
      </c>
      <c r="C860" s="14">
        <f>(B860-B859)/B859</f>
        <v/>
      </c>
      <c r="D860" s="14">
        <f>(B860-B848)/B848</f>
        <v/>
      </c>
      <c r="E860" s="15">
        <f>VLOOKUP(Table2[[#This Row],[Date]],'Fed Fund New'!$A:$C,2,FALSE)</f>
        <v/>
      </c>
      <c r="F860" s="15">
        <f>VLOOKUP(Table2[[#This Row],[Date]],'Fed Fund New'!$A:$C,3,FALSE)</f>
        <v/>
      </c>
    </row>
    <row r="861">
      <c r="A861" s="61" t="n">
        <v>43221</v>
      </c>
      <c r="B861" s="68">
        <f>VLOOKUP(Table2[[#This Row],[Date]],Database!A:E,2,)</f>
        <v/>
      </c>
      <c r="C861" s="14">
        <f>(B861-B860)/B860</f>
        <v/>
      </c>
      <c r="D861" s="14">
        <f>(B861-B849)/B849</f>
        <v/>
      </c>
      <c r="E861" s="15">
        <f>VLOOKUP(Table2[[#This Row],[Date]],'Fed Fund New'!$A:$C,2,FALSE)</f>
        <v/>
      </c>
      <c r="F861" s="15">
        <f>VLOOKUP(Table2[[#This Row],[Date]],'Fed Fund New'!$A:$C,3,FALSE)</f>
        <v/>
      </c>
    </row>
    <row r="862">
      <c r="A862" s="61" t="n">
        <v>43252</v>
      </c>
      <c r="B862" s="68">
        <f>VLOOKUP(Table2[[#This Row],[Date]],Database!A:E,2,)</f>
        <v/>
      </c>
      <c r="C862" s="14">
        <f>(B862-B861)/B861</f>
        <v/>
      </c>
      <c r="D862" s="14">
        <f>(B862-B850)/B850</f>
        <v/>
      </c>
      <c r="E862" s="15">
        <f>VLOOKUP(Table2[[#This Row],[Date]],'Fed Fund New'!$A:$C,2,FALSE)</f>
        <v/>
      </c>
      <c r="F862" s="15">
        <f>VLOOKUP(Table2[[#This Row],[Date]],'Fed Fund New'!$A:$C,3,FALSE)</f>
        <v/>
      </c>
    </row>
    <row r="863">
      <c r="A863" s="61" t="n">
        <v>43282</v>
      </c>
      <c r="B863" s="68">
        <f>VLOOKUP(Table2[[#This Row],[Date]],Database!A:E,2,)</f>
        <v/>
      </c>
      <c r="C863" s="14">
        <f>(B863-B862)/B862</f>
        <v/>
      </c>
      <c r="D863" s="14">
        <f>(B863-B851)/B851</f>
        <v/>
      </c>
      <c r="E863" s="15">
        <f>VLOOKUP(Table2[[#This Row],[Date]],'Fed Fund New'!$A:$C,2,FALSE)</f>
        <v/>
      </c>
      <c r="F863" s="15">
        <f>VLOOKUP(Table2[[#This Row],[Date]],'Fed Fund New'!$A:$C,3,FALSE)</f>
        <v/>
      </c>
    </row>
    <row r="864">
      <c r="A864" s="61" t="n">
        <v>43313</v>
      </c>
      <c r="B864" s="68">
        <f>VLOOKUP(Table2[[#This Row],[Date]],Database!A:E,2,)</f>
        <v/>
      </c>
      <c r="C864" s="14">
        <f>(B864-B863)/B863</f>
        <v/>
      </c>
      <c r="D864" s="14">
        <f>(B864-B852)/B852</f>
        <v/>
      </c>
      <c r="E864" s="15">
        <f>VLOOKUP(Table2[[#This Row],[Date]],'Fed Fund New'!$A:$C,2,FALSE)</f>
        <v/>
      </c>
      <c r="F864" s="15">
        <f>VLOOKUP(Table2[[#This Row],[Date]],'Fed Fund New'!$A:$C,3,FALSE)</f>
        <v/>
      </c>
    </row>
    <row r="865">
      <c r="A865" s="61" t="n">
        <v>43344</v>
      </c>
      <c r="B865" s="68">
        <f>VLOOKUP(Table2[[#This Row],[Date]],Database!A:E,2,)</f>
        <v/>
      </c>
      <c r="C865" s="14">
        <f>(B865-B864)/B864</f>
        <v/>
      </c>
      <c r="D865" s="14">
        <f>(B865-B853)/B853</f>
        <v/>
      </c>
      <c r="E865" s="15">
        <f>VLOOKUP(Table2[[#This Row],[Date]],'Fed Fund New'!$A:$C,2,FALSE)</f>
        <v/>
      </c>
      <c r="F865" s="15">
        <f>VLOOKUP(Table2[[#This Row],[Date]],'Fed Fund New'!$A:$C,3,FALSE)</f>
        <v/>
      </c>
    </row>
    <row r="866">
      <c r="A866" s="61" t="n">
        <v>43374</v>
      </c>
      <c r="B866" s="68">
        <f>VLOOKUP(Table2[[#This Row],[Date]],Database!A:E,2,)</f>
        <v/>
      </c>
      <c r="C866" s="14">
        <f>(B866-B865)/B865</f>
        <v/>
      </c>
      <c r="D866" s="14">
        <f>(B866-B854)/B854</f>
        <v/>
      </c>
      <c r="E866" s="15">
        <f>VLOOKUP(Table2[[#This Row],[Date]],'Fed Fund New'!$A:$C,2,FALSE)</f>
        <v/>
      </c>
      <c r="F866" s="15">
        <f>VLOOKUP(Table2[[#This Row],[Date]],'Fed Fund New'!$A:$C,3,FALSE)</f>
        <v/>
      </c>
    </row>
    <row r="867">
      <c r="A867" s="61" t="n">
        <v>43405</v>
      </c>
      <c r="B867" s="68">
        <f>VLOOKUP(Table2[[#This Row],[Date]],Database!A:E,2,)</f>
        <v/>
      </c>
      <c r="C867" s="14">
        <f>(B867-B866)/B866</f>
        <v/>
      </c>
      <c r="D867" s="14">
        <f>(B867-B855)/B855</f>
        <v/>
      </c>
      <c r="E867" s="15">
        <f>VLOOKUP(Table2[[#This Row],[Date]],'Fed Fund New'!$A:$C,2,FALSE)</f>
        <v/>
      </c>
      <c r="F867" s="15">
        <f>VLOOKUP(Table2[[#This Row],[Date]],'Fed Fund New'!$A:$C,3,FALSE)</f>
        <v/>
      </c>
    </row>
    <row r="868">
      <c r="A868" s="61" t="n">
        <v>43435</v>
      </c>
      <c r="B868" s="68">
        <f>VLOOKUP(Table2[[#This Row],[Date]],Database!A:E,2,)</f>
        <v/>
      </c>
      <c r="C868" s="14">
        <f>(B868-B867)/B867</f>
        <v/>
      </c>
      <c r="D868" s="14">
        <f>(B868-B856)/B856</f>
        <v/>
      </c>
      <c r="E868" s="15">
        <f>VLOOKUP(Table2[[#This Row],[Date]],'Fed Fund New'!$A:$C,2,FALSE)</f>
        <v/>
      </c>
      <c r="F868" s="15">
        <f>VLOOKUP(Table2[[#This Row],[Date]],'Fed Fund New'!$A:$C,3,FALSE)</f>
        <v/>
      </c>
    </row>
    <row r="869">
      <c r="A869" s="61" t="n">
        <v>43466</v>
      </c>
      <c r="B869" s="68">
        <f>VLOOKUP(Table2[[#This Row],[Date]],Database!A:E,2,)</f>
        <v/>
      </c>
      <c r="C869" s="14">
        <f>(B869-B868)/B868</f>
        <v/>
      </c>
      <c r="D869" s="14">
        <f>(B869-B857)/B857</f>
        <v/>
      </c>
      <c r="E869" s="15">
        <f>VLOOKUP(Table2[[#This Row],[Date]],'Fed Fund New'!$A:$C,2,FALSE)</f>
        <v/>
      </c>
      <c r="F869" s="15">
        <f>VLOOKUP(Table2[[#This Row],[Date]],'Fed Fund New'!$A:$C,3,FALSE)</f>
        <v/>
      </c>
    </row>
    <row r="870">
      <c r="A870" s="61" t="n">
        <v>43497</v>
      </c>
      <c r="B870" s="68">
        <f>VLOOKUP(Table2[[#This Row],[Date]],Database!A:E,2,)</f>
        <v/>
      </c>
      <c r="C870" s="14">
        <f>(B870-B869)/B869</f>
        <v/>
      </c>
      <c r="D870" s="14">
        <f>(B870-B858)/B858</f>
        <v/>
      </c>
      <c r="E870" s="15">
        <f>VLOOKUP(Table2[[#This Row],[Date]],'Fed Fund New'!$A:$C,2,FALSE)</f>
        <v/>
      </c>
      <c r="F870" s="15">
        <f>VLOOKUP(Table2[[#This Row],[Date]],'Fed Fund New'!$A:$C,3,FALSE)</f>
        <v/>
      </c>
    </row>
    <row r="871">
      <c r="A871" s="61" t="n">
        <v>43525</v>
      </c>
      <c r="B871" s="68">
        <f>VLOOKUP(Table2[[#This Row],[Date]],Database!A:E,2,)</f>
        <v/>
      </c>
      <c r="C871" s="14">
        <f>(B871-B870)/B870</f>
        <v/>
      </c>
      <c r="D871" s="14">
        <f>(B871-B859)/B859</f>
        <v/>
      </c>
      <c r="E871" s="15">
        <f>VLOOKUP(Table2[[#This Row],[Date]],'Fed Fund New'!$A:$C,2,FALSE)</f>
        <v/>
      </c>
      <c r="F871" s="15">
        <f>VLOOKUP(Table2[[#This Row],[Date]],'Fed Fund New'!$A:$C,3,FALSE)</f>
        <v/>
      </c>
    </row>
    <row r="872">
      <c r="A872" s="61" t="n">
        <v>43556</v>
      </c>
      <c r="B872" s="68">
        <f>VLOOKUP(Table2[[#This Row],[Date]],Database!A:E,2,)</f>
        <v/>
      </c>
      <c r="C872" s="14">
        <f>(B872-B871)/B871</f>
        <v/>
      </c>
      <c r="D872" s="14">
        <f>(B872-B860)/B860</f>
        <v/>
      </c>
      <c r="E872" s="15">
        <f>VLOOKUP(Table2[[#This Row],[Date]],'Fed Fund New'!$A:$C,2,FALSE)</f>
        <v/>
      </c>
      <c r="F872" s="15">
        <f>VLOOKUP(Table2[[#This Row],[Date]],'Fed Fund New'!$A:$C,3,FALSE)</f>
        <v/>
      </c>
    </row>
    <row r="873">
      <c r="A873" s="61" t="n">
        <v>43586</v>
      </c>
      <c r="B873" s="68">
        <f>VLOOKUP(Table2[[#This Row],[Date]],Database!A:E,2,)</f>
        <v/>
      </c>
      <c r="C873" s="14">
        <f>(B873-B872)/B872</f>
        <v/>
      </c>
      <c r="D873" s="14">
        <f>(B873-B861)/B861</f>
        <v/>
      </c>
      <c r="E873" s="15">
        <f>VLOOKUP(Table2[[#This Row],[Date]],'Fed Fund New'!$A:$C,2,FALSE)</f>
        <v/>
      </c>
      <c r="F873" s="15">
        <f>VLOOKUP(Table2[[#This Row],[Date]],'Fed Fund New'!$A:$C,3,FALSE)</f>
        <v/>
      </c>
    </row>
    <row r="874" customFormat="1" s="77">
      <c r="A874" s="61" t="n">
        <v>43617</v>
      </c>
      <c r="B874" s="68">
        <f>VLOOKUP(Table2[[#This Row],[Date]],Database!A:E,2,)</f>
        <v/>
      </c>
      <c r="C874" s="14">
        <f>(B874-B873)/B873</f>
        <v/>
      </c>
      <c r="D874" s="14">
        <f>(B874-B862)/B862</f>
        <v/>
      </c>
      <c r="E874" s="15">
        <f>VLOOKUP(Table2[[#This Row],[Date]],'Fed Fund New'!$A:$C,2,FALSE)</f>
        <v/>
      </c>
      <c r="F874" s="15">
        <f>VLOOKUP(Table2[[#This Row],[Date]],'Fed Fund New'!$A:$C,3,FALSE)</f>
        <v/>
      </c>
    </row>
    <row r="875" customFormat="1" s="77">
      <c r="A875" s="61" t="n">
        <v>43647</v>
      </c>
      <c r="B875" s="68">
        <f>VLOOKUP(Table2[[#This Row],[Date]],Database!A:E,2,)</f>
        <v/>
      </c>
      <c r="C875" s="14">
        <f>(B875-B874)/B874</f>
        <v/>
      </c>
      <c r="D875" s="14">
        <f>(B875-B863)/B863</f>
        <v/>
      </c>
      <c r="E875" s="15">
        <f>VLOOKUP(Table2[[#This Row],[Date]],'Fed Fund New'!$A:$C,2,FALSE)</f>
        <v/>
      </c>
      <c r="F875" s="15">
        <f>VLOOKUP(Table2[[#This Row],[Date]],'Fed Fund New'!$A:$C,3,FALSE)</f>
        <v/>
      </c>
    </row>
    <row r="876" customFormat="1" s="77">
      <c r="A876" s="61" t="n">
        <v>43678</v>
      </c>
      <c r="B876" s="68">
        <f>VLOOKUP(Table2[[#This Row],[Date]],Database!A:E,2,)</f>
        <v/>
      </c>
      <c r="C876" s="14">
        <f>(B876-B875)/B875</f>
        <v/>
      </c>
      <c r="D876" s="14">
        <f>(B876-B864)/B864</f>
        <v/>
      </c>
      <c r="E876" s="15">
        <f>VLOOKUP(Table2[[#This Row],[Date]],'Fed Fund New'!$A:$C,2,FALSE)</f>
        <v/>
      </c>
      <c r="F876" s="15">
        <f>VLOOKUP(Table2[[#This Row],[Date]],'Fed Fund New'!$A:$C,3,FALSE)</f>
        <v/>
      </c>
    </row>
    <row r="877" customFormat="1" s="77">
      <c r="A877" s="61" t="n">
        <v>43709</v>
      </c>
      <c r="B877" s="68">
        <f>VLOOKUP(Table2[[#This Row],[Date]],Database!A:E,2,)</f>
        <v/>
      </c>
      <c r="C877" s="14">
        <f>(B877-B876)/B876</f>
        <v/>
      </c>
      <c r="D877" s="14">
        <f>(B877-B865)/B865</f>
        <v/>
      </c>
      <c r="E877" s="15">
        <f>VLOOKUP(Table2[[#This Row],[Date]],'Fed Fund New'!$A:$C,2,FALSE)</f>
        <v/>
      </c>
      <c r="F877" s="15">
        <f>VLOOKUP(Table2[[#This Row],[Date]],'Fed Fund New'!$A:$C,3,FALSE)</f>
        <v/>
      </c>
    </row>
    <row r="878" customFormat="1" s="77">
      <c r="A878" s="61" t="n">
        <v>43739</v>
      </c>
      <c r="B878" s="68">
        <f>VLOOKUP(Table2[[#This Row],[Date]],Database!A:E,2,)</f>
        <v/>
      </c>
      <c r="C878" s="14">
        <f>(B878-B877)/B877</f>
        <v/>
      </c>
      <c r="D878" s="14">
        <f>(B878-B866)/B866</f>
        <v/>
      </c>
      <c r="E878" s="15">
        <f>VLOOKUP(Table2[[#This Row],[Date]],'Fed Fund New'!$A:$C,2,FALSE)</f>
        <v/>
      </c>
      <c r="F878" s="15">
        <f>VLOOKUP(Table2[[#This Row],[Date]],'Fed Fund New'!$A:$C,3,FALSE)</f>
        <v/>
      </c>
    </row>
    <row r="879" customFormat="1" s="77">
      <c r="A879" s="61" t="n">
        <v>43770</v>
      </c>
      <c r="B879" s="68">
        <f>VLOOKUP(Table2[[#This Row],[Date]],Database!A:E,2,)</f>
        <v/>
      </c>
      <c r="C879" s="14">
        <f>(B879-B878)/B878</f>
        <v/>
      </c>
      <c r="D879" s="14">
        <f>(B879-B867)/B867</f>
        <v/>
      </c>
      <c r="E879" s="15">
        <f>VLOOKUP(Table2[[#This Row],[Date]],'Fed Fund New'!$A:$C,2,FALSE)</f>
        <v/>
      </c>
      <c r="F879" s="15">
        <f>VLOOKUP(Table2[[#This Row],[Date]],'Fed Fund New'!$A:$C,3,FALSE)</f>
        <v/>
      </c>
    </row>
    <row r="880" customFormat="1" s="77">
      <c r="A880" s="61" t="n">
        <v>43800</v>
      </c>
      <c r="B880" s="68">
        <f>VLOOKUP(Table2[[#This Row],[Date]],Database!A:E,2,)</f>
        <v/>
      </c>
      <c r="C880" s="14">
        <f>(B880-B879)/B879</f>
        <v/>
      </c>
      <c r="D880" s="14">
        <f>(B880-B868)/B868</f>
        <v/>
      </c>
      <c r="E880" s="15">
        <f>VLOOKUP(Table2[[#This Row],[Date]],'Fed Fund New'!$A:$C,2,FALSE)</f>
        <v/>
      </c>
      <c r="F880" s="15">
        <f>VLOOKUP(Table2[[#This Row],[Date]],'Fed Fund New'!$A:$C,3,FALSE)</f>
        <v/>
      </c>
    </row>
    <row r="881" customFormat="1" s="77">
      <c r="A881" s="61" t="n">
        <v>43831</v>
      </c>
      <c r="B881" s="68">
        <f>VLOOKUP(Table2[[#This Row],[Date]],Database!A:E,2,)</f>
        <v/>
      </c>
      <c r="C881" s="14">
        <f>(B881-B880)/B880</f>
        <v/>
      </c>
      <c r="D881" s="14">
        <f>(B881-B869)/B869</f>
        <v/>
      </c>
      <c r="E881" s="15">
        <f>VLOOKUP(Table2[[#This Row],[Date]],'Fed Fund New'!$A:$C,2,FALSE)</f>
        <v/>
      </c>
      <c r="F881" s="15">
        <f>VLOOKUP(Table2[[#This Row],[Date]],'Fed Fund New'!$A:$C,3,FALSE)</f>
        <v/>
      </c>
    </row>
    <row r="882" customFormat="1" s="77">
      <c r="A882" s="61" t="n">
        <v>43862</v>
      </c>
      <c r="B882" s="68">
        <f>VLOOKUP(Table2[[#This Row],[Date]],Database!A:E,2,)</f>
        <v/>
      </c>
      <c r="C882" s="14">
        <f>(B882-B881)/B881</f>
        <v/>
      </c>
      <c r="D882" s="14">
        <f>(B882-B870)/B870</f>
        <v/>
      </c>
      <c r="E882" s="15">
        <f>VLOOKUP(Table2[[#This Row],[Date]],'Fed Fund New'!$A:$C,2,FALSE)</f>
        <v/>
      </c>
      <c r="F882" s="15">
        <f>VLOOKUP(Table2[[#This Row],[Date]],'Fed Fund New'!$A:$C,3,FALSE)</f>
        <v/>
      </c>
    </row>
    <row r="883" customFormat="1" s="77">
      <c r="A883" s="61" t="n">
        <v>43891</v>
      </c>
      <c r="B883" s="68">
        <f>VLOOKUP(Table2[[#This Row],[Date]],Database!A:E,2,)</f>
        <v/>
      </c>
      <c r="C883" s="14">
        <f>(B883-B882)/B882</f>
        <v/>
      </c>
      <c r="D883" s="14">
        <f>(B883-B871)/B871</f>
        <v/>
      </c>
      <c r="E883" s="15">
        <f>VLOOKUP(Table2[[#This Row],[Date]],'Fed Fund New'!$A:$C,2,FALSE)</f>
        <v/>
      </c>
      <c r="F883" s="15">
        <f>VLOOKUP(Table2[[#This Row],[Date]],'Fed Fund New'!$A:$C,3,FALSE)</f>
        <v/>
      </c>
    </row>
    <row r="884" customFormat="1" s="77">
      <c r="A884" s="61" t="n">
        <v>43922</v>
      </c>
      <c r="B884" s="68">
        <f>VLOOKUP(Table2[[#This Row],[Date]],Database!A:E,2,)</f>
        <v/>
      </c>
      <c r="C884" s="14">
        <f>(B884-B883)/B883</f>
        <v/>
      </c>
      <c r="D884" s="14">
        <f>(B884-B872)/B872</f>
        <v/>
      </c>
      <c r="E884" s="15">
        <f>VLOOKUP(Table2[[#This Row],[Date]],'Fed Fund New'!$A:$C,2,FALSE)</f>
        <v/>
      </c>
      <c r="F884" s="15">
        <f>VLOOKUP(Table2[[#This Row],[Date]],'Fed Fund New'!$A:$C,3,FALSE)</f>
        <v/>
      </c>
    </row>
    <row r="885" customFormat="1" s="77">
      <c r="A885" s="61" t="n">
        <v>43952</v>
      </c>
      <c r="B885" s="68">
        <f>VLOOKUP(Table2[[#This Row],[Date]],Database!A:E,2,)</f>
        <v/>
      </c>
      <c r="C885" s="14">
        <f>(B885-B884)/B884</f>
        <v/>
      </c>
      <c r="D885" s="14">
        <f>(B885-B873)/B873</f>
        <v/>
      </c>
      <c r="E885" s="15">
        <f>VLOOKUP(Table2[[#This Row],[Date]],'Fed Fund New'!$A:$C,2,FALSE)</f>
        <v/>
      </c>
      <c r="F885" s="15">
        <f>VLOOKUP(Table2[[#This Row],[Date]],'Fed Fund New'!$A:$C,3,FALSE)</f>
        <v/>
      </c>
    </row>
    <row r="886" customFormat="1" s="77">
      <c r="A886" s="61" t="n">
        <v>43983</v>
      </c>
      <c r="B886" s="68">
        <f>VLOOKUP(Table2[[#This Row],[Date]],Database!A:E,2,)</f>
        <v/>
      </c>
      <c r="C886" s="14">
        <f>(B886-B885)/B885</f>
        <v/>
      </c>
      <c r="D886" s="14">
        <f>(B886-B874)/B874</f>
        <v/>
      </c>
      <c r="E886" s="15">
        <f>VLOOKUP(Table2[[#This Row],[Date]],'Fed Fund New'!$A:$C,2,FALSE)</f>
        <v/>
      </c>
      <c r="F886" s="15">
        <f>VLOOKUP(Table2[[#This Row],[Date]],'Fed Fund New'!$A:$C,3,FALSE)</f>
        <v/>
      </c>
    </row>
    <row r="887" customFormat="1" s="77">
      <c r="A887" s="61" t="n">
        <v>44013</v>
      </c>
      <c r="B887" s="68">
        <f>VLOOKUP(Table2[[#This Row],[Date]],Database!A:E,2,)</f>
        <v/>
      </c>
      <c r="C887" s="14">
        <f>(B887-B886)/B886</f>
        <v/>
      </c>
      <c r="D887" s="14">
        <f>(B887-B875)/B875</f>
        <v/>
      </c>
      <c r="E887" s="15">
        <f>VLOOKUP(Table2[[#This Row],[Date]],'Fed Fund New'!$A:$C,2,FALSE)</f>
        <v/>
      </c>
      <c r="F887" s="15">
        <f>VLOOKUP(Table2[[#This Row],[Date]],'Fed Fund New'!$A:$C,3,FALSE)</f>
        <v/>
      </c>
    </row>
    <row r="888" customFormat="1" s="77">
      <c r="A888" s="61" t="n">
        <v>44044</v>
      </c>
      <c r="B888" s="68">
        <f>VLOOKUP(Table2[[#This Row],[Date]],Database!A:E,2,)</f>
        <v/>
      </c>
      <c r="C888" s="14">
        <f>(B888-B887)/B887</f>
        <v/>
      </c>
      <c r="D888" s="14">
        <f>(B888-B876)/B876</f>
        <v/>
      </c>
      <c r="E888" s="15">
        <f>VLOOKUP(Table2[[#This Row],[Date]],'Fed Fund New'!$A:$C,2,FALSE)</f>
        <v/>
      </c>
      <c r="F888" s="15">
        <f>VLOOKUP(Table2[[#This Row],[Date]],'Fed Fund New'!$A:$C,3,FALSE)</f>
        <v/>
      </c>
    </row>
    <row r="889" customFormat="1" s="77">
      <c r="A889" s="61" t="n">
        <v>44075</v>
      </c>
      <c r="B889" s="68">
        <f>VLOOKUP(Table2[[#This Row],[Date]],Database!A:E,2,)</f>
        <v/>
      </c>
      <c r="C889" s="14">
        <f>(B889-B888)/B888</f>
        <v/>
      </c>
      <c r="D889" s="14">
        <f>(B889-B877)/B877</f>
        <v/>
      </c>
      <c r="E889" s="15">
        <f>VLOOKUP(Table2[[#This Row],[Date]],'Fed Fund New'!$A:$C,2,FALSE)</f>
        <v/>
      </c>
      <c r="F889" s="15">
        <f>VLOOKUP(Table2[[#This Row],[Date]],'Fed Fund New'!$A:$C,3,FALSE)</f>
        <v/>
      </c>
    </row>
    <row r="890" customFormat="1" s="77">
      <c r="A890" s="61" t="n">
        <v>44105</v>
      </c>
      <c r="B890" s="68">
        <f>VLOOKUP(Table2[[#This Row],[Date]],Database!A:E,2,)</f>
        <v/>
      </c>
      <c r="C890" s="14">
        <f>(B890-B889)/B889</f>
        <v/>
      </c>
      <c r="D890" s="14">
        <f>(B890-B878)/B878</f>
        <v/>
      </c>
      <c r="E890" s="15">
        <f>VLOOKUP(Table2[[#This Row],[Date]],'Fed Fund New'!$A:$C,2,FALSE)</f>
        <v/>
      </c>
      <c r="F890" s="15">
        <f>VLOOKUP(Table2[[#This Row],[Date]],'Fed Fund New'!$A:$C,3,FALSE)</f>
        <v/>
      </c>
    </row>
    <row r="891" customFormat="1" s="77">
      <c r="A891" s="61" t="n">
        <v>44136</v>
      </c>
      <c r="B891" s="68">
        <f>VLOOKUP(Table2[[#This Row],[Date]],Database!A:E,2,)</f>
        <v/>
      </c>
      <c r="C891" s="14">
        <f>(B891-B890)/B890</f>
        <v/>
      </c>
      <c r="D891" s="14">
        <f>(B891-B879)/B879</f>
        <v/>
      </c>
      <c r="E891" s="15">
        <f>VLOOKUP(Table2[[#This Row],[Date]],'Fed Fund New'!$A:$C,2,FALSE)</f>
        <v/>
      </c>
      <c r="F891" s="15">
        <f>VLOOKUP(Table2[[#This Row],[Date]],'Fed Fund New'!$A:$C,3,FALSE)</f>
        <v/>
      </c>
    </row>
    <row r="892" customFormat="1" s="77">
      <c r="A892" s="61" t="n">
        <v>44166</v>
      </c>
      <c r="B892" s="68">
        <f>VLOOKUP(Table2[[#This Row],[Date]],Database!A:E,2,)</f>
        <v/>
      </c>
      <c r="C892" s="14">
        <f>(B892-B891)/B891</f>
        <v/>
      </c>
      <c r="D892" s="14">
        <f>(B892-B880)/B880</f>
        <v/>
      </c>
      <c r="E892" s="15">
        <f>VLOOKUP(Table2[[#This Row],[Date]],'Fed Fund New'!$A:$C,2,FALSE)</f>
        <v/>
      </c>
      <c r="F892" s="15">
        <f>VLOOKUP(Table2[[#This Row],[Date]],'Fed Fund New'!$A:$C,3,FALSE)</f>
        <v/>
      </c>
    </row>
    <row r="893" customFormat="1" s="77">
      <c r="A893" s="61" t="n">
        <v>44197</v>
      </c>
      <c r="B893" s="68">
        <f>VLOOKUP(Table2[[#This Row],[Date]],Database!A:E,2,)</f>
        <v/>
      </c>
      <c r="C893" s="14">
        <f>(B893-B892)/B892</f>
        <v/>
      </c>
      <c r="D893" s="14">
        <f>(B893-B881)/B881</f>
        <v/>
      </c>
      <c r="E893" s="15">
        <f>VLOOKUP(Table2[[#This Row],[Date]],'Fed Fund New'!$A:$C,2,FALSE)</f>
        <v/>
      </c>
      <c r="F893" s="15">
        <f>VLOOKUP(Table2[[#This Row],[Date]],'Fed Fund New'!$A:$C,3,FALSE)</f>
        <v/>
      </c>
    </row>
    <row r="894" customFormat="1" s="77">
      <c r="A894" s="61" t="n">
        <v>44228</v>
      </c>
      <c r="B894" s="68">
        <f>VLOOKUP(Table2[[#This Row],[Date]],Database!A:E,2,)</f>
        <v/>
      </c>
      <c r="C894" s="14">
        <f>(B894-B893)/B893</f>
        <v/>
      </c>
      <c r="D894" s="14">
        <f>(B894-B882)/B882</f>
        <v/>
      </c>
      <c r="E894" s="15">
        <f>VLOOKUP(Table2[[#This Row],[Date]],'Fed Fund New'!$A:$C,2,FALSE)</f>
        <v/>
      </c>
      <c r="F894" s="15">
        <f>VLOOKUP(Table2[[#This Row],[Date]],'Fed Fund New'!$A:$C,3,FALSE)</f>
        <v/>
      </c>
    </row>
    <row r="895" customFormat="1" s="77">
      <c r="A895" s="61" t="n">
        <v>44256</v>
      </c>
      <c r="B895" s="68">
        <f>VLOOKUP(Table2[[#This Row],[Date]],Database!A:E,2,)</f>
        <v/>
      </c>
      <c r="C895" s="14">
        <f>(B895-B894)/B894</f>
        <v/>
      </c>
      <c r="D895" s="14">
        <f>(B895-B883)/B883</f>
        <v/>
      </c>
      <c r="E895" s="15">
        <f>VLOOKUP(Table2[[#This Row],[Date]],'Fed Fund New'!$A:$C,2,FALSE)</f>
        <v/>
      </c>
      <c r="F895" s="15">
        <f>VLOOKUP(Table2[[#This Row],[Date]],'Fed Fund New'!$A:$C,3,FALSE)</f>
        <v/>
      </c>
    </row>
    <row r="896" customFormat="1" s="77">
      <c r="A896" s="61" t="n">
        <v>44287</v>
      </c>
      <c r="B896" s="68">
        <f>VLOOKUP(Table2[[#This Row],[Date]],Database!A:E,2,)</f>
        <v/>
      </c>
      <c r="C896" s="14">
        <f>(B896-B895)/B895</f>
        <v/>
      </c>
      <c r="D896" s="14">
        <f>(B896-B884)/B884</f>
        <v/>
      </c>
      <c r="E896" s="15">
        <f>VLOOKUP(Table2[[#This Row],[Date]],'Fed Fund New'!$A:$C,2,FALSE)</f>
        <v/>
      </c>
      <c r="F896" s="15">
        <f>VLOOKUP(Table2[[#This Row],[Date]],'Fed Fund New'!$A:$C,3,FALSE)</f>
        <v/>
      </c>
    </row>
    <row r="897" customFormat="1" s="77">
      <c r="A897" s="61" t="n">
        <v>44317</v>
      </c>
      <c r="B897" s="68">
        <f>VLOOKUP(Table2[[#This Row],[Date]],Database!A:E,2,)</f>
        <v/>
      </c>
      <c r="C897" s="14">
        <f>(B897-B896)/B896</f>
        <v/>
      </c>
      <c r="D897" s="14">
        <f>(B897-B885)/B885</f>
        <v/>
      </c>
      <c r="E897" s="15">
        <f>VLOOKUP(Table2[[#This Row],[Date]],'Fed Fund New'!$A:$C,2,FALSE)</f>
        <v/>
      </c>
      <c r="F897" s="15">
        <f>VLOOKUP(Table2[[#This Row],[Date]],'Fed Fund New'!$A:$C,3,FALSE)</f>
        <v/>
      </c>
    </row>
    <row r="898" customFormat="1" s="77">
      <c r="A898" s="61" t="n">
        <v>44348</v>
      </c>
      <c r="B898" s="68">
        <f>VLOOKUP(Table2[[#This Row],[Date]],Database!A:E,2,)</f>
        <v/>
      </c>
      <c r="C898" s="14">
        <f>(B898-B897)/B897</f>
        <v/>
      </c>
      <c r="D898" s="14">
        <f>(B898-B886)/B886</f>
        <v/>
      </c>
      <c r="E898" s="15">
        <f>VLOOKUP(Table2[[#This Row],[Date]],'Fed Fund New'!$A:$C,2,FALSE)</f>
        <v/>
      </c>
      <c r="F898" s="15">
        <f>VLOOKUP(Table2[[#This Row],[Date]],'Fed Fund New'!$A:$C,3,FALSE)</f>
        <v/>
      </c>
    </row>
    <row r="899" customFormat="1" s="77">
      <c r="A899" s="61" t="n">
        <v>44378</v>
      </c>
      <c r="B899" s="68">
        <f>VLOOKUP(Table2[[#This Row],[Date]],Database!A:E,2,)</f>
        <v/>
      </c>
      <c r="C899" s="14">
        <f>(B899-B898)/B898</f>
        <v/>
      </c>
      <c r="D899" s="14">
        <f>(B899-B887)/B887</f>
        <v/>
      </c>
      <c r="E899" s="15">
        <f>VLOOKUP(Table2[[#This Row],[Date]],'Fed Fund New'!$A:$C,2,FALSE)</f>
        <v/>
      </c>
      <c r="F899" s="15">
        <f>VLOOKUP(Table2[[#This Row],[Date]],'Fed Fund New'!$A:$C,3,FALSE)</f>
        <v/>
      </c>
    </row>
    <row r="900" customFormat="1" s="77">
      <c r="A900" s="61" t="n">
        <v>44409</v>
      </c>
      <c r="B900" s="68">
        <f>VLOOKUP(Table2[[#This Row],[Date]],Database!A:E,2,)</f>
        <v/>
      </c>
      <c r="C900" s="14">
        <f>(B900-B899)/B899</f>
        <v/>
      </c>
      <c r="D900" s="14">
        <f>(B900-B888)/B888</f>
        <v/>
      </c>
      <c r="E900" s="15">
        <f>VLOOKUP(Table2[[#This Row],[Date]],'Fed Fund New'!$A:$C,2,FALSE)</f>
        <v/>
      </c>
      <c r="F900" s="15">
        <f>VLOOKUP(Table2[[#This Row],[Date]],'Fed Fund New'!$A:$C,3,FALSE)</f>
        <v/>
      </c>
    </row>
    <row r="901" customFormat="1" s="77">
      <c r="A901" s="61" t="n">
        <v>44440</v>
      </c>
      <c r="B901" s="68">
        <f>VLOOKUP(Table2[[#This Row],[Date]],Database!A:E,2,)</f>
        <v/>
      </c>
      <c r="C901" s="14">
        <f>(B901-B900)/B900</f>
        <v/>
      </c>
      <c r="D901" s="14">
        <f>(B901-B889)/B889</f>
        <v/>
      </c>
      <c r="E901" s="15">
        <f>VLOOKUP(Table2[[#This Row],[Date]],'Fed Fund New'!$A:$C,2,FALSE)</f>
        <v/>
      </c>
      <c r="F901" s="15">
        <f>VLOOKUP(Table2[[#This Row],[Date]],'Fed Fund New'!$A:$C,3,FALSE)</f>
        <v/>
      </c>
    </row>
    <row r="902" customFormat="1" s="77">
      <c r="A902" s="61" t="n">
        <v>44470</v>
      </c>
      <c r="B902" s="68">
        <f>VLOOKUP(Table2[[#This Row],[Date]],Database!A:E,2,)</f>
        <v/>
      </c>
      <c r="C902" s="14">
        <f>(B902-B901)/B901</f>
        <v/>
      </c>
      <c r="D902" s="14">
        <f>(B902-B890)/B890</f>
        <v/>
      </c>
      <c r="E902" s="15">
        <f>VLOOKUP(Table2[[#This Row],[Date]],'Fed Fund New'!$A:$C,2,FALSE)</f>
        <v/>
      </c>
      <c r="F902" s="15">
        <f>VLOOKUP(Table2[[#This Row],[Date]],'Fed Fund New'!$A:$C,3,FALSE)</f>
        <v/>
      </c>
    </row>
    <row r="903" customFormat="1" s="77">
      <c r="A903" s="61" t="n">
        <v>44501</v>
      </c>
      <c r="B903" s="68">
        <f>VLOOKUP(Table2[[#This Row],[Date]],Database!A:E,2,)</f>
        <v/>
      </c>
      <c r="C903" s="14">
        <f>(B903-B902)/B902</f>
        <v/>
      </c>
      <c r="D903" s="14">
        <f>(B903-B891)/B891</f>
        <v/>
      </c>
      <c r="E903" s="15">
        <f>VLOOKUP(Table2[[#This Row],[Date]],'Fed Fund New'!$A:$C,2,FALSE)</f>
        <v/>
      </c>
      <c r="F903" s="15">
        <f>VLOOKUP(Table2[[#This Row],[Date]],'Fed Fund New'!$A:$C,3,FALSE)</f>
        <v/>
      </c>
    </row>
    <row r="904" customFormat="1" s="77">
      <c r="A904" s="61" t="n">
        <v>44531</v>
      </c>
      <c r="B904" s="68">
        <f>VLOOKUP(Table2[[#This Row],[Date]],Database!A:E,2,)</f>
        <v/>
      </c>
      <c r="C904" s="14">
        <f>(B904-B903)/B903</f>
        <v/>
      </c>
      <c r="D904" s="14">
        <f>(B904-B892)/B892</f>
        <v/>
      </c>
      <c r="E904" s="15">
        <f>VLOOKUP(Table2[[#This Row],[Date]],'Fed Fund New'!$A:$C,2,FALSE)</f>
        <v/>
      </c>
      <c r="F904" s="15">
        <f>VLOOKUP(Table2[[#This Row],[Date]],'Fed Fund New'!$A:$C,3,FALSE)</f>
        <v/>
      </c>
    </row>
    <row r="905" customFormat="1" s="77">
      <c r="A905" s="61" t="n">
        <v>44562</v>
      </c>
      <c r="B905" s="68">
        <f>VLOOKUP(Table2[[#This Row],[Date]],Database!A:E,2,)</f>
        <v/>
      </c>
      <c r="C905" s="14">
        <f>(B905-B904)/B904</f>
        <v/>
      </c>
      <c r="D905" s="14">
        <f>(B905-B893)/B893</f>
        <v/>
      </c>
      <c r="E905" s="15">
        <f>VLOOKUP(Table2[[#This Row],[Date]],'Fed Fund New'!$A:$C,2,FALSE)</f>
        <v/>
      </c>
      <c r="F905" s="15">
        <f>VLOOKUP(Table2[[#This Row],[Date]],'Fed Fund New'!$A:$C,3,FALSE)</f>
        <v/>
      </c>
    </row>
    <row r="906" customFormat="1" s="77">
      <c r="A906" s="61" t="n">
        <v>44593</v>
      </c>
      <c r="B906" s="68">
        <f>VLOOKUP(Table2[[#This Row],[Date]],Database!A:E,2,)</f>
        <v/>
      </c>
      <c r="C906" s="14">
        <f>(B906-B905)/B905</f>
        <v/>
      </c>
      <c r="D906" s="14">
        <f>(B906-B894)/B894</f>
        <v/>
      </c>
      <c r="E906" s="15">
        <f>VLOOKUP(Table2[[#This Row],[Date]],'Fed Fund New'!$A:$C,2,FALSE)</f>
        <v/>
      </c>
      <c r="F906" s="15">
        <f>VLOOKUP(Table2[[#This Row],[Date]],'Fed Fund New'!$A:$C,3,FALSE)</f>
        <v/>
      </c>
    </row>
    <row r="907" customFormat="1" s="77">
      <c r="A907" s="2" t="n"/>
      <c r="B907" s="64" t="n"/>
      <c r="C907" s="2" t="n"/>
      <c r="D907" s="2" t="n"/>
      <c r="E907" s="5" t="n"/>
      <c r="F907" s="5" t="n"/>
    </row>
    <row r="908" customFormat="1" s="77">
      <c r="A908" s="2" t="n"/>
      <c r="B908" s="64" t="n"/>
      <c r="C908" s="2" t="n"/>
      <c r="D908" s="2" t="n"/>
      <c r="E908" s="5" t="n"/>
      <c r="F908" s="5" t="n"/>
    </row>
    <row r="909" customFormat="1" s="77">
      <c r="A909" s="2" t="n"/>
      <c r="B909" s="64" t="n"/>
      <c r="C909" s="2" t="n"/>
      <c r="D909" s="2" t="n"/>
      <c r="E909" s="5" t="n"/>
      <c r="F909" s="5" t="n"/>
    </row>
    <row r="910" customFormat="1" s="77">
      <c r="A910" s="2" t="n"/>
      <c r="B910" s="64" t="n"/>
      <c r="C910" s="2" t="n"/>
      <c r="D910" s="2" t="n"/>
      <c r="E910" s="5" t="n"/>
      <c r="F910" s="5" t="n"/>
    </row>
    <row r="911" customFormat="1" s="77">
      <c r="A911" s="2" t="n"/>
      <c r="B911" s="64" t="n"/>
      <c r="C911" s="2" t="n"/>
      <c r="D911" s="2" t="n"/>
      <c r="E911" s="5" t="n"/>
      <c r="F911" s="5" t="n"/>
    </row>
    <row r="912" customFormat="1" s="77">
      <c r="A912" s="2" t="n"/>
      <c r="B912" s="64" t="n"/>
      <c r="C912" s="2" t="n"/>
      <c r="D912" s="2" t="n"/>
      <c r="E912" s="5" t="n"/>
      <c r="F912" s="5" t="n"/>
    </row>
    <row r="913" customFormat="1" s="77">
      <c r="A913" s="2" t="n"/>
      <c r="B913" s="64" t="n"/>
      <c r="C913" s="2" t="n"/>
      <c r="D913" s="2" t="n"/>
      <c r="E913" s="5" t="n"/>
      <c r="F913" s="5" t="n"/>
    </row>
    <row r="914" customFormat="1" s="77">
      <c r="A914" s="2" t="n"/>
      <c r="B914" s="64" t="n"/>
      <c r="C914" s="2" t="n"/>
      <c r="D914" s="2" t="n"/>
      <c r="E914" s="5" t="n"/>
      <c r="F914" s="5" t="n"/>
    </row>
    <row r="915" customFormat="1" s="77">
      <c r="A915" s="2" t="n"/>
      <c r="B915" s="64" t="n"/>
      <c r="C915" s="2" t="n"/>
      <c r="D915" s="2" t="n"/>
      <c r="E915" s="5" t="n"/>
      <c r="F915" s="5" t="n"/>
    </row>
    <row r="916" customFormat="1" s="77">
      <c r="A916" s="2" t="n"/>
      <c r="B916" s="64" t="n"/>
      <c r="C916" s="2" t="n"/>
      <c r="D916" s="2" t="n"/>
      <c r="E916" s="5" t="n"/>
      <c r="F916" s="5" t="n"/>
    </row>
    <row r="917" customFormat="1" s="77">
      <c r="A917" s="2" t="n"/>
      <c r="B917" s="64" t="n"/>
      <c r="C917" s="2" t="n"/>
      <c r="D917" s="2" t="n"/>
      <c r="E917" s="5" t="n"/>
      <c r="F917" s="5" t="n"/>
    </row>
    <row r="918" customFormat="1" s="77">
      <c r="A918" s="2" t="n"/>
      <c r="B918" s="64" t="n"/>
      <c r="C918" s="2" t="n"/>
      <c r="D918" s="2" t="n"/>
      <c r="E918" s="5" t="n"/>
      <c r="F918" s="5" t="n"/>
    </row>
    <row r="919" customFormat="1" s="77">
      <c r="A919" s="2" t="n"/>
      <c r="B919" s="64" t="n"/>
      <c r="C919" s="2" t="n"/>
      <c r="D919" s="2" t="n"/>
      <c r="E919" s="5" t="n"/>
      <c r="F919" s="5" t="n"/>
    </row>
    <row r="920" customFormat="1" s="77">
      <c r="A920" s="2" t="n"/>
      <c r="B920" s="64" t="n"/>
      <c r="C920" s="2" t="n"/>
      <c r="D920" s="2" t="n"/>
      <c r="E920" s="5" t="n"/>
      <c r="F920" s="5" t="n"/>
    </row>
    <row r="921" customFormat="1" s="77">
      <c r="A921" s="2" t="n"/>
      <c r="B921" s="64" t="n"/>
      <c r="C921" s="2" t="n"/>
      <c r="D921" s="2" t="n"/>
      <c r="E921" s="5" t="n"/>
      <c r="F921" s="5" t="n"/>
    </row>
    <row r="922" customFormat="1" s="77">
      <c r="A922" s="2" t="n"/>
      <c r="B922" s="64" t="n"/>
      <c r="C922" s="2" t="n"/>
      <c r="D922" s="2" t="n"/>
      <c r="E922" s="5" t="n"/>
      <c r="F922" s="5" t="n"/>
    </row>
    <row r="923" customFormat="1" s="77">
      <c r="A923" s="2" t="n"/>
      <c r="B923" s="64" t="n"/>
      <c r="C923" s="2" t="n"/>
      <c r="D923" s="2" t="n"/>
      <c r="E923" s="5" t="n"/>
      <c r="F923" s="5" t="n"/>
    </row>
    <row r="924" customFormat="1" s="77">
      <c r="A924" s="2" t="n"/>
      <c r="B924" s="64" t="n"/>
      <c r="C924" s="2" t="n"/>
      <c r="D924" s="2" t="n"/>
      <c r="E924" s="5" t="n"/>
      <c r="F924" s="5" t="n"/>
    </row>
    <row r="925" customFormat="1" s="77">
      <c r="A925" s="2" t="n"/>
      <c r="B925" s="64" t="n"/>
      <c r="C925" s="2" t="n"/>
      <c r="D925" s="2" t="n"/>
      <c r="E925" s="5" t="n"/>
      <c r="F925" s="5" t="n"/>
    </row>
    <row r="926" customFormat="1" s="77">
      <c r="A926" s="2" t="n"/>
      <c r="B926" s="64" t="n"/>
      <c r="C926" s="2" t="n"/>
      <c r="D926" s="2" t="n"/>
      <c r="E926" s="5" t="n"/>
      <c r="F926" s="5" t="n"/>
    </row>
    <row r="927" customFormat="1" s="77">
      <c r="A927" s="2" t="n"/>
      <c r="B927" s="64" t="n"/>
      <c r="C927" s="2" t="n"/>
      <c r="D927" s="2" t="n"/>
      <c r="E927" s="5" t="n"/>
      <c r="F927" s="5" t="n"/>
    </row>
    <row r="928" customFormat="1" s="77">
      <c r="A928" s="2" t="n"/>
      <c r="B928" s="64" t="n"/>
      <c r="C928" s="2" t="n"/>
      <c r="D928" s="2" t="n"/>
      <c r="E928" s="5" t="n"/>
      <c r="F928" s="5" t="n"/>
    </row>
    <row r="929" customFormat="1" s="77">
      <c r="A929" s="2" t="n"/>
      <c r="B929" s="64" t="n"/>
      <c r="C929" s="2" t="n"/>
      <c r="D929" s="2" t="n"/>
      <c r="E929" s="5" t="n"/>
      <c r="F929" s="5" t="n"/>
    </row>
    <row r="930" customFormat="1" s="77">
      <c r="A930" s="2" t="n"/>
      <c r="B930" s="64" t="n"/>
      <c r="C930" s="2" t="n"/>
      <c r="D930" s="2" t="n"/>
      <c r="E930" s="5" t="n"/>
      <c r="F930" s="5" t="n"/>
    </row>
    <row r="931" customFormat="1" s="77">
      <c r="A931" s="2" t="n"/>
      <c r="B931" s="64" t="n"/>
      <c r="C931" s="2" t="n"/>
      <c r="D931" s="2" t="n"/>
      <c r="E931" s="5" t="n"/>
      <c r="F931" s="5" t="n"/>
    </row>
    <row r="932" customFormat="1" s="77">
      <c r="A932" s="2" t="n"/>
      <c r="B932" s="64" t="n"/>
      <c r="C932" s="2" t="n"/>
      <c r="D932" s="2" t="n"/>
      <c r="E932" s="5" t="n"/>
      <c r="F932" s="5" t="n"/>
    </row>
    <row r="933" customFormat="1" s="77">
      <c r="A933" s="2" t="n"/>
      <c r="B933" s="64" t="n"/>
      <c r="C933" s="2" t="n"/>
      <c r="D933" s="2" t="n"/>
      <c r="E933" s="5" t="n"/>
      <c r="F933" s="5" t="n"/>
    </row>
    <row r="934" customFormat="1" s="77">
      <c r="A934" s="2" t="n"/>
      <c r="B934" s="64" t="n"/>
      <c r="C934" s="2" t="n"/>
      <c r="D934" s="2" t="n"/>
      <c r="E934" s="5" t="n"/>
      <c r="F934" s="5" t="n"/>
    </row>
    <row r="935" customFormat="1" s="77">
      <c r="A935" s="2" t="n"/>
      <c r="B935" s="64" t="n"/>
      <c r="C935" s="2" t="n"/>
      <c r="D935" s="2" t="n"/>
      <c r="E935" s="5" t="n"/>
      <c r="F935" s="5" t="n"/>
    </row>
    <row r="936" customFormat="1" s="77">
      <c r="A936" s="2" t="n"/>
      <c r="B936" s="64" t="n"/>
      <c r="C936" s="2" t="n"/>
      <c r="D936" s="2" t="n"/>
      <c r="E936" s="5" t="n"/>
      <c r="F936" s="5" t="n"/>
    </row>
    <row r="937" customFormat="1" s="77">
      <c r="A937" s="2" t="n"/>
      <c r="B937" s="64" t="n"/>
      <c r="C937" s="2" t="n"/>
      <c r="D937" s="2" t="n"/>
      <c r="E937" s="5" t="n"/>
      <c r="F937" s="5" t="n"/>
    </row>
    <row r="938" customFormat="1" s="77">
      <c r="A938" s="2" t="n"/>
      <c r="B938" s="64" t="n"/>
      <c r="C938" s="2" t="n"/>
      <c r="D938" s="2" t="n"/>
      <c r="E938" s="5" t="n"/>
      <c r="F938" s="5" t="n"/>
    </row>
    <row r="939" customFormat="1" s="77">
      <c r="A939" s="2" t="n"/>
      <c r="B939" s="64" t="n"/>
      <c r="C939" s="2" t="n"/>
      <c r="D939" s="2" t="n"/>
      <c r="E939" s="5" t="n"/>
      <c r="F939" s="5" t="n"/>
    </row>
    <row r="940" customFormat="1" s="77">
      <c r="A940" s="2" t="n"/>
      <c r="B940" s="64" t="n"/>
      <c r="C940" s="2" t="n"/>
      <c r="D940" s="2" t="n"/>
      <c r="E940" s="5" t="n"/>
      <c r="F940" s="5" t="n"/>
    </row>
    <row r="941" customFormat="1" s="77">
      <c r="A941" s="2" t="n"/>
      <c r="B941" s="64" t="n"/>
      <c r="C941" s="2" t="n"/>
      <c r="D941" s="2" t="n"/>
      <c r="E941" s="5" t="n"/>
      <c r="F941" s="5" t="n"/>
    </row>
    <row r="942" customFormat="1" s="77">
      <c r="A942" s="2" t="n"/>
      <c r="B942" s="64" t="n"/>
      <c r="C942" s="2" t="n"/>
      <c r="D942" s="2" t="n"/>
      <c r="E942" s="5" t="n"/>
      <c r="F942" s="5" t="n"/>
    </row>
    <row r="943" customFormat="1" s="77">
      <c r="A943" s="2" t="n"/>
      <c r="B943" s="64" t="n"/>
      <c r="C943" s="2" t="n"/>
      <c r="D943" s="2" t="n"/>
      <c r="E943" s="5" t="n"/>
      <c r="F943" s="5" t="n"/>
    </row>
    <row r="944" customFormat="1" s="77">
      <c r="A944" s="2" t="n"/>
      <c r="B944" s="64" t="n"/>
      <c r="C944" s="2" t="n"/>
      <c r="D944" s="2" t="n"/>
      <c r="E944" s="5" t="n"/>
      <c r="F944" s="5" t="n"/>
    </row>
    <row r="945" customFormat="1" s="77">
      <c r="A945" s="2" t="n"/>
      <c r="B945" s="64" t="n"/>
      <c r="C945" s="2" t="n"/>
      <c r="D945" s="2" t="n"/>
      <c r="E945" s="5" t="n"/>
      <c r="F945" s="5" t="n"/>
    </row>
    <row r="946" customFormat="1" s="77">
      <c r="A946" s="2" t="n"/>
      <c r="B946" s="64" t="n"/>
      <c r="C946" s="2" t="n"/>
      <c r="D946" s="2" t="n"/>
      <c r="E946" s="5" t="n"/>
      <c r="F946" s="5" t="n"/>
    </row>
    <row r="947" customFormat="1" s="77">
      <c r="A947" s="2" t="n"/>
      <c r="B947" s="64" t="n"/>
      <c r="C947" s="2" t="n"/>
      <c r="D947" s="2" t="n"/>
      <c r="E947" s="5" t="n"/>
      <c r="F947" s="5" t="n"/>
    </row>
    <row r="948" customFormat="1" s="77">
      <c r="A948" s="2" t="n"/>
      <c r="B948" s="64" t="n"/>
      <c r="C948" s="2" t="n"/>
      <c r="D948" s="2" t="n"/>
      <c r="E948" s="5" t="n"/>
      <c r="F948" s="5" t="n"/>
    </row>
    <row r="949" customFormat="1" s="77">
      <c r="A949" s="2" t="n"/>
      <c r="B949" s="64" t="n"/>
      <c r="C949" s="2" t="n"/>
      <c r="D949" s="2" t="n"/>
      <c r="E949" s="5" t="n"/>
      <c r="F949" s="5" t="n"/>
    </row>
    <row r="950" customFormat="1" s="77">
      <c r="A950" s="2" t="n"/>
      <c r="B950" s="64" t="n"/>
      <c r="C950" s="2" t="n"/>
      <c r="D950" s="2" t="n"/>
      <c r="E950" s="5" t="n"/>
      <c r="F950" s="5" t="n"/>
    </row>
    <row r="951" customFormat="1" s="77">
      <c r="A951" s="2" t="n"/>
      <c r="B951" s="64" t="n"/>
      <c r="C951" s="2" t="n"/>
      <c r="D951" s="2" t="n"/>
      <c r="E951" s="5" t="n"/>
      <c r="F951" s="5" t="n"/>
    </row>
    <row r="952" customFormat="1" s="77">
      <c r="A952" s="2" t="n"/>
      <c r="B952" s="64" t="n"/>
      <c r="C952" s="2" t="n"/>
      <c r="D952" s="2" t="n"/>
      <c r="E952" s="5" t="n"/>
      <c r="F952" s="5" t="n"/>
    </row>
    <row r="953" customFormat="1" s="77">
      <c r="A953" s="2" t="n"/>
      <c r="B953" s="64" t="n"/>
      <c r="C953" s="2" t="n"/>
      <c r="D953" s="2" t="n"/>
      <c r="E953" s="5" t="n"/>
      <c r="F953" s="5" t="n"/>
    </row>
    <row r="954" customFormat="1" s="77">
      <c r="A954" s="2" t="n"/>
      <c r="B954" s="64" t="n"/>
      <c r="C954" s="2" t="n"/>
      <c r="D954" s="2" t="n"/>
      <c r="E954" s="5" t="n"/>
      <c r="F954" s="5" t="n"/>
    </row>
    <row r="955" customFormat="1" s="77">
      <c r="A955" s="2" t="n"/>
      <c r="B955" s="64" t="n"/>
      <c r="C955" s="2" t="n"/>
      <c r="D955" s="2" t="n"/>
      <c r="E955" s="5" t="n"/>
      <c r="F955" s="5" t="n"/>
    </row>
    <row r="956" customFormat="1" s="77">
      <c r="A956" s="2" t="n"/>
      <c r="B956" s="64" t="n"/>
      <c r="C956" s="2" t="n"/>
      <c r="D956" s="2" t="n"/>
      <c r="E956" s="5" t="n"/>
      <c r="F956" s="5" t="n"/>
    </row>
    <row r="957" customFormat="1" s="77">
      <c r="A957" s="2" t="n"/>
      <c r="B957" s="64" t="n"/>
      <c r="C957" s="2" t="n"/>
      <c r="D957" s="2" t="n"/>
      <c r="E957" s="5" t="n"/>
      <c r="F957" s="5" t="n"/>
    </row>
    <row r="958" customFormat="1" s="77">
      <c r="A958" s="2" t="n"/>
      <c r="B958" s="64" t="n"/>
      <c r="C958" s="2" t="n"/>
      <c r="D958" s="2" t="n"/>
      <c r="E958" s="5" t="n"/>
      <c r="F958" s="5" t="n"/>
    </row>
    <row r="959" customFormat="1" s="77">
      <c r="A959" s="2" t="n"/>
      <c r="B959" s="64" t="n"/>
      <c r="C959" s="2" t="n"/>
      <c r="D959" s="2" t="n"/>
      <c r="E959" s="5" t="n"/>
      <c r="F959" s="5" t="n"/>
    </row>
    <row r="960" customFormat="1" s="77">
      <c r="A960" s="2" t="n"/>
      <c r="B960" s="64" t="n"/>
      <c r="C960" s="2" t="n"/>
      <c r="D960" s="2" t="n"/>
      <c r="E960" s="5" t="n"/>
      <c r="F960" s="5" t="n"/>
    </row>
    <row r="961" customFormat="1" s="77">
      <c r="A961" s="2" t="n"/>
      <c r="B961" s="64" t="n"/>
      <c r="C961" s="2" t="n"/>
      <c r="D961" s="2" t="n"/>
      <c r="E961" s="5" t="n"/>
      <c r="F961" s="5" t="n"/>
    </row>
    <row r="962" customFormat="1" s="77">
      <c r="A962" s="2" t="n"/>
      <c r="B962" s="64" t="n"/>
      <c r="C962" s="2" t="n"/>
      <c r="D962" s="2" t="n"/>
      <c r="E962" s="5" t="n"/>
      <c r="F962" s="5" t="n"/>
    </row>
    <row r="963" customFormat="1" s="77">
      <c r="A963" s="2" t="n"/>
      <c r="B963" s="64" t="n"/>
      <c r="C963" s="2" t="n"/>
      <c r="D963" s="2" t="n"/>
      <c r="E963" s="5" t="n"/>
      <c r="F963" s="5" t="n"/>
    </row>
    <row r="964" customFormat="1" s="77">
      <c r="A964" s="2" t="n"/>
      <c r="B964" s="64" t="n"/>
      <c r="C964" s="2" t="n"/>
      <c r="D964" s="2" t="n"/>
      <c r="E964" s="5" t="n"/>
      <c r="F964" s="5" t="n"/>
    </row>
    <row r="965" customFormat="1" s="77">
      <c r="A965" s="2" t="n"/>
      <c r="B965" s="64" t="n"/>
      <c r="C965" s="2" t="n"/>
      <c r="D965" s="2" t="n"/>
      <c r="E965" s="5" t="n"/>
      <c r="F965" s="5" t="n"/>
    </row>
    <row r="966" customFormat="1" s="77">
      <c r="A966" s="2" t="n"/>
      <c r="B966" s="64" t="n"/>
      <c r="C966" s="2" t="n"/>
      <c r="D966" s="2" t="n"/>
      <c r="E966" s="5" t="n"/>
      <c r="F966" s="5" t="n"/>
    </row>
    <row r="967" customFormat="1" s="77">
      <c r="A967" s="2" t="n"/>
      <c r="B967" s="64" t="n"/>
      <c r="C967" s="2" t="n"/>
      <c r="D967" s="2" t="n"/>
      <c r="E967" s="5" t="n"/>
      <c r="F967" s="5" t="n"/>
    </row>
    <row r="968" customFormat="1" s="77">
      <c r="A968" s="2" t="n"/>
      <c r="B968" s="64" t="n"/>
      <c r="C968" s="2" t="n"/>
      <c r="D968" s="2" t="n"/>
      <c r="E968" s="5" t="n"/>
      <c r="F968" s="5" t="n"/>
    </row>
    <row r="969" customFormat="1" s="77">
      <c r="A969" s="2" t="n"/>
      <c r="B969" s="64" t="n"/>
      <c r="C969" s="2" t="n"/>
      <c r="D969" s="2" t="n"/>
      <c r="E969" s="5" t="n"/>
      <c r="F969" s="5" t="n"/>
    </row>
    <row r="970" customFormat="1" s="77">
      <c r="A970" s="2" t="n"/>
      <c r="B970" s="64" t="n"/>
      <c r="C970" s="2" t="n"/>
      <c r="D970" s="2" t="n"/>
      <c r="E970" s="5" t="n"/>
      <c r="F970" s="5" t="n"/>
    </row>
    <row r="971" customFormat="1" s="77">
      <c r="A971" s="2" t="n"/>
      <c r="B971" s="64" t="n"/>
      <c r="C971" s="2" t="n"/>
      <c r="D971" s="2" t="n"/>
      <c r="E971" s="5" t="n"/>
      <c r="F971" s="5" t="n"/>
    </row>
    <row r="972" customFormat="1" s="77">
      <c r="A972" s="2" t="n"/>
      <c r="B972" s="64" t="n"/>
      <c r="C972" s="2" t="n"/>
      <c r="D972" s="2" t="n"/>
      <c r="E972" s="5" t="n"/>
      <c r="F972" s="5" t="n"/>
    </row>
    <row r="973" customFormat="1" s="77">
      <c r="A973" s="2" t="n"/>
      <c r="B973" s="64" t="n"/>
      <c r="C973" s="2" t="n"/>
      <c r="D973" s="2" t="n"/>
      <c r="E973" s="5" t="n"/>
      <c r="F973" s="5" t="n"/>
    </row>
    <row r="974" customFormat="1" s="77">
      <c r="A974" s="2" t="n"/>
      <c r="B974" s="64" t="n"/>
      <c r="C974" s="2" t="n"/>
      <c r="D974" s="2" t="n"/>
      <c r="E974" s="5" t="n"/>
      <c r="F974" s="5" t="n"/>
    </row>
    <row r="975" customFormat="1" s="77">
      <c r="A975" s="2" t="n"/>
      <c r="B975" s="64" t="n"/>
      <c r="C975" s="2" t="n"/>
      <c r="D975" s="2" t="n"/>
      <c r="E975" s="5" t="n"/>
      <c r="F975" s="5" t="n"/>
    </row>
    <row r="976" customFormat="1" s="77">
      <c r="A976" s="2" t="n"/>
      <c r="B976" s="64" t="n"/>
      <c r="C976" s="2" t="n"/>
      <c r="D976" s="2" t="n"/>
      <c r="E976" s="5" t="n"/>
      <c r="F976" s="5" t="n"/>
    </row>
    <row r="977" customFormat="1" s="77">
      <c r="A977" s="2" t="n"/>
      <c r="B977" s="64" t="n"/>
      <c r="C977" s="2" t="n"/>
      <c r="D977" s="2" t="n"/>
      <c r="E977" s="5" t="n"/>
      <c r="F977" s="5" t="n"/>
    </row>
    <row r="978" customFormat="1" s="77">
      <c r="A978" s="2" t="n"/>
      <c r="B978" s="64" t="n"/>
      <c r="C978" s="2" t="n"/>
      <c r="D978" s="2" t="n"/>
      <c r="E978" s="5" t="n"/>
      <c r="F978" s="5" t="n"/>
    </row>
    <row r="979" customFormat="1" s="77">
      <c r="A979" s="2" t="n"/>
      <c r="B979" s="64" t="n"/>
      <c r="C979" s="2" t="n"/>
      <c r="D979" s="2" t="n"/>
      <c r="E979" s="5" t="n"/>
      <c r="F979" s="5" t="n"/>
    </row>
    <row r="980" customFormat="1" s="77">
      <c r="A980" s="2" t="n"/>
      <c r="B980" s="64" t="n"/>
      <c r="C980" s="2" t="n"/>
      <c r="D980" s="2" t="n"/>
      <c r="E980" s="5" t="n"/>
      <c r="F980" s="5" t="n"/>
    </row>
    <row r="981" customFormat="1" s="77">
      <c r="A981" s="2" t="n"/>
      <c r="B981" s="64" t="n"/>
      <c r="C981" s="2" t="n"/>
      <c r="D981" s="2" t="n"/>
      <c r="E981" s="5" t="n"/>
      <c r="F981" s="5" t="n"/>
    </row>
    <row r="982" customFormat="1" s="77">
      <c r="A982" s="2" t="n"/>
      <c r="B982" s="64" t="n"/>
      <c r="C982" s="2" t="n"/>
      <c r="D982" s="2" t="n"/>
      <c r="E982" s="5" t="n"/>
      <c r="F982" s="5" t="n"/>
    </row>
    <row r="983" customFormat="1" s="77">
      <c r="A983" s="2" t="n"/>
      <c r="B983" s="64" t="n"/>
      <c r="C983" s="2" t="n"/>
      <c r="D983" s="2" t="n"/>
      <c r="E983" s="5" t="n"/>
      <c r="F983" s="5" t="n"/>
    </row>
    <row r="984" customFormat="1" s="77">
      <c r="A984" s="2" t="n"/>
      <c r="B984" s="64" t="n"/>
      <c r="C984" s="2" t="n"/>
      <c r="D984" s="2" t="n"/>
      <c r="E984" s="5" t="n"/>
      <c r="F984" s="5" t="n"/>
    </row>
    <row r="985" customFormat="1" s="77">
      <c r="A985" s="2" t="n"/>
      <c r="B985" s="64" t="n"/>
      <c r="C985" s="2" t="n"/>
      <c r="D985" s="2" t="n"/>
      <c r="E985" s="5" t="n"/>
      <c r="F985" s="5" t="n"/>
    </row>
    <row r="986" customFormat="1" s="77">
      <c r="A986" s="2" t="n"/>
      <c r="B986" s="64" t="n"/>
      <c r="C986" s="2" t="n"/>
      <c r="D986" s="2" t="n"/>
      <c r="E986" s="5" t="n"/>
      <c r="F986" s="5" t="n"/>
    </row>
    <row r="987" customFormat="1" s="77">
      <c r="A987" s="2" t="n"/>
      <c r="B987" s="64" t="n"/>
      <c r="C987" s="2" t="n"/>
      <c r="D987" s="2" t="n"/>
      <c r="E987" s="5" t="n"/>
      <c r="F987" s="5" t="n"/>
    </row>
    <row r="988" customFormat="1" s="77">
      <c r="A988" s="2" t="n"/>
      <c r="B988" s="64" t="n"/>
      <c r="C988" s="2" t="n"/>
      <c r="D988" s="2" t="n"/>
      <c r="E988" s="5" t="n"/>
      <c r="F988" s="5" t="n"/>
    </row>
    <row r="989" customFormat="1" s="77">
      <c r="A989" s="2" t="n"/>
      <c r="B989" s="64" t="n"/>
      <c r="C989" s="2" t="n"/>
      <c r="D989" s="2" t="n"/>
      <c r="E989" s="5" t="n"/>
      <c r="F989" s="5" t="n"/>
    </row>
    <row r="990" customFormat="1" s="77">
      <c r="A990" s="2" t="n"/>
      <c r="B990" s="64" t="n"/>
      <c r="C990" s="2" t="n"/>
      <c r="D990" s="2" t="n"/>
      <c r="E990" s="5" t="n"/>
      <c r="F990" s="5" t="n"/>
    </row>
    <row r="991" customFormat="1" s="77">
      <c r="A991" s="2" t="n"/>
      <c r="B991" s="64" t="n"/>
      <c r="C991" s="2" t="n"/>
      <c r="D991" s="2" t="n"/>
      <c r="E991" s="5" t="n"/>
      <c r="F991" s="5" t="n"/>
    </row>
    <row r="992" customFormat="1" s="77">
      <c r="A992" s="2" t="n"/>
      <c r="B992" s="64" t="n"/>
      <c r="C992" s="2" t="n"/>
      <c r="D992" s="2" t="n"/>
      <c r="E992" s="5" t="n"/>
      <c r="F992" s="5" t="n"/>
    </row>
    <row r="993" customFormat="1" s="77">
      <c r="A993" s="2" t="n"/>
      <c r="B993" s="64" t="n"/>
      <c r="C993" s="2" t="n"/>
      <c r="D993" s="2" t="n"/>
      <c r="E993" s="5" t="n"/>
      <c r="F993" s="5" t="n"/>
    </row>
    <row r="994" customFormat="1" s="77">
      <c r="A994" s="2" t="n"/>
      <c r="B994" s="64" t="n"/>
      <c r="C994" s="2" t="n"/>
      <c r="D994" s="2" t="n"/>
      <c r="E994" s="5" t="n"/>
      <c r="F994" s="5" t="n"/>
    </row>
    <row r="995" customFormat="1" s="77">
      <c r="A995" s="2" t="n"/>
      <c r="B995" s="64" t="n"/>
      <c r="C995" s="2" t="n"/>
      <c r="D995" s="2" t="n"/>
      <c r="E995" s="5" t="n"/>
      <c r="F995" s="5" t="n"/>
    </row>
    <row r="996" customFormat="1" s="77">
      <c r="A996" s="2" t="n"/>
      <c r="B996" s="64" t="n"/>
      <c r="C996" s="2" t="n"/>
      <c r="D996" s="2" t="n"/>
      <c r="E996" s="5" t="n"/>
      <c r="F996" s="5" t="n"/>
    </row>
    <row r="997" customFormat="1" s="77">
      <c r="A997" s="2" t="n"/>
      <c r="B997" s="64" t="n"/>
      <c r="C997" s="2" t="n"/>
      <c r="D997" s="2" t="n"/>
      <c r="E997" s="5" t="n"/>
      <c r="F997" s="5" t="n"/>
    </row>
    <row r="998" customFormat="1" s="77">
      <c r="A998" s="2" t="n"/>
      <c r="B998" s="64" t="n"/>
      <c r="C998" s="2" t="n"/>
      <c r="D998" s="2" t="n"/>
      <c r="E998" s="5" t="n"/>
      <c r="F998" s="5" t="n"/>
    </row>
    <row r="999" customFormat="1" s="77">
      <c r="A999" s="2" t="n"/>
      <c r="B999" s="64" t="n"/>
      <c r="C999" s="2" t="n"/>
      <c r="D999" s="2" t="n"/>
      <c r="E999" s="5" t="n"/>
      <c r="F999" s="5" t="n"/>
    </row>
    <row r="1000" customFormat="1" s="77">
      <c r="A1000" s="2" t="n"/>
      <c r="B1000" s="64" t="n"/>
      <c r="C1000" s="2" t="n"/>
      <c r="D1000" s="2" t="n"/>
      <c r="E1000" s="5" t="n"/>
      <c r="F1000" s="5" t="n"/>
    </row>
    <row r="1001" customFormat="1" s="77">
      <c r="A1001" s="2" t="n"/>
      <c r="B1001" s="64" t="n"/>
      <c r="C1001" s="2" t="n"/>
      <c r="D1001" s="2" t="n"/>
      <c r="E1001" s="5" t="n"/>
      <c r="F1001" s="5" t="n"/>
    </row>
    <row r="1002" customFormat="1" s="77">
      <c r="A1002" s="2" t="n"/>
      <c r="B1002" s="64" t="n"/>
      <c r="C1002" s="2" t="n"/>
      <c r="D1002" s="2" t="n"/>
      <c r="E1002" s="5" t="n"/>
      <c r="F1002" s="5" t="n"/>
    </row>
    <row r="1003" customFormat="1" s="77">
      <c r="A1003" s="2" t="n"/>
      <c r="B1003" s="64" t="n"/>
      <c r="C1003" s="2" t="n"/>
      <c r="D1003" s="2" t="n"/>
      <c r="E1003" s="5" t="n"/>
      <c r="F1003" s="5" t="n"/>
    </row>
    <row r="1004" customFormat="1" s="77">
      <c r="A1004" s="2" t="n"/>
      <c r="B1004" s="64" t="n"/>
      <c r="C1004" s="2" t="n"/>
      <c r="D1004" s="2" t="n"/>
      <c r="E1004" s="5" t="n"/>
      <c r="F1004" s="5" t="n"/>
    </row>
    <row r="1005" customFormat="1" s="77">
      <c r="A1005" s="2" t="n"/>
      <c r="B1005" s="64" t="n"/>
      <c r="C1005" s="2" t="n"/>
      <c r="D1005" s="2" t="n"/>
      <c r="E1005" s="5" t="n"/>
      <c r="F1005" s="5" t="n"/>
    </row>
    <row r="1006" customFormat="1" s="77">
      <c r="A1006" s="2" t="n"/>
      <c r="B1006" s="64" t="n"/>
      <c r="C1006" s="2" t="n"/>
      <c r="D1006" s="2" t="n"/>
      <c r="E1006" s="5" t="n"/>
      <c r="F1006" s="5" t="n"/>
    </row>
    <row r="1007" customFormat="1" s="77">
      <c r="A1007" s="2" t="n"/>
      <c r="B1007" s="64" t="n"/>
      <c r="C1007" s="2" t="n"/>
      <c r="D1007" s="2" t="n"/>
      <c r="E1007" s="5" t="n"/>
      <c r="F1007" s="5" t="n"/>
    </row>
    <row r="1008" customFormat="1" s="77">
      <c r="A1008" s="2" t="n"/>
      <c r="B1008" s="64" t="n"/>
      <c r="C1008" s="2" t="n"/>
      <c r="D1008" s="2" t="n"/>
      <c r="E1008" s="5" t="n"/>
      <c r="F1008" s="5" t="n"/>
    </row>
    <row r="1009" customFormat="1" s="77">
      <c r="A1009" s="2" t="n"/>
      <c r="B1009" s="64" t="n"/>
      <c r="C1009" s="2" t="n"/>
      <c r="D1009" s="2" t="n"/>
      <c r="E1009" s="5" t="n"/>
      <c r="F1009" s="5" t="n"/>
    </row>
    <row r="1010" customFormat="1" s="77">
      <c r="A1010" s="2" t="n"/>
      <c r="B1010" s="64" t="n"/>
      <c r="C1010" s="2" t="n"/>
      <c r="D1010" s="2" t="n"/>
      <c r="E1010" s="5" t="n"/>
      <c r="F1010" s="5" t="n"/>
    </row>
    <row r="1011" customFormat="1" s="77">
      <c r="A1011" s="2" t="n"/>
      <c r="B1011" s="64" t="n"/>
      <c r="C1011" s="2" t="n"/>
      <c r="D1011" s="2" t="n"/>
      <c r="E1011" s="5" t="n"/>
      <c r="F1011" s="5" t="n"/>
    </row>
    <row r="1012" customFormat="1" s="77">
      <c r="A1012" s="2" t="n"/>
      <c r="B1012" s="64" t="n"/>
      <c r="C1012" s="2" t="n"/>
      <c r="D1012" s="2" t="n"/>
      <c r="E1012" s="5" t="n"/>
      <c r="F1012" s="5" t="n"/>
    </row>
    <row r="1013" customFormat="1" s="77">
      <c r="A1013" s="2" t="n"/>
      <c r="B1013" s="64" t="n"/>
      <c r="C1013" s="2" t="n"/>
      <c r="D1013" s="2" t="n"/>
      <c r="E1013" s="5" t="n"/>
      <c r="F1013" s="5" t="n"/>
    </row>
    <row r="1014" customFormat="1" s="77">
      <c r="A1014" s="2" t="n"/>
      <c r="B1014" s="64" t="n"/>
      <c r="C1014" s="2" t="n"/>
      <c r="D1014" s="2" t="n"/>
      <c r="E1014" s="5" t="n"/>
      <c r="F1014" s="5" t="n"/>
    </row>
    <row r="1015" customFormat="1" s="77">
      <c r="A1015" s="2" t="n"/>
      <c r="B1015" s="64" t="n"/>
      <c r="C1015" s="2" t="n"/>
      <c r="D1015" s="2" t="n"/>
      <c r="E1015" s="5" t="n"/>
      <c r="F1015" s="5" t="n"/>
    </row>
    <row r="1016" customFormat="1" s="77">
      <c r="A1016" s="2" t="n"/>
      <c r="B1016" s="64" t="n"/>
      <c r="C1016" s="2" t="n"/>
      <c r="D1016" s="2" t="n"/>
      <c r="E1016" s="5" t="n"/>
      <c r="F1016" s="5" t="n"/>
    </row>
    <row r="1017" customFormat="1" s="77">
      <c r="A1017" s="2" t="n"/>
      <c r="B1017" s="64" t="n"/>
      <c r="C1017" s="2" t="n"/>
      <c r="D1017" s="2" t="n"/>
      <c r="E1017" s="5" t="n"/>
      <c r="F1017" s="5" t="n"/>
    </row>
    <row r="1018" customFormat="1" s="77">
      <c r="A1018" s="2" t="n"/>
      <c r="B1018" s="64" t="n"/>
      <c r="C1018" s="2" t="n"/>
      <c r="D1018" s="2" t="n"/>
      <c r="E1018" s="5" t="n"/>
      <c r="F1018" s="5" t="n"/>
    </row>
    <row r="1019" customFormat="1" s="77">
      <c r="A1019" s="2" t="n"/>
      <c r="B1019" s="64" t="n"/>
      <c r="C1019" s="2" t="n"/>
      <c r="D1019" s="2" t="n"/>
      <c r="E1019" s="5" t="n"/>
      <c r="F1019" s="5" t="n"/>
    </row>
    <row r="1020" customFormat="1" s="77">
      <c r="A1020" s="2" t="n"/>
      <c r="B1020" s="64" t="n"/>
      <c r="C1020" s="2" t="n"/>
      <c r="D1020" s="2" t="n"/>
      <c r="E1020" s="5" t="n"/>
      <c r="F1020" s="5" t="n"/>
    </row>
    <row r="1021" customFormat="1" s="77">
      <c r="A1021" s="2" t="n"/>
      <c r="B1021" s="64" t="n"/>
      <c r="C1021" s="2" t="n"/>
      <c r="D1021" s="2" t="n"/>
      <c r="E1021" s="5" t="n"/>
      <c r="F1021" s="5" t="n"/>
    </row>
    <row r="1022" customFormat="1" s="77">
      <c r="A1022" s="2" t="n"/>
      <c r="B1022" s="64" t="n"/>
      <c r="C1022" s="2" t="n"/>
      <c r="D1022" s="2" t="n"/>
      <c r="E1022" s="5" t="n"/>
      <c r="F1022" s="5" t="n"/>
    </row>
    <row r="1023" customFormat="1" s="77">
      <c r="A1023" s="2" t="n"/>
      <c r="B1023" s="64" t="n"/>
      <c r="C1023" s="2" t="n"/>
      <c r="D1023" s="2" t="n"/>
      <c r="E1023" s="5" t="n"/>
      <c r="F1023" s="5" t="n"/>
    </row>
    <row r="1024" customFormat="1" s="77">
      <c r="A1024" s="2" t="n"/>
      <c r="B1024" s="64" t="n"/>
      <c r="C1024" s="2" t="n"/>
      <c r="D1024" s="2" t="n"/>
      <c r="E1024" s="5" t="n"/>
      <c r="F1024" s="5" t="n"/>
    </row>
    <row r="1025" customFormat="1" s="77">
      <c r="A1025" s="2" t="n"/>
      <c r="B1025" s="64" t="n"/>
      <c r="C1025" s="2" t="n"/>
      <c r="D1025" s="2" t="n"/>
      <c r="E1025" s="5" t="n"/>
      <c r="F1025" s="5" t="n"/>
    </row>
    <row r="1026" customFormat="1" s="77">
      <c r="A1026" s="2" t="n"/>
      <c r="B1026" s="64" t="n"/>
      <c r="C1026" s="2" t="n"/>
      <c r="D1026" s="2" t="n"/>
      <c r="E1026" s="5" t="n"/>
      <c r="F1026" s="5" t="n"/>
    </row>
    <row r="1027" customFormat="1" s="77">
      <c r="A1027" s="2" t="n"/>
      <c r="B1027" s="64" t="n"/>
      <c r="C1027" s="2" t="n"/>
      <c r="D1027" s="2" t="n"/>
      <c r="E1027" s="5" t="n"/>
      <c r="F1027" s="5" t="n"/>
    </row>
    <row r="1028" customFormat="1" s="77">
      <c r="A1028" s="2" t="n"/>
      <c r="B1028" s="64" t="n"/>
      <c r="C1028" s="2" t="n"/>
      <c r="D1028" s="2" t="n"/>
      <c r="E1028" s="5" t="n"/>
      <c r="F1028" s="5" t="n"/>
    </row>
    <row r="1029" customFormat="1" s="77">
      <c r="A1029" s="2" t="n"/>
      <c r="B1029" s="64" t="n"/>
      <c r="C1029" s="2" t="n"/>
      <c r="D1029" s="2" t="n"/>
      <c r="E1029" s="5" t="n"/>
      <c r="F1029" s="5" t="n"/>
    </row>
    <row r="1030" customFormat="1" s="77">
      <c r="A1030" s="2" t="n"/>
      <c r="B1030" s="64" t="n"/>
      <c r="C1030" s="2" t="n"/>
      <c r="D1030" s="2" t="n"/>
      <c r="E1030" s="5" t="n"/>
      <c r="F1030" s="5" t="n"/>
    </row>
    <row r="1031" customFormat="1" s="77">
      <c r="A1031" s="2" t="n"/>
      <c r="B1031" s="64" t="n"/>
      <c r="C1031" s="2" t="n"/>
      <c r="D1031" s="2" t="n"/>
      <c r="E1031" s="5" t="n"/>
      <c r="F1031" s="5" t="n"/>
    </row>
    <row r="1032" customFormat="1" s="77">
      <c r="A1032" s="2" t="n"/>
      <c r="B1032" s="64" t="n"/>
      <c r="C1032" s="2" t="n"/>
      <c r="D1032" s="2" t="n"/>
      <c r="E1032" s="5" t="n"/>
      <c r="F1032" s="5" t="n"/>
    </row>
    <row r="1033" customFormat="1" s="77">
      <c r="A1033" s="2" t="n"/>
      <c r="B1033" s="64" t="n"/>
      <c r="C1033" s="2" t="n"/>
      <c r="D1033" s="2" t="n"/>
      <c r="E1033" s="5" t="n"/>
      <c r="F1033" s="5" t="n"/>
    </row>
    <row r="1034" customFormat="1" s="77">
      <c r="A1034" s="2" t="n"/>
      <c r="B1034" s="64" t="n"/>
      <c r="C1034" s="2" t="n"/>
      <c r="D1034" s="2" t="n"/>
      <c r="E1034" s="5" t="n"/>
      <c r="F1034" s="5" t="n"/>
    </row>
    <row r="1035" customFormat="1" s="77">
      <c r="A1035" s="2" t="n"/>
      <c r="B1035" s="64" t="n"/>
      <c r="C1035" s="2" t="n"/>
      <c r="D1035" s="2" t="n"/>
      <c r="E1035" s="5" t="n"/>
      <c r="F1035" s="5" t="n"/>
    </row>
    <row r="1036" customFormat="1" s="77">
      <c r="A1036" s="2" t="n"/>
      <c r="B1036" s="64" t="n"/>
      <c r="C1036" s="2" t="n"/>
      <c r="D1036" s="2" t="n"/>
      <c r="E1036" s="5" t="n"/>
      <c r="F1036" s="5" t="n"/>
    </row>
    <row r="1037" customFormat="1" s="77">
      <c r="A1037" s="2" t="n"/>
      <c r="B1037" s="64" t="n"/>
      <c r="C1037" s="2" t="n"/>
      <c r="D1037" s="2" t="n"/>
      <c r="E1037" s="5" t="n"/>
      <c r="F1037" s="5" t="n"/>
    </row>
    <row r="1038" customFormat="1" s="77">
      <c r="A1038" s="2" t="n"/>
      <c r="B1038" s="64" t="n"/>
      <c r="C1038" s="2" t="n"/>
      <c r="D1038" s="2" t="n"/>
      <c r="E1038" s="5" t="n"/>
      <c r="F1038" s="5" t="n"/>
    </row>
    <row r="1039" customFormat="1" s="77">
      <c r="A1039" s="2" t="n"/>
      <c r="B1039" s="64" t="n"/>
      <c r="C1039" s="2" t="n"/>
      <c r="D1039" s="2" t="n"/>
      <c r="E1039" s="5" t="n"/>
      <c r="F1039" s="5" t="n"/>
    </row>
    <row r="1040" customFormat="1" s="77">
      <c r="A1040" s="2" t="n"/>
      <c r="B1040" s="64" t="n"/>
      <c r="C1040" s="2" t="n"/>
      <c r="D1040" s="2" t="n"/>
      <c r="E1040" s="5" t="n"/>
      <c r="F1040" s="5" t="n"/>
    </row>
    <row r="1041" customFormat="1" s="77">
      <c r="A1041" s="2" t="n"/>
      <c r="B1041" s="64" t="n"/>
      <c r="C1041" s="2" t="n"/>
      <c r="D1041" s="2" t="n"/>
      <c r="E1041" s="5" t="n"/>
      <c r="F1041" s="5" t="n"/>
    </row>
    <row r="1042" customFormat="1" s="77">
      <c r="A1042" s="2" t="n"/>
      <c r="B1042" s="64" t="n"/>
      <c r="C1042" s="2" t="n"/>
      <c r="D1042" s="2" t="n"/>
      <c r="E1042" s="5" t="n"/>
      <c r="F1042" s="5" t="n"/>
    </row>
    <row r="1043" customFormat="1" s="77">
      <c r="A1043" s="2" t="n"/>
      <c r="B1043" s="64" t="n"/>
      <c r="C1043" s="2" t="n"/>
      <c r="D1043" s="2" t="n"/>
      <c r="E1043" s="5" t="n"/>
      <c r="F1043" s="5" t="n"/>
    </row>
    <row r="1044" customFormat="1" s="77">
      <c r="A1044" s="2" t="n"/>
      <c r="B1044" s="64" t="n"/>
      <c r="C1044" s="2" t="n"/>
      <c r="D1044" s="2" t="n"/>
      <c r="E1044" s="5" t="n"/>
      <c r="F1044" s="5" t="n"/>
    </row>
    <row r="1045" customFormat="1" s="77">
      <c r="A1045" s="2" t="n"/>
      <c r="B1045" s="64" t="n"/>
      <c r="C1045" s="2" t="n"/>
      <c r="D1045" s="2" t="n"/>
      <c r="E1045" s="5" t="n"/>
      <c r="F1045" s="5" t="n"/>
    </row>
    <row r="1046" customFormat="1" s="77">
      <c r="A1046" s="2" t="n"/>
      <c r="B1046" s="64" t="n"/>
      <c r="C1046" s="2" t="n"/>
      <c r="D1046" s="2" t="n"/>
      <c r="E1046" s="5" t="n"/>
      <c r="F1046" s="5" t="n"/>
    </row>
    <row r="1047" customFormat="1" s="77">
      <c r="A1047" s="2" t="n"/>
      <c r="B1047" s="64" t="n"/>
      <c r="C1047" s="2" t="n"/>
      <c r="D1047" s="2" t="n"/>
      <c r="E1047" s="5" t="n"/>
      <c r="F1047" s="5" t="n"/>
    </row>
    <row r="1048" customFormat="1" s="77">
      <c r="A1048" s="2" t="n"/>
      <c r="B1048" s="64" t="n"/>
      <c r="C1048" s="2" t="n"/>
      <c r="D1048" s="2" t="n"/>
      <c r="E1048" s="5" t="n"/>
      <c r="F1048" s="5" t="n"/>
    </row>
    <row r="1049" customFormat="1" s="77">
      <c r="A1049" s="2" t="n"/>
      <c r="B1049" s="64" t="n"/>
      <c r="C1049" s="2" t="n"/>
      <c r="D1049" s="2" t="n"/>
      <c r="E1049" s="5" t="n"/>
      <c r="F1049" s="5" t="n"/>
    </row>
    <row r="1050" customFormat="1" s="77">
      <c r="A1050" s="2" t="n"/>
      <c r="B1050" s="64" t="n"/>
      <c r="C1050" s="2" t="n"/>
      <c r="D1050" s="2" t="n"/>
      <c r="E1050" s="5" t="n"/>
      <c r="F1050" s="5" t="n"/>
    </row>
    <row r="1051" customFormat="1" s="77">
      <c r="A1051" s="2" t="n"/>
      <c r="B1051" s="64" t="n"/>
      <c r="C1051" s="2" t="n"/>
      <c r="D1051" s="2" t="n"/>
      <c r="E1051" s="5" t="n"/>
      <c r="F1051" s="5" t="n"/>
    </row>
    <row r="1052" customFormat="1" s="77">
      <c r="A1052" s="2" t="n"/>
      <c r="B1052" s="64" t="n"/>
      <c r="C1052" s="2" t="n"/>
      <c r="D1052" s="2" t="n"/>
      <c r="E1052" s="5" t="n"/>
      <c r="F1052" s="5" t="n"/>
    </row>
    <row r="1053" customFormat="1" s="77">
      <c r="A1053" s="2" t="n"/>
      <c r="B1053" s="64" t="n"/>
      <c r="C1053" s="2" t="n"/>
      <c r="D1053" s="2" t="n"/>
      <c r="E1053" s="5" t="n"/>
      <c r="F1053" s="5" t="n"/>
    </row>
    <row r="1054" customFormat="1" s="77">
      <c r="A1054" s="2" t="n"/>
      <c r="B1054" s="64" t="n"/>
      <c r="C1054" s="2" t="n"/>
      <c r="D1054" s="2" t="n"/>
      <c r="E1054" s="5" t="n"/>
      <c r="F1054" s="5" t="n"/>
    </row>
    <row r="1055" customFormat="1" s="77">
      <c r="A1055" s="2" t="n"/>
      <c r="B1055" s="64" t="n"/>
      <c r="C1055" s="2" t="n"/>
      <c r="D1055" s="2" t="n"/>
      <c r="E1055" s="5" t="n"/>
      <c r="F1055" s="5" t="n"/>
    </row>
    <row r="1056" customFormat="1" s="77">
      <c r="A1056" s="2" t="n"/>
      <c r="B1056" s="64" t="n"/>
      <c r="C1056" s="2" t="n"/>
      <c r="D1056" s="2" t="n"/>
      <c r="E1056" s="5" t="n"/>
      <c r="F1056" s="5" t="n"/>
    </row>
    <row r="1057" customFormat="1" s="77">
      <c r="A1057" s="2" t="n"/>
      <c r="B1057" s="64" t="n"/>
      <c r="C1057" s="2" t="n"/>
      <c r="D1057" s="2" t="n"/>
      <c r="E1057" s="5" t="n"/>
      <c r="F1057" s="5" t="n"/>
    </row>
    <row r="1058" customFormat="1" s="77">
      <c r="A1058" s="2" t="n"/>
      <c r="B1058" s="64" t="n"/>
      <c r="C1058" s="2" t="n"/>
      <c r="D1058" s="2" t="n"/>
      <c r="E1058" s="5" t="n"/>
      <c r="F1058" s="5" t="n"/>
    </row>
    <row r="1059" customFormat="1" s="77">
      <c r="A1059" s="2" t="n"/>
      <c r="B1059" s="64" t="n"/>
      <c r="C1059" s="2" t="n"/>
      <c r="D1059" s="2" t="n"/>
      <c r="E1059" s="5" t="n"/>
      <c r="F1059" s="5" t="n"/>
    </row>
    <row r="1060" customFormat="1" s="77">
      <c r="A1060" s="2" t="n"/>
      <c r="B1060" s="64" t="n"/>
      <c r="C1060" s="2" t="n"/>
      <c r="D1060" s="2" t="n"/>
      <c r="E1060" s="5" t="n"/>
      <c r="F1060" s="5" t="n"/>
    </row>
    <row r="1061" customFormat="1" s="77">
      <c r="A1061" s="2" t="n"/>
      <c r="B1061" s="64" t="n"/>
      <c r="C1061" s="2" t="n"/>
      <c r="D1061" s="2" t="n"/>
      <c r="E1061" s="5" t="n"/>
      <c r="F1061" s="5" t="n"/>
    </row>
    <row r="1062" customFormat="1" s="77">
      <c r="A1062" s="2" t="n"/>
      <c r="B1062" s="64" t="n"/>
      <c r="C1062" s="2" t="n"/>
      <c r="D1062" s="2" t="n"/>
      <c r="E1062" s="5" t="n"/>
      <c r="F1062" s="5" t="n"/>
    </row>
    <row r="1063" customFormat="1" s="77">
      <c r="A1063" s="2" t="n"/>
      <c r="B1063" s="64" t="n"/>
      <c r="C1063" s="2" t="n"/>
      <c r="D1063" s="2" t="n"/>
      <c r="E1063" s="5" t="n"/>
      <c r="F1063" s="5" t="n"/>
    </row>
    <row r="1064" customFormat="1" s="77">
      <c r="A1064" s="2" t="n"/>
      <c r="B1064" s="64" t="n"/>
      <c r="C1064" s="2" t="n"/>
      <c r="D1064" s="2" t="n"/>
      <c r="E1064" s="5" t="n"/>
      <c r="F1064" s="5" t="n"/>
    </row>
    <row r="1065" customFormat="1" s="77">
      <c r="A1065" s="2" t="n"/>
      <c r="B1065" s="64" t="n"/>
      <c r="C1065" s="2" t="n"/>
      <c r="D1065" s="2" t="n"/>
      <c r="E1065" s="5" t="n"/>
      <c r="F1065" s="5" t="n"/>
    </row>
    <row r="1066" customFormat="1" s="77">
      <c r="A1066" s="2" t="n"/>
      <c r="B1066" s="64" t="n"/>
      <c r="C1066" s="2" t="n"/>
      <c r="D1066" s="2" t="n"/>
      <c r="E1066" s="5" t="n"/>
      <c r="F1066" s="5" t="n"/>
    </row>
    <row r="1067" customFormat="1" s="77">
      <c r="A1067" s="2" t="n"/>
      <c r="B1067" s="64" t="n"/>
      <c r="C1067" s="2" t="n"/>
      <c r="D1067" s="2" t="n"/>
      <c r="E1067" s="5" t="n"/>
      <c r="F1067" s="5" t="n"/>
    </row>
    <row r="1068" customFormat="1" s="77">
      <c r="A1068" s="2" t="n"/>
      <c r="B1068" s="64" t="n"/>
      <c r="C1068" s="2" t="n"/>
      <c r="D1068" s="2" t="n"/>
      <c r="E1068" s="5" t="n"/>
      <c r="F1068" s="5" t="n"/>
    </row>
    <row r="1069" customFormat="1" s="77">
      <c r="A1069" s="2" t="n"/>
      <c r="B1069" s="64" t="n"/>
      <c r="C1069" s="2" t="n"/>
      <c r="D1069" s="2" t="n"/>
      <c r="E1069" s="5" t="n"/>
      <c r="F1069" s="5" t="n"/>
    </row>
    <row r="1070" customFormat="1" s="77">
      <c r="A1070" s="2" t="n"/>
      <c r="B1070" s="64" t="n"/>
      <c r="C1070" s="2" t="n"/>
      <c r="D1070" s="2" t="n"/>
      <c r="E1070" s="5" t="n"/>
      <c r="F1070" s="5" t="n"/>
    </row>
    <row r="1071" customFormat="1" s="77">
      <c r="A1071" s="2" t="n"/>
      <c r="B1071" s="64" t="n"/>
      <c r="C1071" s="2" t="n"/>
      <c r="D1071" s="2" t="n"/>
      <c r="E1071" s="5" t="n"/>
      <c r="F1071" s="5" t="n"/>
    </row>
    <row r="1072" customFormat="1" s="77">
      <c r="A1072" s="2" t="n"/>
      <c r="B1072" s="64" t="n"/>
      <c r="C1072" s="2" t="n"/>
      <c r="D1072" s="2" t="n"/>
      <c r="E1072" s="5" t="n"/>
      <c r="F1072" s="5" t="n"/>
    </row>
    <row r="1073" customFormat="1" s="77">
      <c r="A1073" s="2" t="n"/>
      <c r="B1073" s="64" t="n"/>
      <c r="C1073" s="2" t="n"/>
      <c r="D1073" s="2" t="n"/>
      <c r="E1073" s="5" t="n"/>
      <c r="F1073" s="5" t="n"/>
    </row>
    <row r="1074" customFormat="1" s="77">
      <c r="A1074" s="2" t="n"/>
      <c r="B1074" s="64" t="n"/>
      <c r="C1074" s="2" t="n"/>
      <c r="D1074" s="2" t="n"/>
      <c r="E1074" s="5" t="n"/>
      <c r="F1074" s="5" t="n"/>
    </row>
    <row r="1075" customFormat="1" s="77">
      <c r="A1075" s="2" t="n"/>
      <c r="B1075" s="64" t="n"/>
      <c r="C1075" s="2" t="n"/>
      <c r="D1075" s="2" t="n"/>
      <c r="E1075" s="5" t="n"/>
      <c r="F1075" s="5" t="n"/>
    </row>
    <row r="1076" customFormat="1" s="77">
      <c r="A1076" s="2" t="n"/>
      <c r="B1076" s="64" t="n"/>
      <c r="C1076" s="2" t="n"/>
      <c r="D1076" s="2" t="n"/>
      <c r="E1076" s="5" t="n"/>
      <c r="F1076" s="5" t="n"/>
    </row>
    <row r="1077" customFormat="1" s="77">
      <c r="A1077" s="2" t="n"/>
      <c r="B1077" s="64" t="n"/>
      <c r="C1077" s="2" t="n"/>
      <c r="D1077" s="2" t="n"/>
      <c r="E1077" s="5" t="n"/>
      <c r="F1077" s="5" t="n"/>
    </row>
    <row r="1078" customFormat="1" s="77">
      <c r="A1078" s="2" t="n"/>
      <c r="B1078" s="64" t="n"/>
      <c r="C1078" s="2" t="n"/>
      <c r="D1078" s="2" t="n"/>
      <c r="E1078" s="5" t="n"/>
      <c r="F1078" s="5" t="n"/>
    </row>
    <row r="1079" customFormat="1" s="77">
      <c r="A1079" s="2" t="n"/>
      <c r="B1079" s="64" t="n"/>
      <c r="C1079" s="2" t="n"/>
      <c r="D1079" s="2" t="n"/>
      <c r="E1079" s="5" t="n"/>
      <c r="F1079" s="5" t="n"/>
    </row>
    <row r="1080" customFormat="1" s="77">
      <c r="A1080" s="2" t="n"/>
      <c r="B1080" s="64" t="n"/>
      <c r="C1080" s="2" t="n"/>
      <c r="D1080" s="2" t="n"/>
      <c r="E1080" s="5" t="n"/>
      <c r="F1080" s="5" t="n"/>
    </row>
    <row r="1081" customFormat="1" s="77">
      <c r="A1081" s="2" t="n"/>
      <c r="B1081" s="64" t="n"/>
      <c r="C1081" s="2" t="n"/>
      <c r="D1081" s="2" t="n"/>
      <c r="E1081" s="5" t="n"/>
      <c r="F1081" s="5" t="n"/>
    </row>
    <row r="1082" customFormat="1" s="77">
      <c r="A1082" s="2" t="n"/>
      <c r="B1082" s="64" t="n"/>
      <c r="C1082" s="2" t="n"/>
      <c r="D1082" s="2" t="n"/>
      <c r="E1082" s="5" t="n"/>
      <c r="F1082" s="5" t="n"/>
    </row>
    <row r="1083" customFormat="1" s="77">
      <c r="A1083" s="2" t="n"/>
      <c r="B1083" s="64" t="n"/>
      <c r="C1083" s="2" t="n"/>
      <c r="D1083" s="2" t="n"/>
      <c r="E1083" s="5" t="n"/>
      <c r="F1083" s="5" t="n"/>
    </row>
    <row r="1084" customFormat="1" s="77">
      <c r="A1084" s="2" t="n"/>
      <c r="B1084" s="64" t="n"/>
      <c r="C1084" s="2" t="n"/>
      <c r="D1084" s="2" t="n"/>
      <c r="E1084" s="5" t="n"/>
      <c r="F1084" s="5" t="n"/>
    </row>
    <row r="1085" customFormat="1" s="77">
      <c r="A1085" s="2" t="n"/>
      <c r="B1085" s="64" t="n"/>
      <c r="C1085" s="2" t="n"/>
      <c r="D1085" s="2" t="n"/>
      <c r="E1085" s="5" t="n"/>
      <c r="F1085" s="5" t="n"/>
    </row>
    <row r="1086" customFormat="1" s="77">
      <c r="A1086" s="2" t="n"/>
      <c r="B1086" s="64" t="n"/>
      <c r="C1086" s="2" t="n"/>
      <c r="D1086" s="2" t="n"/>
      <c r="E1086" s="5" t="n"/>
      <c r="F1086" s="5" t="n"/>
    </row>
    <row r="1087" customFormat="1" s="77">
      <c r="A1087" s="2" t="n"/>
      <c r="B1087" s="64" t="n"/>
      <c r="C1087" s="2" t="n"/>
      <c r="D1087" s="2" t="n"/>
      <c r="E1087" s="5" t="n"/>
      <c r="F1087" s="5" t="n"/>
    </row>
    <row r="1088" customFormat="1" s="77">
      <c r="A1088" s="2" t="n"/>
      <c r="B1088" s="64" t="n"/>
      <c r="C1088" s="2" t="n"/>
      <c r="D1088" s="2" t="n"/>
      <c r="E1088" s="5" t="n"/>
      <c r="F1088" s="5" t="n"/>
    </row>
    <row r="1089" customFormat="1" s="77">
      <c r="A1089" s="2" t="n"/>
      <c r="B1089" s="64" t="n"/>
      <c r="C1089" s="2" t="n"/>
      <c r="D1089" s="2" t="n"/>
      <c r="E1089" s="5" t="n"/>
      <c r="F1089" s="5" t="n"/>
    </row>
    <row r="1090" customFormat="1" s="77">
      <c r="A1090" s="2" t="n"/>
      <c r="B1090" s="64" t="n"/>
      <c r="C1090" s="2" t="n"/>
      <c r="D1090" s="2" t="n"/>
      <c r="E1090" s="5" t="n"/>
      <c r="F1090" s="5" t="n"/>
    </row>
    <row r="1091" customFormat="1" s="77">
      <c r="A1091" s="2" t="n"/>
      <c r="B1091" s="64" t="n"/>
      <c r="C1091" s="2" t="n"/>
      <c r="D1091" s="2" t="n"/>
      <c r="E1091" s="5" t="n"/>
      <c r="F1091" s="5" t="n"/>
    </row>
    <row r="1092" customFormat="1" s="77">
      <c r="A1092" s="2" t="n"/>
      <c r="B1092" s="64" t="n"/>
      <c r="C1092" s="2" t="n"/>
      <c r="D1092" s="2" t="n"/>
      <c r="E1092" s="5" t="n"/>
      <c r="F1092" s="5" t="n"/>
    </row>
    <row r="1093" customFormat="1" s="77">
      <c r="A1093" s="2" t="n"/>
      <c r="B1093" s="64" t="n"/>
      <c r="C1093" s="2" t="n"/>
      <c r="D1093" s="2" t="n"/>
      <c r="E1093" s="5" t="n"/>
      <c r="F1093" s="5" t="n"/>
    </row>
    <row r="1094" customFormat="1" s="77">
      <c r="A1094" s="2" t="n"/>
      <c r="B1094" s="64" t="n"/>
      <c r="C1094" s="2" t="n"/>
      <c r="D1094" s="2" t="n"/>
      <c r="E1094" s="5" t="n"/>
      <c r="F1094" s="5" t="n"/>
    </row>
    <row r="1095" customFormat="1" s="77">
      <c r="A1095" s="2" t="n"/>
      <c r="B1095" s="64" t="n"/>
      <c r="C1095" s="2" t="n"/>
      <c r="D1095" s="2" t="n"/>
      <c r="E1095" s="5" t="n"/>
      <c r="F1095" s="5" t="n"/>
    </row>
    <row r="1096" customFormat="1" s="77">
      <c r="A1096" s="2" t="n"/>
      <c r="B1096" s="64" t="n"/>
      <c r="C1096" s="2" t="n"/>
      <c r="D1096" s="2" t="n"/>
      <c r="E1096" s="5" t="n"/>
      <c r="F1096" s="5" t="n"/>
    </row>
    <row r="1097" customFormat="1" s="77">
      <c r="A1097" s="2" t="n"/>
      <c r="B1097" s="64" t="n"/>
      <c r="C1097" s="2" t="n"/>
      <c r="D1097" s="2" t="n"/>
      <c r="E1097" s="5" t="n"/>
      <c r="F1097" s="5" t="n"/>
    </row>
    <row r="1098" customFormat="1" s="77">
      <c r="A1098" s="2" t="n"/>
      <c r="B1098" s="64" t="n"/>
      <c r="C1098" s="2" t="n"/>
      <c r="D1098" s="2" t="n"/>
      <c r="E1098" s="5" t="n"/>
      <c r="F1098" s="5" t="n"/>
    </row>
    <row r="1099" customFormat="1" s="77">
      <c r="A1099" s="2" t="n"/>
      <c r="B1099" s="64" t="n"/>
      <c r="C1099" s="2" t="n"/>
      <c r="D1099" s="2" t="n"/>
      <c r="E1099" s="5" t="n"/>
      <c r="F1099" s="5" t="n"/>
    </row>
    <row r="1100" customFormat="1" s="77">
      <c r="A1100" s="2" t="n"/>
      <c r="B1100" s="64" t="n"/>
      <c r="C1100" s="2" t="n"/>
      <c r="D1100" s="2" t="n"/>
      <c r="E1100" s="5" t="n"/>
      <c r="F1100" s="5" t="n"/>
    </row>
    <row r="1101" customFormat="1" s="77">
      <c r="A1101" s="2" t="n"/>
      <c r="B1101" s="64" t="n"/>
      <c r="C1101" s="2" t="n"/>
      <c r="D1101" s="2" t="n"/>
      <c r="E1101" s="5" t="n"/>
      <c r="F1101" s="5" t="n"/>
    </row>
    <row r="1102" customFormat="1" s="77">
      <c r="A1102" s="2" t="n"/>
      <c r="B1102" s="64" t="n"/>
      <c r="C1102" s="2" t="n"/>
      <c r="D1102" s="2" t="n"/>
      <c r="E1102" s="5" t="n"/>
      <c r="F1102" s="5" t="n"/>
    </row>
    <row r="1103" customFormat="1" s="77">
      <c r="A1103" s="2" t="n"/>
      <c r="B1103" s="64" t="n"/>
      <c r="C1103" s="2" t="n"/>
      <c r="D1103" s="2" t="n"/>
      <c r="E1103" s="5" t="n"/>
      <c r="F1103" s="5" t="n"/>
    </row>
    <row r="1104" customFormat="1" s="77">
      <c r="A1104" s="2" t="n"/>
      <c r="B1104" s="64" t="n"/>
      <c r="C1104" s="2" t="n"/>
      <c r="D1104" s="2" t="n"/>
      <c r="E1104" s="5" t="n"/>
      <c r="F1104" s="5" t="n"/>
    </row>
    <row r="1105" customFormat="1" s="77">
      <c r="A1105" s="2" t="n"/>
      <c r="B1105" s="64" t="n"/>
      <c r="C1105" s="2" t="n"/>
      <c r="D1105" s="2" t="n"/>
      <c r="E1105" s="5" t="n"/>
      <c r="F1105" s="5" t="n"/>
    </row>
    <row r="1106" customFormat="1" s="77">
      <c r="A1106" s="2" t="n"/>
      <c r="B1106" s="64" t="n"/>
      <c r="C1106" s="2" t="n"/>
      <c r="D1106" s="2" t="n"/>
      <c r="E1106" s="5" t="n"/>
      <c r="F1106" s="5" t="n"/>
    </row>
    <row r="1107" customFormat="1" s="77">
      <c r="A1107" s="2" t="n"/>
      <c r="B1107" s="64" t="n"/>
      <c r="C1107" s="2" t="n"/>
      <c r="D1107" s="2" t="n"/>
      <c r="E1107" s="5" t="n"/>
      <c r="F1107" s="5" t="n"/>
    </row>
    <row r="1108" customFormat="1" s="77">
      <c r="A1108" s="2" t="n"/>
      <c r="B1108" s="64" t="n"/>
      <c r="C1108" s="2" t="n"/>
      <c r="D1108" s="2" t="n"/>
      <c r="E1108" s="5" t="n"/>
      <c r="F1108" s="5" t="n"/>
    </row>
    <row r="1109" customFormat="1" s="77">
      <c r="A1109" s="2" t="n"/>
      <c r="B1109" s="64" t="n"/>
      <c r="C1109" s="2" t="n"/>
      <c r="D1109" s="2" t="n"/>
      <c r="E1109" s="5" t="n"/>
      <c r="F1109" s="5" t="n"/>
    </row>
    <row r="1110" customFormat="1" s="77">
      <c r="A1110" s="2" t="n"/>
      <c r="B1110" s="64" t="n"/>
      <c r="C1110" s="2" t="n"/>
      <c r="D1110" s="2" t="n"/>
      <c r="E1110" s="5" t="n"/>
      <c r="F1110" s="5" t="n"/>
    </row>
    <row r="1111" customFormat="1" s="77">
      <c r="A1111" s="2" t="n"/>
      <c r="B1111" s="64" t="n"/>
      <c r="C1111" s="2" t="n"/>
      <c r="D1111" s="2" t="n"/>
      <c r="E1111" s="5" t="n"/>
      <c r="F1111" s="5" t="n"/>
    </row>
    <row r="1112" customFormat="1" s="77">
      <c r="A1112" s="2" t="n"/>
      <c r="B1112" s="64" t="n"/>
      <c r="C1112" s="2" t="n"/>
      <c r="D1112" s="2" t="n"/>
      <c r="E1112" s="5" t="n"/>
      <c r="F1112" s="5" t="n"/>
    </row>
    <row r="1113" customFormat="1" s="77">
      <c r="A1113" s="2" t="n"/>
      <c r="B1113" s="64" t="n"/>
      <c r="C1113" s="2" t="n"/>
      <c r="D1113" s="2" t="n"/>
      <c r="E1113" s="5" t="n"/>
      <c r="F1113" s="5" t="n"/>
    </row>
    <row r="1114" customFormat="1" s="77">
      <c r="A1114" s="2" t="n"/>
      <c r="B1114" s="64" t="n"/>
      <c r="C1114" s="2" t="n"/>
      <c r="D1114" s="2" t="n"/>
      <c r="E1114" s="5" t="n"/>
      <c r="F1114" s="5" t="n"/>
    </row>
    <row r="1115" customFormat="1" s="77">
      <c r="A1115" s="2" t="n"/>
      <c r="B1115" s="64" t="n"/>
      <c r="C1115" s="2" t="n"/>
      <c r="D1115" s="2" t="n"/>
      <c r="E1115" s="5" t="n"/>
      <c r="F1115" s="5" t="n"/>
    </row>
    <row r="1116" customFormat="1" s="77">
      <c r="A1116" s="2" t="n"/>
      <c r="B1116" s="64" t="n"/>
      <c r="C1116" s="2" t="n"/>
      <c r="D1116" s="2" t="n"/>
      <c r="E1116" s="5" t="n"/>
      <c r="F1116" s="5" t="n"/>
    </row>
    <row r="1117" customFormat="1" s="77">
      <c r="A1117" s="2" t="n"/>
      <c r="B1117" s="64" t="n"/>
      <c r="C1117" s="2" t="n"/>
      <c r="D1117" s="2" t="n"/>
      <c r="E1117" s="5" t="n"/>
      <c r="F1117" s="5" t="n"/>
    </row>
    <row r="1118" customFormat="1" s="77">
      <c r="A1118" s="2" t="n"/>
      <c r="B1118" s="64" t="n"/>
      <c r="C1118" s="2" t="n"/>
      <c r="D1118" s="2" t="n"/>
      <c r="E1118" s="5" t="n"/>
      <c r="F1118" s="5" t="n"/>
    </row>
    <row r="1119" customFormat="1" s="77">
      <c r="A1119" s="2" t="n"/>
      <c r="B1119" s="64" t="n"/>
      <c r="C1119" s="2" t="n"/>
      <c r="D1119" s="2" t="n"/>
      <c r="E1119" s="5" t="n"/>
      <c r="F1119" s="5" t="n"/>
    </row>
    <row r="1120" customFormat="1" s="77">
      <c r="A1120" s="2" t="n"/>
      <c r="B1120" s="64" t="n"/>
      <c r="C1120" s="2" t="n"/>
      <c r="D1120" s="2" t="n"/>
      <c r="E1120" s="5" t="n"/>
      <c r="F1120" s="5" t="n"/>
    </row>
    <row r="1121" customFormat="1" s="77">
      <c r="A1121" s="2" t="n"/>
      <c r="B1121" s="64" t="n"/>
      <c r="C1121" s="2" t="n"/>
      <c r="D1121" s="2" t="n"/>
      <c r="E1121" s="5" t="n"/>
      <c r="F1121" s="5" t="n"/>
    </row>
    <row r="1122" customFormat="1" s="77">
      <c r="A1122" s="2" t="n"/>
      <c r="B1122" s="64" t="n"/>
      <c r="C1122" s="2" t="n"/>
      <c r="D1122" s="2" t="n"/>
      <c r="E1122" s="5" t="n"/>
      <c r="F1122" s="5" t="n"/>
    </row>
    <row r="1123" customFormat="1" s="77">
      <c r="A1123" s="2" t="n"/>
      <c r="B1123" s="64" t="n"/>
      <c r="C1123" s="2" t="n"/>
      <c r="D1123" s="2" t="n"/>
      <c r="E1123" s="5" t="n"/>
      <c r="F1123" s="5" t="n"/>
    </row>
    <row r="1124" customFormat="1" s="77">
      <c r="A1124" s="2" t="n"/>
      <c r="B1124" s="64" t="n"/>
      <c r="C1124" s="2" t="n"/>
      <c r="D1124" s="2" t="n"/>
      <c r="E1124" s="5" t="n"/>
      <c r="F1124" s="5" t="n"/>
    </row>
    <row r="1125" customFormat="1" s="77">
      <c r="A1125" s="2" t="n"/>
      <c r="B1125" s="64" t="n"/>
      <c r="C1125" s="2" t="n"/>
      <c r="D1125" s="2" t="n"/>
      <c r="E1125" s="5" t="n"/>
      <c r="F1125" s="5" t="n"/>
    </row>
    <row r="1126" customFormat="1" s="77">
      <c r="A1126" s="2" t="n"/>
      <c r="B1126" s="64" t="n"/>
      <c r="C1126" s="2" t="n"/>
      <c r="D1126" s="2" t="n"/>
      <c r="E1126" s="5" t="n"/>
      <c r="F1126" s="5" t="n"/>
    </row>
    <row r="1127" customFormat="1" s="77">
      <c r="A1127" s="2" t="n"/>
      <c r="B1127" s="64" t="n"/>
      <c r="C1127" s="2" t="n"/>
      <c r="D1127" s="2" t="n"/>
      <c r="E1127" s="5" t="n"/>
      <c r="F1127" s="5" t="n"/>
    </row>
    <row r="1128" customFormat="1" s="77">
      <c r="A1128" s="2" t="n"/>
      <c r="B1128" s="64" t="n"/>
      <c r="C1128" s="2" t="n"/>
      <c r="D1128" s="2" t="n"/>
      <c r="E1128" s="5" t="n"/>
      <c r="F1128" s="5" t="n"/>
    </row>
    <row r="1129" customFormat="1" s="77">
      <c r="A1129" s="2" t="n"/>
      <c r="B1129" s="64" t="n"/>
      <c r="C1129" s="2" t="n"/>
      <c r="D1129" s="2" t="n"/>
      <c r="E1129" s="5" t="n"/>
      <c r="F1129" s="5" t="n"/>
    </row>
    <row r="1130" customFormat="1" s="77">
      <c r="A1130" s="2" t="n"/>
      <c r="B1130" s="64" t="n"/>
      <c r="C1130" s="2" t="n"/>
      <c r="D1130" s="2" t="n"/>
      <c r="E1130" s="5" t="n"/>
      <c r="F1130" s="5" t="n"/>
    </row>
    <row r="1131" customFormat="1" s="77">
      <c r="A1131" s="2" t="n"/>
      <c r="B1131" s="64" t="n"/>
      <c r="C1131" s="2" t="n"/>
      <c r="D1131" s="2" t="n"/>
      <c r="E1131" s="5" t="n"/>
      <c r="F1131" s="5" t="n"/>
    </row>
    <row r="1132" customFormat="1" s="77">
      <c r="A1132" s="2" t="n"/>
      <c r="B1132" s="64" t="n"/>
      <c r="C1132" s="2" t="n"/>
      <c r="D1132" s="2" t="n"/>
      <c r="E1132" s="5" t="n"/>
      <c r="F1132" s="5" t="n"/>
    </row>
    <row r="1133" customFormat="1" s="77">
      <c r="A1133" s="2" t="n"/>
      <c r="B1133" s="64" t="n"/>
      <c r="C1133" s="2" t="n"/>
      <c r="D1133" s="2" t="n"/>
      <c r="E1133" s="5" t="n"/>
      <c r="F1133" s="5" t="n"/>
    </row>
    <row r="1134" customFormat="1" s="77">
      <c r="A1134" s="2" t="n"/>
      <c r="B1134" s="64" t="n"/>
      <c r="C1134" s="2" t="n"/>
      <c r="D1134" s="2" t="n"/>
      <c r="E1134" s="5" t="n"/>
      <c r="F1134" s="5" t="n"/>
    </row>
    <row r="1135" customFormat="1" s="77">
      <c r="A1135" s="2" t="n"/>
      <c r="B1135" s="64" t="n"/>
      <c r="C1135" s="2" t="n"/>
      <c r="D1135" s="2" t="n"/>
      <c r="E1135" s="5" t="n"/>
      <c r="F1135" s="5" t="n"/>
    </row>
    <row r="1136" customFormat="1" s="77">
      <c r="A1136" s="2" t="n"/>
      <c r="B1136" s="64" t="n"/>
      <c r="C1136" s="2" t="n"/>
      <c r="D1136" s="2" t="n"/>
      <c r="E1136" s="5" t="n"/>
      <c r="F1136" s="5" t="n"/>
    </row>
    <row r="1137" customFormat="1" s="77">
      <c r="A1137" s="2" t="n"/>
      <c r="B1137" s="64" t="n"/>
      <c r="C1137" s="2" t="n"/>
      <c r="D1137" s="2" t="n"/>
      <c r="E1137" s="5" t="n"/>
      <c r="F1137" s="5" t="n"/>
    </row>
    <row r="1138" customFormat="1" s="77">
      <c r="A1138" s="2" t="n"/>
      <c r="B1138" s="64" t="n"/>
      <c r="C1138" s="2" t="n"/>
      <c r="D1138" s="2" t="n"/>
      <c r="E1138" s="5" t="n"/>
      <c r="F1138" s="5" t="n"/>
    </row>
    <row r="1139" customFormat="1" s="77">
      <c r="A1139" s="2" t="n"/>
      <c r="B1139" s="64" t="n"/>
      <c r="C1139" s="2" t="n"/>
      <c r="D1139" s="2" t="n"/>
      <c r="E1139" s="5" t="n"/>
      <c r="F1139" s="5" t="n"/>
    </row>
    <row r="1140" customFormat="1" s="77">
      <c r="A1140" s="2" t="n"/>
      <c r="B1140" s="64" t="n"/>
      <c r="C1140" s="2" t="n"/>
      <c r="D1140" s="2" t="n"/>
      <c r="E1140" s="5" t="n"/>
      <c r="F1140" s="5" t="n"/>
    </row>
    <row r="1141" customFormat="1" s="77">
      <c r="A1141" s="2" t="n"/>
      <c r="B1141" s="64" t="n"/>
      <c r="C1141" s="2" t="n"/>
      <c r="D1141" s="2" t="n"/>
      <c r="E1141" s="5" t="n"/>
      <c r="F1141" s="5" t="n"/>
    </row>
    <row r="1142" customFormat="1" s="77">
      <c r="A1142" s="2" t="n"/>
      <c r="B1142" s="64" t="n"/>
      <c r="C1142" s="2" t="n"/>
      <c r="D1142" s="2" t="n"/>
      <c r="E1142" s="5" t="n"/>
      <c r="F1142" s="5" t="n"/>
    </row>
    <row r="1143" customFormat="1" s="77">
      <c r="A1143" s="2" t="n"/>
      <c r="B1143" s="64" t="n"/>
      <c r="C1143" s="2" t="n"/>
      <c r="D1143" s="2" t="n"/>
      <c r="E1143" s="5" t="n"/>
      <c r="F1143" s="5" t="n"/>
    </row>
    <row r="1144" customFormat="1" s="77">
      <c r="A1144" s="2" t="n"/>
      <c r="B1144" s="64" t="n"/>
      <c r="C1144" s="2" t="n"/>
      <c r="D1144" s="2" t="n"/>
      <c r="E1144" s="5" t="n"/>
      <c r="F1144" s="5" t="n"/>
    </row>
    <row r="1145" customFormat="1" s="77">
      <c r="A1145" s="2" t="n"/>
      <c r="B1145" s="64" t="n"/>
      <c r="C1145" s="2" t="n"/>
      <c r="D1145" s="2" t="n"/>
      <c r="E1145" s="5" t="n"/>
      <c r="F1145" s="5" t="n"/>
    </row>
    <row r="1146" customFormat="1" s="77">
      <c r="A1146" s="2" t="n"/>
      <c r="B1146" s="64" t="n"/>
      <c r="C1146" s="2" t="n"/>
      <c r="D1146" s="2" t="n"/>
      <c r="E1146" s="5" t="n"/>
      <c r="F1146" s="5" t="n"/>
    </row>
    <row r="1147" customFormat="1" s="77">
      <c r="A1147" s="2" t="n"/>
      <c r="B1147" s="64" t="n"/>
      <c r="C1147" s="2" t="n"/>
      <c r="D1147" s="2" t="n"/>
      <c r="E1147" s="5" t="n"/>
      <c r="F1147" s="5" t="n"/>
    </row>
    <row r="1148" customFormat="1" s="77">
      <c r="A1148" s="2" t="n"/>
      <c r="B1148" s="64" t="n"/>
      <c r="C1148" s="2" t="n"/>
      <c r="D1148" s="2" t="n"/>
      <c r="E1148" s="5" t="n"/>
      <c r="F1148" s="5" t="n"/>
    </row>
    <row r="1149" customFormat="1" s="77">
      <c r="A1149" s="2" t="n"/>
      <c r="B1149" s="64" t="n"/>
      <c r="C1149" s="2" t="n"/>
      <c r="D1149" s="2" t="n"/>
      <c r="E1149" s="5" t="n"/>
      <c r="F1149" s="5" t="n"/>
    </row>
    <row r="1150" customFormat="1" s="77">
      <c r="A1150" s="2" t="n"/>
      <c r="B1150" s="64" t="n"/>
      <c r="C1150" s="2" t="n"/>
      <c r="D1150" s="2" t="n"/>
      <c r="E1150" s="5" t="n"/>
      <c r="F1150" s="5" t="n"/>
    </row>
    <row r="1151" customFormat="1" s="77">
      <c r="A1151" s="2" t="n"/>
      <c r="B1151" s="64" t="n"/>
      <c r="C1151" s="2" t="n"/>
      <c r="D1151" s="2" t="n"/>
      <c r="E1151" s="5" t="n"/>
      <c r="F1151" s="5" t="n"/>
    </row>
    <row r="1152" customFormat="1" s="77">
      <c r="A1152" s="2" t="n"/>
      <c r="B1152" s="64" t="n"/>
      <c r="C1152" s="2" t="n"/>
      <c r="D1152" s="2" t="n"/>
      <c r="E1152" s="5" t="n"/>
      <c r="F1152" s="5" t="n"/>
    </row>
    <row r="1153" customFormat="1" s="77">
      <c r="A1153" s="2" t="n"/>
      <c r="B1153" s="64" t="n"/>
      <c r="C1153" s="2" t="n"/>
      <c r="D1153" s="2" t="n"/>
      <c r="E1153" s="5" t="n"/>
      <c r="F1153" s="5" t="n"/>
    </row>
    <row r="1154" customFormat="1" s="77">
      <c r="A1154" s="2" t="n"/>
      <c r="B1154" s="64" t="n"/>
      <c r="C1154" s="2" t="n"/>
      <c r="D1154" s="2" t="n"/>
      <c r="E1154" s="5" t="n"/>
      <c r="F1154" s="5" t="n"/>
    </row>
    <row r="1155" customFormat="1" s="77">
      <c r="A1155" s="2" t="n"/>
      <c r="B1155" s="64" t="n"/>
      <c r="C1155" s="2" t="n"/>
      <c r="D1155" s="2" t="n"/>
      <c r="E1155" s="5" t="n"/>
      <c r="F1155" s="5" t="n"/>
    </row>
    <row r="1156" customFormat="1" s="77">
      <c r="A1156" s="2" t="n"/>
      <c r="B1156" s="64" t="n"/>
      <c r="C1156" s="2" t="n"/>
      <c r="D1156" s="2" t="n"/>
      <c r="E1156" s="5" t="n"/>
      <c r="F1156" s="5" t="n"/>
    </row>
    <row r="1157" customFormat="1" s="77">
      <c r="A1157" s="2" t="n"/>
      <c r="B1157" s="64" t="n"/>
      <c r="C1157" s="2" t="n"/>
      <c r="D1157" s="2" t="n"/>
      <c r="E1157" s="5" t="n"/>
      <c r="F1157" s="5" t="n"/>
    </row>
    <row r="1158" customFormat="1" s="77">
      <c r="A1158" s="2" t="n"/>
      <c r="B1158" s="64" t="n"/>
      <c r="C1158" s="2" t="n"/>
      <c r="D1158" s="2" t="n"/>
      <c r="E1158" s="5" t="n"/>
      <c r="F1158" s="5" t="n"/>
    </row>
    <row r="1159" customFormat="1" s="77">
      <c r="A1159" s="2" t="n"/>
      <c r="B1159" s="64" t="n"/>
      <c r="C1159" s="2" t="n"/>
      <c r="D1159" s="2" t="n"/>
      <c r="E1159" s="5" t="n"/>
      <c r="F1159" s="5" t="n"/>
    </row>
    <row r="1160" customFormat="1" s="77">
      <c r="A1160" s="2" t="n"/>
      <c r="B1160" s="64" t="n"/>
      <c r="C1160" s="2" t="n"/>
      <c r="D1160" s="2" t="n"/>
      <c r="E1160" s="5" t="n"/>
      <c r="F1160" s="5" t="n"/>
    </row>
    <row r="1161" customFormat="1" s="77">
      <c r="A1161" s="2" t="n"/>
      <c r="B1161" s="64" t="n"/>
      <c r="C1161" s="2" t="n"/>
      <c r="D1161" s="2" t="n"/>
      <c r="E1161" s="5" t="n"/>
      <c r="F1161" s="5" t="n"/>
    </row>
    <row r="1162" customFormat="1" s="77">
      <c r="A1162" s="2" t="n"/>
      <c r="B1162" s="64" t="n"/>
      <c r="C1162" s="2" t="n"/>
      <c r="D1162" s="2" t="n"/>
      <c r="E1162" s="5" t="n"/>
      <c r="F1162" s="5" t="n"/>
    </row>
    <row r="1163" customFormat="1" s="77">
      <c r="A1163" s="2" t="n"/>
      <c r="B1163" s="64" t="n"/>
      <c r="C1163" s="2" t="n"/>
      <c r="D1163" s="2" t="n"/>
      <c r="E1163" s="5" t="n"/>
      <c r="F1163" s="5" t="n"/>
    </row>
    <row r="1164" customFormat="1" s="77">
      <c r="A1164" s="2" t="n"/>
      <c r="B1164" s="64" t="n"/>
      <c r="C1164" s="2" t="n"/>
      <c r="D1164" s="2" t="n"/>
      <c r="E1164" s="5" t="n"/>
      <c r="F1164" s="5" t="n"/>
    </row>
    <row r="1165" customFormat="1" s="77">
      <c r="A1165" s="2" t="n"/>
      <c r="B1165" s="64" t="n"/>
      <c r="C1165" s="2" t="n"/>
      <c r="D1165" s="2" t="n"/>
      <c r="E1165" s="5" t="n"/>
      <c r="F1165" s="5" t="n"/>
    </row>
    <row r="1166" customFormat="1" s="77">
      <c r="A1166" s="2" t="n"/>
      <c r="B1166" s="64" t="n"/>
      <c r="C1166" s="2" t="n"/>
      <c r="D1166" s="2" t="n"/>
      <c r="E1166" s="5" t="n"/>
      <c r="F1166" s="5" t="n"/>
    </row>
    <row r="1167" customFormat="1" s="77">
      <c r="A1167" s="2" t="n"/>
      <c r="B1167" s="64" t="n"/>
      <c r="C1167" s="2" t="n"/>
      <c r="D1167" s="2" t="n"/>
      <c r="E1167" s="5" t="n"/>
      <c r="F1167" s="5" t="n"/>
    </row>
    <row r="1168" customFormat="1" s="77">
      <c r="A1168" s="2" t="n"/>
      <c r="B1168" s="64" t="n"/>
      <c r="C1168" s="2" t="n"/>
      <c r="D1168" s="2" t="n"/>
      <c r="E1168" s="5" t="n"/>
      <c r="F1168" s="5" t="n"/>
    </row>
    <row r="1169" customFormat="1" s="77">
      <c r="A1169" s="2" t="n"/>
      <c r="B1169" s="64" t="n"/>
      <c r="C1169" s="2" t="n"/>
      <c r="D1169" s="2" t="n"/>
      <c r="E1169" s="5" t="n"/>
      <c r="F1169" s="5" t="n"/>
    </row>
    <row r="1170" customFormat="1" s="77">
      <c r="A1170" s="2" t="n"/>
      <c r="B1170" s="64" t="n"/>
      <c r="C1170" s="2" t="n"/>
      <c r="D1170" s="2" t="n"/>
      <c r="E1170" s="5" t="n"/>
      <c r="F1170" s="5" t="n"/>
    </row>
    <row r="1171" customFormat="1" s="77">
      <c r="A1171" s="2" t="n"/>
      <c r="B1171" s="64" t="n"/>
      <c r="C1171" s="2" t="n"/>
      <c r="D1171" s="2" t="n"/>
      <c r="E1171" s="5" t="n"/>
      <c r="F1171" s="5" t="n"/>
    </row>
    <row r="1172" customFormat="1" s="77">
      <c r="A1172" s="2" t="n"/>
      <c r="B1172" s="64" t="n"/>
      <c r="C1172" s="2" t="n"/>
      <c r="D1172" s="2" t="n"/>
      <c r="E1172" s="5" t="n"/>
      <c r="F1172" s="5" t="n"/>
    </row>
    <row r="1173" customFormat="1" s="77">
      <c r="A1173" s="2" t="n"/>
      <c r="B1173" s="64" t="n"/>
      <c r="C1173" s="2" t="n"/>
      <c r="D1173" s="2" t="n"/>
      <c r="E1173" s="5" t="n"/>
      <c r="F1173" s="5" t="n"/>
    </row>
    <row r="1174" customFormat="1" s="77">
      <c r="A1174" s="2" t="n"/>
      <c r="B1174" s="64" t="n"/>
      <c r="C1174" s="2" t="n"/>
      <c r="D1174" s="2" t="n"/>
      <c r="E1174" s="5" t="n"/>
      <c r="F1174" s="5" t="n"/>
    </row>
    <row r="1175" customFormat="1" s="77">
      <c r="A1175" s="2" t="n"/>
      <c r="B1175" s="64" t="n"/>
      <c r="C1175" s="2" t="n"/>
      <c r="D1175" s="2" t="n"/>
      <c r="E1175" s="5" t="n"/>
      <c r="F1175" s="5" t="n"/>
    </row>
    <row r="1176" customFormat="1" s="77">
      <c r="A1176" s="2" t="n"/>
      <c r="B1176" s="64" t="n"/>
      <c r="C1176" s="2" t="n"/>
      <c r="D1176" s="2" t="n"/>
      <c r="E1176" s="5" t="n"/>
      <c r="F1176" s="5" t="n"/>
    </row>
    <row r="1177" customFormat="1" s="77">
      <c r="A1177" s="2" t="n"/>
      <c r="B1177" s="64" t="n"/>
      <c r="C1177" s="2" t="n"/>
      <c r="D1177" s="2" t="n"/>
      <c r="E1177" s="5" t="n"/>
      <c r="F1177" s="5" t="n"/>
    </row>
    <row r="1178" customFormat="1" s="77">
      <c r="A1178" s="2" t="n"/>
      <c r="B1178" s="64" t="n"/>
      <c r="C1178" s="2" t="n"/>
      <c r="D1178" s="2" t="n"/>
      <c r="E1178" s="5" t="n"/>
      <c r="F1178" s="5" t="n"/>
    </row>
    <row r="1179" customFormat="1" s="77">
      <c r="A1179" s="2" t="n"/>
      <c r="B1179" s="64" t="n"/>
      <c r="C1179" s="2" t="n"/>
      <c r="D1179" s="2" t="n"/>
      <c r="E1179" s="5" t="n"/>
      <c r="F1179" s="5" t="n"/>
    </row>
    <row r="1180" customFormat="1" s="77">
      <c r="A1180" s="2" t="n"/>
      <c r="B1180" s="64" t="n"/>
      <c r="C1180" s="2" t="n"/>
      <c r="D1180" s="2" t="n"/>
      <c r="E1180" s="5" t="n"/>
      <c r="F1180" s="5" t="n"/>
    </row>
    <row r="1181" customFormat="1" s="77">
      <c r="A1181" s="2" t="n"/>
      <c r="B1181" s="64" t="n"/>
      <c r="C1181" s="2" t="n"/>
      <c r="D1181" s="2" t="n"/>
      <c r="E1181" s="5" t="n"/>
      <c r="F1181" s="5" t="n"/>
    </row>
    <row r="1182" customFormat="1" s="77">
      <c r="A1182" s="2" t="n"/>
      <c r="B1182" s="64" t="n"/>
      <c r="C1182" s="2" t="n"/>
      <c r="D1182" s="2" t="n"/>
      <c r="E1182" s="5" t="n"/>
      <c r="F1182" s="5" t="n"/>
    </row>
    <row r="1183" customFormat="1" s="77">
      <c r="A1183" s="2" t="n"/>
      <c r="B1183" s="64" t="n"/>
      <c r="C1183" s="2" t="n"/>
      <c r="D1183" s="2" t="n"/>
      <c r="E1183" s="5" t="n"/>
      <c r="F1183" s="5" t="n"/>
    </row>
    <row r="1184" customFormat="1" s="77">
      <c r="A1184" s="2" t="n"/>
      <c r="B1184" s="64" t="n"/>
      <c r="C1184" s="2" t="n"/>
      <c r="D1184" s="2" t="n"/>
      <c r="E1184" s="5" t="n"/>
      <c r="F1184" s="5" t="n"/>
    </row>
    <row r="1185" customFormat="1" s="77">
      <c r="A1185" s="2" t="n"/>
      <c r="B1185" s="64" t="n"/>
      <c r="C1185" s="2" t="n"/>
      <c r="D1185" s="2" t="n"/>
      <c r="E1185" s="5" t="n"/>
      <c r="F1185" s="5" t="n"/>
    </row>
    <row r="1186" customFormat="1" s="77">
      <c r="A1186" s="2" t="n"/>
      <c r="B1186" s="64" t="n"/>
      <c r="C1186" s="2" t="n"/>
      <c r="D1186" s="2" t="n"/>
      <c r="E1186" s="5" t="n"/>
      <c r="F1186" s="5" t="n"/>
    </row>
    <row r="1187" customFormat="1" s="77">
      <c r="A1187" s="2" t="n"/>
      <c r="B1187" s="64" t="n"/>
      <c r="C1187" s="2" t="n"/>
      <c r="D1187" s="2" t="n"/>
      <c r="E1187" s="5" t="n"/>
      <c r="F1187" s="5" t="n"/>
    </row>
    <row r="1188" customFormat="1" s="77">
      <c r="A1188" s="2" t="n"/>
      <c r="B1188" s="64" t="n"/>
      <c r="C1188" s="2" t="n"/>
      <c r="D1188" s="2" t="n"/>
      <c r="E1188" s="5" t="n"/>
      <c r="F1188" s="5" t="n"/>
    </row>
    <row r="1189" customFormat="1" s="77">
      <c r="A1189" s="2" t="n"/>
      <c r="B1189" s="64" t="n"/>
      <c r="C1189" s="2" t="n"/>
      <c r="D1189" s="2" t="n"/>
      <c r="E1189" s="5" t="n"/>
      <c r="F1189" s="5" t="n"/>
    </row>
    <row r="1190" customFormat="1" s="77">
      <c r="A1190" s="2" t="n"/>
      <c r="B1190" s="64" t="n"/>
      <c r="C1190" s="2" t="n"/>
      <c r="D1190" s="2" t="n"/>
      <c r="E1190" s="5" t="n"/>
      <c r="F1190" s="5" t="n"/>
    </row>
    <row r="1191" customFormat="1" s="77">
      <c r="A1191" s="2" t="n"/>
      <c r="B1191" s="64" t="n"/>
      <c r="C1191" s="2" t="n"/>
      <c r="D1191" s="2" t="n"/>
      <c r="E1191" s="5" t="n"/>
      <c r="F1191" s="5" t="n"/>
    </row>
    <row r="1192" customFormat="1" s="77">
      <c r="A1192" s="2" t="n"/>
      <c r="B1192" s="64" t="n"/>
      <c r="C1192" s="2" t="n"/>
      <c r="D1192" s="2" t="n"/>
      <c r="E1192" s="5" t="n"/>
      <c r="F1192" s="5" t="n"/>
    </row>
    <row r="1193" customFormat="1" s="77">
      <c r="A1193" s="2" t="n"/>
      <c r="B1193" s="64" t="n"/>
      <c r="C1193" s="2" t="n"/>
      <c r="D1193" s="2" t="n"/>
      <c r="E1193" s="5" t="n"/>
      <c r="F1193" s="5" t="n"/>
    </row>
    <row r="1194" customFormat="1" s="77">
      <c r="A1194" s="2" t="n"/>
      <c r="B1194" s="64" t="n"/>
      <c r="C1194" s="2" t="n"/>
      <c r="D1194" s="2" t="n"/>
      <c r="E1194" s="5" t="n"/>
      <c r="F1194" s="5" t="n"/>
    </row>
    <row r="1195" customFormat="1" s="77">
      <c r="A1195" s="2" t="n"/>
      <c r="B1195" s="64" t="n"/>
      <c r="C1195" s="2" t="n"/>
      <c r="D1195" s="2" t="n"/>
      <c r="E1195" s="5" t="n"/>
      <c r="F1195" s="5" t="n"/>
    </row>
    <row r="1196" customFormat="1" s="77">
      <c r="A1196" s="2" t="n"/>
      <c r="B1196" s="64" t="n"/>
      <c r="C1196" s="2" t="n"/>
      <c r="D1196" s="2" t="n"/>
      <c r="E1196" s="5" t="n"/>
      <c r="F1196" s="5" t="n"/>
    </row>
    <row r="1197" customFormat="1" s="77">
      <c r="A1197" s="2" t="n"/>
      <c r="B1197" s="64" t="n"/>
      <c r="C1197" s="2" t="n"/>
      <c r="D1197" s="2" t="n"/>
      <c r="E1197" s="5" t="n"/>
      <c r="F1197" s="5" t="n"/>
    </row>
    <row r="1198" customFormat="1" s="77">
      <c r="A1198" s="2" t="n"/>
      <c r="B1198" s="64" t="n"/>
      <c r="C1198" s="2" t="n"/>
      <c r="D1198" s="2" t="n"/>
      <c r="E1198" s="5" t="n"/>
      <c r="F1198" s="5" t="n"/>
    </row>
    <row r="1199" customFormat="1" s="77">
      <c r="A1199" s="2" t="n"/>
      <c r="B1199" s="64" t="n"/>
      <c r="C1199" s="2" t="n"/>
      <c r="D1199" s="2" t="n"/>
      <c r="E1199" s="5" t="n"/>
      <c r="F1199" s="5" t="n"/>
    </row>
    <row r="1200" customFormat="1" s="77">
      <c r="A1200" s="2" t="n"/>
      <c r="B1200" s="64" t="n"/>
      <c r="C1200" s="2" t="n"/>
      <c r="D1200" s="2" t="n"/>
      <c r="E1200" s="5" t="n"/>
      <c r="F1200" s="5" t="n"/>
    </row>
    <row r="1201" customFormat="1" s="77">
      <c r="A1201" s="2" t="n"/>
      <c r="B1201" s="64" t="n"/>
      <c r="C1201" s="2" t="n"/>
      <c r="D1201" s="2" t="n"/>
      <c r="E1201" s="5" t="n"/>
      <c r="F1201" s="5" t="n"/>
    </row>
    <row r="1202" customFormat="1" s="77">
      <c r="A1202" s="2" t="n"/>
      <c r="B1202" s="64" t="n"/>
      <c r="C1202" s="2" t="n"/>
      <c r="D1202" s="2" t="n"/>
      <c r="E1202" s="5" t="n"/>
      <c r="F1202" s="5" t="n"/>
    </row>
    <row r="1203" customFormat="1" s="77">
      <c r="A1203" s="2" t="n"/>
      <c r="B1203" s="64" t="n"/>
      <c r="C1203" s="2" t="n"/>
      <c r="D1203" s="2" t="n"/>
      <c r="E1203" s="5" t="n"/>
      <c r="F1203" s="5" t="n"/>
    </row>
    <row r="1204" customFormat="1" s="77">
      <c r="A1204" s="2" t="n"/>
      <c r="B1204" s="64" t="n"/>
      <c r="C1204" s="2" t="n"/>
      <c r="D1204" s="2" t="n"/>
      <c r="E1204" s="5" t="n"/>
      <c r="F1204" s="5" t="n"/>
    </row>
    <row r="1205" customFormat="1" s="77">
      <c r="A1205" s="2" t="n"/>
      <c r="B1205" s="64" t="n"/>
      <c r="C1205" s="2" t="n"/>
      <c r="D1205" s="2" t="n"/>
      <c r="E1205" s="5" t="n"/>
      <c r="F1205" s="5" t="n"/>
    </row>
    <row r="1206" customFormat="1" s="77">
      <c r="A1206" s="2" t="n"/>
      <c r="B1206" s="64" t="n"/>
      <c r="C1206" s="2" t="n"/>
      <c r="D1206" s="2" t="n"/>
      <c r="E1206" s="5" t="n"/>
      <c r="F1206" s="5" t="n"/>
    </row>
    <row r="1207" customFormat="1" s="77">
      <c r="A1207" s="2" t="n"/>
      <c r="B1207" s="64" t="n"/>
      <c r="C1207" s="2" t="n"/>
      <c r="D1207" s="2" t="n"/>
      <c r="E1207" s="5" t="n"/>
      <c r="F1207" s="5" t="n"/>
    </row>
    <row r="1208" customFormat="1" s="77">
      <c r="A1208" s="2" t="n"/>
      <c r="B1208" s="64" t="n"/>
      <c r="C1208" s="2" t="n"/>
      <c r="D1208" s="2" t="n"/>
      <c r="E1208" s="5" t="n"/>
      <c r="F1208" s="5" t="n"/>
    </row>
    <row r="1209" customFormat="1" s="77">
      <c r="A1209" s="2" t="n"/>
      <c r="B1209" s="64" t="n"/>
      <c r="C1209" s="2" t="n"/>
      <c r="D1209" s="2" t="n"/>
      <c r="E1209" s="5" t="n"/>
      <c r="F1209" s="5" t="n"/>
    </row>
    <row r="1210" customFormat="1" s="77">
      <c r="A1210" s="2" t="n"/>
      <c r="B1210" s="64" t="n"/>
      <c r="C1210" s="2" t="n"/>
      <c r="D1210" s="2" t="n"/>
      <c r="E1210" s="5" t="n"/>
      <c r="F1210" s="5" t="n"/>
    </row>
    <row r="1211" customFormat="1" s="77">
      <c r="A1211" s="2" t="n"/>
      <c r="B1211" s="64" t="n"/>
      <c r="C1211" s="2" t="n"/>
      <c r="D1211" s="2" t="n"/>
      <c r="E1211" s="5" t="n"/>
      <c r="F1211" s="5" t="n"/>
    </row>
    <row r="1212" customFormat="1" s="77">
      <c r="A1212" s="2" t="n"/>
      <c r="B1212" s="64" t="n"/>
      <c r="C1212" s="2" t="n"/>
      <c r="D1212" s="2" t="n"/>
      <c r="E1212" s="5" t="n"/>
      <c r="F1212" s="5" t="n"/>
    </row>
    <row r="1213" customFormat="1" s="77">
      <c r="A1213" s="2" t="n"/>
      <c r="B1213" s="64" t="n"/>
      <c r="C1213" s="2" t="n"/>
      <c r="D1213" s="2" t="n"/>
      <c r="E1213" s="5" t="n"/>
      <c r="F1213" s="5" t="n"/>
    </row>
    <row r="1214" customFormat="1" s="77">
      <c r="A1214" s="2" t="n"/>
      <c r="B1214" s="64" t="n"/>
      <c r="C1214" s="2" t="n"/>
      <c r="D1214" s="2" t="n"/>
      <c r="E1214" s="5" t="n"/>
      <c r="F1214" s="5" t="n"/>
    </row>
    <row r="1215" customFormat="1" s="77">
      <c r="A1215" s="2" t="n"/>
      <c r="B1215" s="64" t="n"/>
      <c r="C1215" s="2" t="n"/>
      <c r="D1215" s="2" t="n"/>
      <c r="E1215" s="5" t="n"/>
      <c r="F1215" s="5" t="n"/>
    </row>
    <row r="1216" customFormat="1" s="77">
      <c r="A1216" s="2" t="n"/>
      <c r="B1216" s="64" t="n"/>
      <c r="C1216" s="2" t="n"/>
      <c r="D1216" s="2" t="n"/>
      <c r="E1216" s="5" t="n"/>
      <c r="F1216" s="5" t="n"/>
    </row>
    <row r="1217" customFormat="1" s="77">
      <c r="A1217" s="2" t="n"/>
      <c r="B1217" s="64" t="n"/>
      <c r="C1217" s="2" t="n"/>
      <c r="D1217" s="2" t="n"/>
      <c r="E1217" s="5" t="n"/>
      <c r="F1217" s="5" t="n"/>
    </row>
    <row r="1218" customFormat="1" s="77">
      <c r="A1218" s="2" t="n"/>
      <c r="B1218" s="64" t="n"/>
      <c r="C1218" s="2" t="n"/>
      <c r="D1218" s="2" t="n"/>
      <c r="E1218" s="5" t="n"/>
      <c r="F1218" s="5" t="n"/>
    </row>
    <row r="1219" customFormat="1" s="77">
      <c r="A1219" s="2" t="n"/>
      <c r="B1219" s="64" t="n"/>
      <c r="C1219" s="2" t="n"/>
      <c r="D1219" s="2" t="n"/>
      <c r="E1219" s="5" t="n"/>
      <c r="F1219" s="5" t="n"/>
    </row>
    <row r="1220" customFormat="1" s="77">
      <c r="A1220" s="2" t="n"/>
      <c r="B1220" s="64" t="n"/>
      <c r="C1220" s="2" t="n"/>
      <c r="D1220" s="2" t="n"/>
      <c r="E1220" s="5" t="n"/>
      <c r="F1220" s="5" t="n"/>
    </row>
    <row r="1221" customFormat="1" s="77">
      <c r="A1221" s="2" t="n"/>
      <c r="B1221" s="64" t="n"/>
      <c r="C1221" s="2" t="n"/>
      <c r="D1221" s="2" t="n"/>
      <c r="E1221" s="5" t="n"/>
      <c r="F1221" s="5" t="n"/>
    </row>
    <row r="1222" customFormat="1" s="77">
      <c r="A1222" s="2" t="n"/>
      <c r="B1222" s="64" t="n"/>
      <c r="C1222" s="2" t="n"/>
      <c r="D1222" s="2" t="n"/>
      <c r="E1222" s="5" t="n"/>
      <c r="F1222" s="5" t="n"/>
    </row>
    <row r="1223" customFormat="1" s="77">
      <c r="A1223" s="2" t="n"/>
      <c r="B1223" s="64" t="n"/>
      <c r="C1223" s="2" t="n"/>
      <c r="D1223" s="2" t="n"/>
      <c r="E1223" s="5" t="n"/>
      <c r="F1223" s="5" t="n"/>
    </row>
    <row r="1224" customFormat="1" s="77">
      <c r="A1224" s="2" t="n"/>
      <c r="B1224" s="64" t="n"/>
      <c r="C1224" s="2" t="n"/>
      <c r="D1224" s="2" t="n"/>
      <c r="E1224" s="5" t="n"/>
      <c r="F1224" s="5" t="n"/>
    </row>
    <row r="1225" customFormat="1" s="77">
      <c r="A1225" s="2" t="n"/>
      <c r="B1225" s="64" t="n"/>
      <c r="C1225" s="2" t="n"/>
      <c r="D1225" s="2" t="n"/>
      <c r="E1225" s="5" t="n"/>
      <c r="F1225" s="5" t="n"/>
    </row>
    <row r="1226" customFormat="1" s="77">
      <c r="A1226" s="2" t="n"/>
      <c r="B1226" s="64" t="n"/>
      <c r="C1226" s="2" t="n"/>
      <c r="D1226" s="2" t="n"/>
      <c r="E1226" s="5" t="n"/>
      <c r="F1226" s="5" t="n"/>
    </row>
    <row r="1227" customFormat="1" s="77">
      <c r="A1227" s="2" t="n"/>
      <c r="B1227" s="64" t="n"/>
      <c r="C1227" s="2" t="n"/>
      <c r="D1227" s="2" t="n"/>
      <c r="E1227" s="5" t="n"/>
      <c r="F1227" s="5" t="n"/>
    </row>
    <row r="1228" customFormat="1" s="77">
      <c r="A1228" s="2" t="n"/>
      <c r="B1228" s="64" t="n"/>
      <c r="C1228" s="2" t="n"/>
      <c r="D1228" s="2" t="n"/>
      <c r="E1228" s="5" t="n"/>
      <c r="F1228" s="5" t="n"/>
    </row>
    <row r="1229" customFormat="1" s="77">
      <c r="A1229" s="2" t="n"/>
      <c r="B1229" s="64" t="n"/>
      <c r="C1229" s="2" t="n"/>
      <c r="D1229" s="2" t="n"/>
      <c r="E1229" s="5" t="n"/>
      <c r="F1229" s="5" t="n"/>
    </row>
    <row r="1230" customFormat="1" s="77">
      <c r="A1230" s="2" t="n"/>
      <c r="B1230" s="64" t="n"/>
      <c r="C1230" s="2" t="n"/>
      <c r="D1230" s="2" t="n"/>
      <c r="E1230" s="5" t="n"/>
      <c r="F1230" s="5" t="n"/>
    </row>
    <row r="1231" customFormat="1" s="77">
      <c r="A1231" s="2" t="n"/>
      <c r="B1231" s="64" t="n"/>
      <c r="C1231" s="2" t="n"/>
      <c r="D1231" s="2" t="n"/>
      <c r="E1231" s="5" t="n"/>
      <c r="F1231" s="5" t="n"/>
    </row>
    <row r="1232" customFormat="1" s="77">
      <c r="A1232" s="2" t="n"/>
      <c r="B1232" s="64" t="n"/>
      <c r="C1232" s="2" t="n"/>
      <c r="D1232" s="2" t="n"/>
      <c r="E1232" s="5" t="n"/>
      <c r="F1232" s="5" t="n"/>
    </row>
    <row r="1233" customFormat="1" s="77">
      <c r="A1233" s="2" t="n"/>
      <c r="B1233" s="64" t="n"/>
      <c r="C1233" s="2" t="n"/>
      <c r="D1233" s="2" t="n"/>
      <c r="E1233" s="5" t="n"/>
      <c r="F1233" s="5" t="n"/>
    </row>
    <row r="1234" customFormat="1" s="77">
      <c r="A1234" s="2" t="n"/>
      <c r="B1234" s="64" t="n"/>
      <c r="C1234" s="2" t="n"/>
      <c r="D1234" s="2" t="n"/>
      <c r="E1234" s="5" t="n"/>
      <c r="F1234" s="5" t="n"/>
    </row>
    <row r="1235" customFormat="1" s="77">
      <c r="A1235" s="2" t="n"/>
      <c r="B1235" s="64" t="n"/>
      <c r="C1235" s="2" t="n"/>
      <c r="D1235" s="2" t="n"/>
      <c r="E1235" s="5" t="n"/>
      <c r="F1235" s="5" t="n"/>
    </row>
    <row r="1236" customFormat="1" s="77">
      <c r="A1236" s="2" t="n"/>
      <c r="B1236" s="64" t="n"/>
      <c r="C1236" s="2" t="n"/>
      <c r="D1236" s="2" t="n"/>
      <c r="E1236" s="5" t="n"/>
      <c r="F1236" s="5" t="n"/>
    </row>
    <row r="1237" customFormat="1" s="77">
      <c r="A1237" s="2" t="n"/>
      <c r="B1237" s="64" t="n"/>
      <c r="C1237" s="2" t="n"/>
      <c r="D1237" s="2" t="n"/>
      <c r="E1237" s="5" t="n"/>
      <c r="F1237" s="5" t="n"/>
    </row>
    <row r="1238" customFormat="1" s="77">
      <c r="A1238" s="2" t="n"/>
      <c r="B1238" s="64" t="n"/>
      <c r="C1238" s="2" t="n"/>
      <c r="D1238" s="2" t="n"/>
      <c r="E1238" s="5" t="n"/>
      <c r="F1238" s="5" t="n"/>
    </row>
    <row r="1239" customFormat="1" s="77">
      <c r="A1239" s="2" t="n"/>
      <c r="B1239" s="64" t="n"/>
      <c r="C1239" s="2" t="n"/>
      <c r="D1239" s="2" t="n"/>
      <c r="E1239" s="5" t="n"/>
      <c r="F1239" s="5" t="n"/>
    </row>
    <row r="1240" customFormat="1" s="77">
      <c r="A1240" s="2" t="n"/>
      <c r="B1240" s="64" t="n"/>
      <c r="C1240" s="2" t="n"/>
      <c r="D1240" s="2" t="n"/>
      <c r="E1240" s="5" t="n"/>
      <c r="F1240" s="5" t="n"/>
    </row>
    <row r="1241" customFormat="1" s="77">
      <c r="A1241" s="2" t="n"/>
      <c r="B1241" s="64" t="n"/>
      <c r="C1241" s="2" t="n"/>
      <c r="D1241" s="2" t="n"/>
      <c r="E1241" s="5" t="n"/>
      <c r="F1241" s="5" t="n"/>
    </row>
    <row r="1242" customFormat="1" s="77">
      <c r="A1242" s="2" t="n"/>
      <c r="B1242" s="64" t="n"/>
      <c r="C1242" s="2" t="n"/>
      <c r="D1242" s="2" t="n"/>
      <c r="E1242" s="5" t="n"/>
      <c r="F1242" s="5" t="n"/>
    </row>
    <row r="1243" customFormat="1" s="77">
      <c r="A1243" s="2" t="n"/>
      <c r="B1243" s="64" t="n"/>
      <c r="C1243" s="2" t="n"/>
      <c r="D1243" s="2" t="n"/>
      <c r="E1243" s="5" t="n"/>
      <c r="F1243" s="5" t="n"/>
    </row>
    <row r="1244" customFormat="1" s="77">
      <c r="A1244" s="2" t="n"/>
      <c r="B1244" s="64" t="n"/>
      <c r="C1244" s="2" t="n"/>
      <c r="D1244" s="2" t="n"/>
      <c r="E1244" s="5" t="n"/>
      <c r="F1244" s="5" t="n"/>
    </row>
    <row r="1245" customFormat="1" s="77">
      <c r="A1245" s="2" t="n"/>
      <c r="B1245" s="64" t="n"/>
      <c r="C1245" s="2" t="n"/>
      <c r="D1245" s="2" t="n"/>
      <c r="E1245" s="5" t="n"/>
      <c r="F1245" s="5" t="n"/>
    </row>
    <row r="1246" customFormat="1" s="77">
      <c r="A1246" s="2" t="n"/>
      <c r="B1246" s="64" t="n"/>
      <c r="C1246" s="2" t="n"/>
      <c r="D1246" s="2" t="n"/>
      <c r="E1246" s="5" t="n"/>
      <c r="F1246" s="5" t="n"/>
    </row>
    <row r="1247" customFormat="1" s="77">
      <c r="A1247" s="2" t="n"/>
      <c r="B1247" s="64" t="n"/>
      <c r="C1247" s="2" t="n"/>
      <c r="D1247" s="2" t="n"/>
      <c r="E1247" s="5" t="n"/>
      <c r="F1247" s="5" t="n"/>
    </row>
    <row r="1248" customFormat="1" s="77">
      <c r="A1248" s="2" t="n"/>
      <c r="B1248" s="64" t="n"/>
      <c r="C1248" s="2" t="n"/>
      <c r="D1248" s="2" t="n"/>
      <c r="E1248" s="5" t="n"/>
      <c r="F1248" s="5" t="n"/>
    </row>
    <row r="1249" customFormat="1" s="77">
      <c r="A1249" s="2" t="n"/>
      <c r="B1249" s="64" t="n"/>
      <c r="C1249" s="2" t="n"/>
      <c r="D1249" s="2" t="n"/>
      <c r="E1249" s="5" t="n"/>
      <c r="F1249" s="5" t="n"/>
    </row>
    <row r="1250" customFormat="1" s="77">
      <c r="A1250" s="2" t="n"/>
      <c r="B1250" s="64" t="n"/>
      <c r="C1250" s="2" t="n"/>
      <c r="D1250" s="2" t="n"/>
      <c r="E1250" s="5" t="n"/>
      <c r="F1250" s="5" t="n"/>
    </row>
    <row r="1251" customFormat="1" s="77">
      <c r="A1251" s="2" t="n"/>
      <c r="B1251" s="64" t="n"/>
      <c r="C1251" s="2" t="n"/>
      <c r="D1251" s="2" t="n"/>
      <c r="E1251" s="5" t="n"/>
      <c r="F1251" s="5" t="n"/>
    </row>
    <row r="1252" customFormat="1" s="77">
      <c r="A1252" s="2" t="n"/>
      <c r="B1252" s="64" t="n"/>
      <c r="C1252" s="2" t="n"/>
      <c r="D1252" s="2" t="n"/>
      <c r="E1252" s="5" t="n"/>
      <c r="F1252" s="5" t="n"/>
    </row>
    <row r="1253" customFormat="1" s="77">
      <c r="A1253" s="2" t="n"/>
      <c r="B1253" s="64" t="n"/>
      <c r="C1253" s="2" t="n"/>
      <c r="D1253" s="2" t="n"/>
      <c r="E1253" s="5" t="n"/>
      <c r="F1253" s="5" t="n"/>
    </row>
    <row r="1254" customFormat="1" s="77">
      <c r="A1254" s="2" t="n"/>
      <c r="B1254" s="64" t="n"/>
      <c r="C1254" s="2" t="n"/>
      <c r="D1254" s="2" t="n"/>
      <c r="E1254" s="5" t="n"/>
      <c r="F1254" s="5" t="n"/>
    </row>
    <row r="1255" customFormat="1" s="77">
      <c r="A1255" s="2" t="n"/>
      <c r="B1255" s="64" t="n"/>
      <c r="C1255" s="2" t="n"/>
      <c r="D1255" s="2" t="n"/>
      <c r="E1255" s="5" t="n"/>
      <c r="F1255" s="5" t="n"/>
    </row>
    <row r="1256" customFormat="1" s="77">
      <c r="A1256" s="2" t="n"/>
      <c r="B1256" s="64" t="n"/>
      <c r="C1256" s="2" t="n"/>
      <c r="D1256" s="2" t="n"/>
      <c r="E1256" s="5" t="n"/>
      <c r="F1256" s="5" t="n"/>
    </row>
    <row r="1257" customFormat="1" s="77">
      <c r="A1257" s="2" t="n"/>
      <c r="B1257" s="64" t="n"/>
      <c r="C1257" s="2" t="n"/>
      <c r="D1257" s="2" t="n"/>
      <c r="E1257" s="5" t="n"/>
      <c r="F1257" s="5" t="n"/>
    </row>
    <row r="1258" customFormat="1" s="77">
      <c r="A1258" s="2" t="n"/>
      <c r="B1258" s="64" t="n"/>
      <c r="C1258" s="2" t="n"/>
      <c r="D1258" s="2" t="n"/>
      <c r="E1258" s="5" t="n"/>
      <c r="F1258" s="5" t="n"/>
    </row>
    <row r="1259" customFormat="1" s="77">
      <c r="A1259" s="2" t="n"/>
      <c r="B1259" s="64" t="n"/>
      <c r="C1259" s="2" t="n"/>
      <c r="D1259" s="2" t="n"/>
      <c r="E1259" s="5" t="n"/>
      <c r="F1259" s="5" t="n"/>
    </row>
    <row r="1260" customFormat="1" s="77">
      <c r="A1260" s="2" t="n"/>
      <c r="B1260" s="64" t="n"/>
      <c r="C1260" s="2" t="n"/>
      <c r="D1260" s="2" t="n"/>
      <c r="E1260" s="5" t="n"/>
      <c r="F1260" s="5" t="n"/>
    </row>
    <row r="1261" customFormat="1" s="77">
      <c r="A1261" s="2" t="n"/>
      <c r="B1261" s="64" t="n"/>
      <c r="C1261" s="2" t="n"/>
      <c r="D1261" s="2" t="n"/>
      <c r="E1261" s="5" t="n"/>
      <c r="F1261" s="5" t="n"/>
    </row>
    <row r="1262" customFormat="1" s="77">
      <c r="A1262" s="2" t="n"/>
      <c r="B1262" s="64" t="n"/>
      <c r="C1262" s="2" t="n"/>
      <c r="D1262" s="2" t="n"/>
      <c r="E1262" s="5" t="n"/>
      <c r="F1262" s="5" t="n"/>
    </row>
    <row r="1263" customFormat="1" s="77">
      <c r="A1263" s="2" t="n"/>
      <c r="B1263" s="64" t="n"/>
      <c r="C1263" s="2" t="n"/>
      <c r="D1263" s="2" t="n"/>
      <c r="E1263" s="5" t="n"/>
      <c r="F1263" s="5" t="n"/>
    </row>
    <row r="1264" customFormat="1" s="77">
      <c r="A1264" s="2" t="n"/>
      <c r="B1264" s="64" t="n"/>
      <c r="C1264" s="2" t="n"/>
      <c r="D1264" s="2" t="n"/>
      <c r="E1264" s="5" t="n"/>
      <c r="F1264" s="5" t="n"/>
    </row>
    <row r="1265" customFormat="1" s="77">
      <c r="A1265" s="2" t="n"/>
      <c r="B1265" s="64" t="n"/>
      <c r="C1265" s="2" t="n"/>
      <c r="D1265" s="2" t="n"/>
      <c r="E1265" s="5" t="n"/>
      <c r="F1265" s="5" t="n"/>
    </row>
    <row r="1266" customFormat="1" s="77">
      <c r="A1266" s="2" t="n"/>
      <c r="B1266" s="64" t="n"/>
      <c r="C1266" s="2" t="n"/>
      <c r="D1266" s="2" t="n"/>
      <c r="E1266" s="5" t="n"/>
      <c r="F1266" s="5" t="n"/>
    </row>
    <row r="1267" customFormat="1" s="77">
      <c r="A1267" s="2" t="n"/>
      <c r="B1267" s="64" t="n"/>
      <c r="C1267" s="2" t="n"/>
      <c r="D1267" s="2" t="n"/>
      <c r="E1267" s="5" t="n"/>
      <c r="F1267" s="5" t="n"/>
    </row>
    <row r="1268" customFormat="1" s="77">
      <c r="A1268" s="2" t="n"/>
      <c r="B1268" s="64" t="n"/>
      <c r="C1268" s="2" t="n"/>
      <c r="D1268" s="2" t="n"/>
      <c r="E1268" s="5" t="n"/>
      <c r="F1268" s="5" t="n"/>
    </row>
    <row r="1269" customFormat="1" s="77">
      <c r="A1269" s="2" t="n"/>
      <c r="B1269" s="64" t="n"/>
      <c r="C1269" s="2" t="n"/>
      <c r="D1269" s="2" t="n"/>
      <c r="E1269" s="5" t="n"/>
      <c r="F1269" s="5" t="n"/>
    </row>
    <row r="1270" customFormat="1" s="77">
      <c r="A1270" s="2" t="n"/>
      <c r="B1270" s="64" t="n"/>
      <c r="C1270" s="2" t="n"/>
      <c r="D1270" s="2" t="n"/>
      <c r="E1270" s="5" t="n"/>
      <c r="F1270" s="5" t="n"/>
    </row>
    <row r="1271" customFormat="1" s="77">
      <c r="A1271" s="2" t="n"/>
      <c r="B1271" s="64" t="n"/>
      <c r="C1271" s="2" t="n"/>
      <c r="D1271" s="2" t="n"/>
      <c r="E1271" s="5" t="n"/>
      <c r="F1271" s="5" t="n"/>
    </row>
    <row r="1272" customFormat="1" s="77">
      <c r="A1272" s="2" t="n"/>
      <c r="B1272" s="64" t="n"/>
      <c r="C1272" s="2" t="n"/>
      <c r="D1272" s="2" t="n"/>
      <c r="E1272" s="5" t="n"/>
      <c r="F1272" s="5" t="n"/>
    </row>
    <row r="1273" customFormat="1" s="77">
      <c r="A1273" s="2" t="n"/>
      <c r="B1273" s="64" t="n"/>
      <c r="C1273" s="2" t="n"/>
      <c r="D1273" s="2" t="n"/>
      <c r="E1273" s="5" t="n"/>
      <c r="F1273" s="5" t="n"/>
    </row>
    <row r="1274" customFormat="1" s="77">
      <c r="A1274" s="2" t="n"/>
      <c r="B1274" s="64" t="n"/>
      <c r="C1274" s="2" t="n"/>
      <c r="D1274" s="2" t="n"/>
      <c r="E1274" s="5" t="n"/>
      <c r="F1274" s="5" t="n"/>
    </row>
    <row r="1275" customFormat="1" s="77">
      <c r="A1275" s="2" t="n"/>
      <c r="B1275" s="64" t="n"/>
      <c r="C1275" s="2" t="n"/>
      <c r="D1275" s="2" t="n"/>
      <c r="E1275" s="5" t="n"/>
      <c r="F1275" s="5" t="n"/>
    </row>
    <row r="1276" customFormat="1" s="77">
      <c r="A1276" s="2" t="n"/>
      <c r="B1276" s="64" t="n"/>
      <c r="C1276" s="2" t="n"/>
      <c r="D1276" s="2" t="n"/>
      <c r="E1276" s="5" t="n"/>
      <c r="F1276" s="5" t="n"/>
    </row>
    <row r="1277" customFormat="1" s="77">
      <c r="A1277" s="2" t="n"/>
      <c r="B1277" s="64" t="n"/>
      <c r="C1277" s="2" t="n"/>
      <c r="D1277" s="2" t="n"/>
      <c r="E1277" s="5" t="n"/>
      <c r="F1277" s="5" t="n"/>
    </row>
    <row r="1278" customFormat="1" s="77">
      <c r="A1278" s="2" t="n"/>
      <c r="B1278" s="64" t="n"/>
      <c r="C1278" s="2" t="n"/>
      <c r="D1278" s="2" t="n"/>
      <c r="E1278" s="5" t="n"/>
      <c r="F1278" s="5" t="n"/>
    </row>
    <row r="1279" customFormat="1" s="77">
      <c r="A1279" s="2" t="n"/>
      <c r="B1279" s="64" t="n"/>
      <c r="C1279" s="2" t="n"/>
      <c r="D1279" s="2" t="n"/>
      <c r="E1279" s="5" t="n"/>
      <c r="F1279" s="5" t="n"/>
    </row>
    <row r="1280" customFormat="1" s="77">
      <c r="A1280" s="2" t="n"/>
      <c r="B1280" s="64" t="n"/>
      <c r="C1280" s="2" t="n"/>
      <c r="D1280" s="2" t="n"/>
      <c r="E1280" s="5" t="n"/>
      <c r="F1280" s="5" t="n"/>
    </row>
    <row r="1281" customFormat="1" s="77">
      <c r="A1281" s="2" t="n"/>
      <c r="B1281" s="64" t="n"/>
      <c r="C1281" s="2" t="n"/>
      <c r="D1281" s="2" t="n"/>
      <c r="E1281" s="5" t="n"/>
      <c r="F1281" s="5" t="n"/>
    </row>
    <row r="1282" customFormat="1" s="77">
      <c r="A1282" s="2" t="n"/>
      <c r="B1282" s="64" t="n"/>
      <c r="C1282" s="2" t="n"/>
      <c r="D1282" s="2" t="n"/>
      <c r="E1282" s="5" t="n"/>
      <c r="F1282" s="5" t="n"/>
    </row>
    <row r="1283" customFormat="1" s="77">
      <c r="A1283" s="2" t="n"/>
      <c r="B1283" s="64" t="n"/>
      <c r="C1283" s="2" t="n"/>
      <c r="D1283" s="2" t="n"/>
      <c r="E1283" s="5" t="n"/>
      <c r="F1283" s="5" t="n"/>
    </row>
    <row r="1284" customFormat="1" s="77">
      <c r="A1284" s="2" t="n"/>
      <c r="B1284" s="64" t="n"/>
      <c r="C1284" s="2" t="n"/>
      <c r="D1284" s="2" t="n"/>
      <c r="E1284" s="5" t="n"/>
      <c r="F1284" s="5" t="n"/>
    </row>
    <row r="1285" customFormat="1" s="77">
      <c r="A1285" s="2" t="n"/>
      <c r="B1285" s="64" t="n"/>
      <c r="C1285" s="2" t="n"/>
      <c r="D1285" s="2" t="n"/>
      <c r="E1285" s="5" t="n"/>
      <c r="F1285" s="5" t="n"/>
    </row>
    <row r="1286" customFormat="1" s="77">
      <c r="A1286" s="2" t="n"/>
      <c r="B1286" s="64" t="n"/>
      <c r="C1286" s="2" t="n"/>
      <c r="D1286" s="2" t="n"/>
      <c r="E1286" s="5" t="n"/>
      <c r="F1286" s="5" t="n"/>
    </row>
    <row r="1287" customFormat="1" s="77">
      <c r="A1287" s="2" t="n"/>
      <c r="B1287" s="64" t="n"/>
      <c r="C1287" s="2" t="n"/>
      <c r="D1287" s="2" t="n"/>
      <c r="E1287" s="5" t="n"/>
      <c r="F1287" s="5" t="n"/>
    </row>
    <row r="1288" customFormat="1" s="77">
      <c r="A1288" s="2" t="n"/>
      <c r="B1288" s="64" t="n"/>
      <c r="C1288" s="2" t="n"/>
      <c r="D1288" s="2" t="n"/>
      <c r="E1288" s="5" t="n"/>
      <c r="F1288" s="5" t="n"/>
    </row>
    <row r="1289" customFormat="1" s="77">
      <c r="A1289" s="2" t="n"/>
      <c r="B1289" s="64" t="n"/>
      <c r="C1289" s="2" t="n"/>
      <c r="D1289" s="2" t="n"/>
      <c r="E1289" s="5" t="n"/>
      <c r="F1289" s="5" t="n"/>
    </row>
    <row r="1290" customFormat="1" s="77">
      <c r="A1290" s="2" t="n"/>
      <c r="B1290" s="64" t="n"/>
      <c r="C1290" s="2" t="n"/>
      <c r="D1290" s="2" t="n"/>
      <c r="E1290" s="5" t="n"/>
      <c r="F1290" s="5" t="n"/>
    </row>
    <row r="1291" customFormat="1" s="77">
      <c r="A1291" s="2" t="n"/>
      <c r="B1291" s="64" t="n"/>
      <c r="C1291" s="2" t="n"/>
      <c r="D1291" s="2" t="n"/>
      <c r="E1291" s="5" t="n"/>
      <c r="F1291" s="5" t="n"/>
    </row>
    <row r="1292" customFormat="1" s="77">
      <c r="A1292" s="2" t="n"/>
      <c r="B1292" s="64" t="n"/>
      <c r="C1292" s="2" t="n"/>
      <c r="D1292" s="2" t="n"/>
      <c r="E1292" s="5" t="n"/>
      <c r="F1292" s="5" t="n"/>
    </row>
    <row r="1293" customFormat="1" s="77">
      <c r="A1293" s="2" t="n"/>
      <c r="B1293" s="64" t="n"/>
      <c r="C1293" s="2" t="n"/>
      <c r="D1293" s="2" t="n"/>
      <c r="E1293" s="5" t="n"/>
      <c r="F1293" s="5" t="n"/>
    </row>
    <row r="1294" customFormat="1" s="77">
      <c r="A1294" s="2" t="n"/>
      <c r="B1294" s="64" t="n"/>
      <c r="C1294" s="2" t="n"/>
      <c r="D1294" s="2" t="n"/>
      <c r="E1294" s="5" t="n"/>
      <c r="F1294" s="5" t="n"/>
    </row>
    <row r="1295" customFormat="1" s="77">
      <c r="A1295" s="2" t="n"/>
      <c r="B1295" s="64" t="n"/>
      <c r="C1295" s="2" t="n"/>
      <c r="D1295" s="2" t="n"/>
      <c r="E1295" s="5" t="n"/>
      <c r="F1295" s="5" t="n"/>
    </row>
    <row r="1296" customFormat="1" s="77">
      <c r="A1296" s="2" t="n"/>
      <c r="B1296" s="64" t="n"/>
      <c r="C1296" s="2" t="n"/>
      <c r="D1296" s="2" t="n"/>
      <c r="E1296" s="5" t="n"/>
      <c r="F1296" s="5" t="n"/>
    </row>
    <row r="1297" customFormat="1" s="77">
      <c r="A1297" s="2" t="n"/>
      <c r="B1297" s="64" t="n"/>
      <c r="C1297" s="2" t="n"/>
      <c r="D1297" s="2" t="n"/>
      <c r="E1297" s="5" t="n"/>
      <c r="F1297" s="5" t="n"/>
    </row>
    <row r="1298" customFormat="1" s="77">
      <c r="A1298" s="2" t="n"/>
      <c r="B1298" s="64" t="n"/>
      <c r="C1298" s="2" t="n"/>
      <c r="D1298" s="2" t="n"/>
      <c r="E1298" s="5" t="n"/>
      <c r="F1298" s="5" t="n"/>
    </row>
    <row r="1299" customFormat="1" s="77">
      <c r="A1299" s="2" t="n"/>
      <c r="B1299" s="64" t="n"/>
      <c r="C1299" s="2" t="n"/>
      <c r="D1299" s="2" t="n"/>
      <c r="E1299" s="5" t="n"/>
      <c r="F1299" s="5" t="n"/>
    </row>
    <row r="1300" customFormat="1" s="77">
      <c r="A1300" s="2" t="n"/>
      <c r="B1300" s="64" t="n"/>
      <c r="C1300" s="2" t="n"/>
      <c r="D1300" s="2" t="n"/>
      <c r="E1300" s="5" t="n"/>
      <c r="F1300" s="5" t="n"/>
    </row>
    <row r="1301" customFormat="1" s="77">
      <c r="A1301" s="2" t="n"/>
      <c r="B1301" s="64" t="n"/>
      <c r="C1301" s="2" t="n"/>
      <c r="D1301" s="2" t="n"/>
      <c r="E1301" s="5" t="n"/>
      <c r="F1301" s="5" t="n"/>
    </row>
    <row r="1302" customFormat="1" s="77">
      <c r="A1302" s="2" t="n"/>
      <c r="B1302" s="64" t="n"/>
      <c r="C1302" s="2" t="n"/>
      <c r="D1302" s="2" t="n"/>
      <c r="E1302" s="5" t="n"/>
      <c r="F1302" s="5" t="n"/>
    </row>
    <row r="1303" customFormat="1" s="77">
      <c r="A1303" s="2" t="n"/>
      <c r="B1303" s="64" t="n"/>
      <c r="C1303" s="2" t="n"/>
      <c r="D1303" s="2" t="n"/>
      <c r="E1303" s="5" t="n"/>
      <c r="F1303" s="5" t="n"/>
    </row>
    <row r="1304" customFormat="1" s="77">
      <c r="A1304" s="2" t="n"/>
      <c r="B1304" s="64" t="n"/>
      <c r="C1304" s="2" t="n"/>
      <c r="D1304" s="2" t="n"/>
      <c r="E1304" s="5" t="n"/>
      <c r="F1304" s="5" t="n"/>
    </row>
    <row r="1305" customFormat="1" s="77">
      <c r="A1305" s="2" t="n"/>
      <c r="B1305" s="64" t="n"/>
      <c r="C1305" s="2" t="n"/>
      <c r="D1305" s="2" t="n"/>
      <c r="E1305" s="5" t="n"/>
      <c r="F1305" s="5" t="n"/>
    </row>
    <row r="1306" customFormat="1" s="77">
      <c r="A1306" s="2" t="n"/>
      <c r="B1306" s="64" t="n"/>
      <c r="C1306" s="2" t="n"/>
      <c r="D1306" s="2" t="n"/>
      <c r="E1306" s="5" t="n"/>
      <c r="F1306" s="5" t="n"/>
    </row>
    <row r="1307" customFormat="1" s="77">
      <c r="A1307" s="2" t="n"/>
      <c r="B1307" s="64" t="n"/>
      <c r="C1307" s="2" t="n"/>
      <c r="D1307" s="2" t="n"/>
      <c r="E1307" s="5" t="n"/>
      <c r="F1307" s="5" t="n"/>
    </row>
    <row r="1308" customFormat="1" s="77">
      <c r="A1308" s="2" t="n"/>
      <c r="B1308" s="64" t="n"/>
      <c r="C1308" s="2" t="n"/>
      <c r="D1308" s="2" t="n"/>
      <c r="E1308" s="5" t="n"/>
      <c r="F1308" s="5" t="n"/>
    </row>
    <row r="1309" customFormat="1" s="77">
      <c r="A1309" s="2" t="n"/>
      <c r="B1309" s="64" t="n"/>
      <c r="C1309" s="2" t="n"/>
      <c r="D1309" s="2" t="n"/>
      <c r="E1309" s="5" t="n"/>
      <c r="F1309" s="5" t="n"/>
    </row>
    <row r="1310" customFormat="1" s="77">
      <c r="A1310" s="2" t="n"/>
      <c r="B1310" s="64" t="n"/>
      <c r="C1310" s="2" t="n"/>
      <c r="D1310" s="2" t="n"/>
      <c r="E1310" s="5" t="n"/>
      <c r="F1310" s="5" t="n"/>
    </row>
    <row r="1311" customFormat="1" s="77">
      <c r="A1311" s="2" t="n"/>
      <c r="B1311" s="64" t="n"/>
      <c r="C1311" s="2" t="n"/>
      <c r="D1311" s="2" t="n"/>
      <c r="E1311" s="5" t="n"/>
      <c r="F1311" s="5" t="n"/>
    </row>
    <row r="1312" customFormat="1" s="77">
      <c r="A1312" s="2" t="n"/>
      <c r="B1312" s="64" t="n"/>
      <c r="C1312" s="2" t="n"/>
      <c r="D1312" s="2" t="n"/>
      <c r="E1312" s="5" t="n"/>
      <c r="F1312" s="5" t="n"/>
    </row>
    <row r="1313" customFormat="1" s="77">
      <c r="A1313" s="2" t="n"/>
      <c r="B1313" s="64" t="n"/>
      <c r="C1313" s="2" t="n"/>
      <c r="D1313" s="2" t="n"/>
      <c r="E1313" s="5" t="n"/>
      <c r="F1313" s="5" t="n"/>
    </row>
    <row r="1314" customFormat="1" s="77">
      <c r="A1314" s="2" t="n"/>
      <c r="B1314" s="64" t="n"/>
      <c r="C1314" s="2" t="n"/>
      <c r="D1314" s="2" t="n"/>
      <c r="E1314" s="5" t="n"/>
      <c r="F1314" s="5" t="n"/>
    </row>
    <row r="1315" customFormat="1" s="77">
      <c r="A1315" s="2" t="n"/>
      <c r="B1315" s="64" t="n"/>
      <c r="C1315" s="2" t="n"/>
      <c r="D1315" s="2" t="n"/>
      <c r="E1315" s="5" t="n"/>
      <c r="F1315" s="5" t="n"/>
    </row>
    <row r="1316" customFormat="1" s="77">
      <c r="A1316" s="2" t="n"/>
      <c r="B1316" s="64" t="n"/>
      <c r="C1316" s="2" t="n"/>
      <c r="D1316" s="2" t="n"/>
      <c r="E1316" s="5" t="n"/>
      <c r="F1316" s="5" t="n"/>
    </row>
    <row r="1317" customFormat="1" s="77">
      <c r="A1317" s="2" t="n"/>
      <c r="B1317" s="64" t="n"/>
      <c r="C1317" s="2" t="n"/>
      <c r="D1317" s="2" t="n"/>
      <c r="E1317" s="5" t="n"/>
      <c r="F1317" s="5" t="n"/>
    </row>
    <row r="1318" customFormat="1" s="77">
      <c r="A1318" s="2" t="n"/>
      <c r="B1318" s="64" t="n"/>
      <c r="C1318" s="2" t="n"/>
      <c r="D1318" s="2" t="n"/>
      <c r="E1318" s="5" t="n"/>
      <c r="F1318" s="5" t="n"/>
    </row>
    <row r="1319" customFormat="1" s="77">
      <c r="A1319" s="2" t="n"/>
      <c r="B1319" s="64" t="n"/>
      <c r="C1319" s="2" t="n"/>
      <c r="D1319" s="2" t="n"/>
      <c r="E1319" s="5" t="n"/>
      <c r="F1319" s="5" t="n"/>
    </row>
    <row r="1320" customFormat="1" s="77">
      <c r="A1320" s="2" t="n"/>
      <c r="B1320" s="64" t="n"/>
      <c r="C1320" s="2" t="n"/>
      <c r="D1320" s="2" t="n"/>
      <c r="E1320" s="5" t="n"/>
      <c r="F1320" s="5" t="n"/>
    </row>
    <row r="1321" customFormat="1" s="77">
      <c r="A1321" s="2" t="n"/>
      <c r="B1321" s="64" t="n"/>
      <c r="C1321" s="2" t="n"/>
      <c r="D1321" s="2" t="n"/>
      <c r="E1321" s="5" t="n"/>
      <c r="F1321" s="5" t="n"/>
    </row>
    <row r="1322" customFormat="1" s="77">
      <c r="A1322" s="2" t="n"/>
      <c r="B1322" s="64" t="n"/>
      <c r="C1322" s="2" t="n"/>
      <c r="D1322" s="2" t="n"/>
      <c r="E1322" s="5" t="n"/>
      <c r="F1322" s="5" t="n"/>
    </row>
    <row r="1323" customFormat="1" s="77">
      <c r="A1323" s="2" t="n"/>
      <c r="B1323" s="64" t="n"/>
      <c r="C1323" s="2" t="n"/>
      <c r="D1323" s="2" t="n"/>
      <c r="E1323" s="5" t="n"/>
      <c r="F1323" s="5" t="n"/>
    </row>
    <row r="1324" customFormat="1" s="77">
      <c r="A1324" s="2" t="n"/>
      <c r="B1324" s="64" t="n"/>
      <c r="C1324" s="2" t="n"/>
      <c r="D1324" s="2" t="n"/>
      <c r="E1324" s="5" t="n"/>
      <c r="F1324" s="5" t="n"/>
    </row>
    <row r="1325" customFormat="1" s="77">
      <c r="A1325" s="2" t="n"/>
      <c r="B1325" s="64" t="n"/>
      <c r="C1325" s="2" t="n"/>
      <c r="D1325" s="2" t="n"/>
      <c r="E1325" s="5" t="n"/>
      <c r="F1325" s="5" t="n"/>
    </row>
    <row r="1326" customFormat="1" s="77">
      <c r="A1326" s="2" t="n"/>
      <c r="B1326" s="64" t="n"/>
      <c r="C1326" s="2" t="n"/>
      <c r="D1326" s="2" t="n"/>
      <c r="E1326" s="5" t="n"/>
      <c r="F1326" s="5" t="n"/>
    </row>
    <row r="1327" customFormat="1" s="77">
      <c r="A1327" s="2" t="n"/>
      <c r="B1327" s="64" t="n"/>
      <c r="C1327" s="2" t="n"/>
      <c r="D1327" s="2" t="n"/>
      <c r="E1327" s="5" t="n"/>
      <c r="F1327" s="5" t="n"/>
    </row>
    <row r="1328" customFormat="1" s="77">
      <c r="A1328" s="2" t="n"/>
      <c r="B1328" s="64" t="n"/>
      <c r="C1328" s="2" t="n"/>
      <c r="D1328" s="2" t="n"/>
      <c r="E1328" s="5" t="n"/>
      <c r="F1328" s="5" t="n"/>
    </row>
    <row r="1329" customFormat="1" s="77">
      <c r="A1329" s="2" t="n"/>
      <c r="B1329" s="64" t="n"/>
      <c r="C1329" s="2" t="n"/>
      <c r="D1329" s="2" t="n"/>
      <c r="E1329" s="5" t="n"/>
      <c r="F1329" s="5" t="n"/>
    </row>
    <row r="1330" customFormat="1" s="77">
      <c r="A1330" s="2" t="n"/>
      <c r="B1330" s="64" t="n"/>
      <c r="C1330" s="2" t="n"/>
      <c r="D1330" s="2" t="n"/>
      <c r="E1330" s="5" t="n"/>
      <c r="F1330" s="5" t="n"/>
    </row>
    <row r="1331" customFormat="1" s="77">
      <c r="A1331" s="2" t="n"/>
      <c r="B1331" s="64" t="n"/>
      <c r="C1331" s="2" t="n"/>
      <c r="D1331" s="2" t="n"/>
      <c r="E1331" s="5" t="n"/>
      <c r="F1331" s="5" t="n"/>
    </row>
    <row r="1332" customFormat="1" s="77">
      <c r="A1332" s="2" t="n"/>
      <c r="B1332" s="64" t="n"/>
      <c r="C1332" s="2" t="n"/>
      <c r="D1332" s="2" t="n"/>
      <c r="E1332" s="5" t="n"/>
      <c r="F1332" s="5" t="n"/>
    </row>
    <row r="1333" customFormat="1" s="77">
      <c r="A1333" s="2" t="n"/>
      <c r="B1333" s="64" t="n"/>
      <c r="C1333" s="2" t="n"/>
      <c r="D1333" s="2" t="n"/>
      <c r="E1333" s="5" t="n"/>
      <c r="F1333" s="5" t="n"/>
    </row>
    <row r="1334" customFormat="1" s="77">
      <c r="A1334" s="2" t="n"/>
      <c r="B1334" s="64" t="n"/>
      <c r="C1334" s="2" t="n"/>
      <c r="D1334" s="2" t="n"/>
      <c r="E1334" s="5" t="n"/>
      <c r="F1334" s="5" t="n"/>
    </row>
    <row r="1335" customFormat="1" s="77">
      <c r="A1335" s="2" t="n"/>
      <c r="B1335" s="64" t="n"/>
      <c r="C1335" s="2" t="n"/>
      <c r="D1335" s="2" t="n"/>
      <c r="E1335" s="5" t="n"/>
      <c r="F1335" s="5" t="n"/>
    </row>
    <row r="1336" customFormat="1" s="77">
      <c r="A1336" s="2" t="n"/>
      <c r="B1336" s="64" t="n"/>
      <c r="C1336" s="2" t="n"/>
      <c r="D1336" s="2" t="n"/>
      <c r="E1336" s="5" t="n"/>
      <c r="F1336" s="5" t="n"/>
    </row>
    <row r="1337" customFormat="1" s="77">
      <c r="A1337" s="2" t="n"/>
      <c r="B1337" s="64" t="n"/>
      <c r="C1337" s="2" t="n"/>
      <c r="D1337" s="2" t="n"/>
      <c r="E1337" s="5" t="n"/>
      <c r="F1337" s="5" t="n"/>
    </row>
    <row r="1338" customFormat="1" s="77">
      <c r="A1338" s="2" t="n"/>
      <c r="B1338" s="64" t="n"/>
      <c r="C1338" s="2" t="n"/>
      <c r="D1338" s="2" t="n"/>
      <c r="E1338" s="5" t="n"/>
      <c r="F1338" s="5" t="n"/>
    </row>
    <row r="1339" customFormat="1" s="77">
      <c r="A1339" s="2" t="n"/>
      <c r="B1339" s="64" t="n"/>
      <c r="C1339" s="2" t="n"/>
      <c r="D1339" s="2" t="n"/>
      <c r="E1339" s="5" t="n"/>
      <c r="F1339" s="5" t="n"/>
    </row>
    <row r="1340" customFormat="1" s="77">
      <c r="A1340" s="2" t="n"/>
      <c r="B1340" s="64" t="n"/>
      <c r="C1340" s="2" t="n"/>
      <c r="D1340" s="2" t="n"/>
      <c r="E1340" s="5" t="n"/>
      <c r="F1340" s="5" t="n"/>
    </row>
    <row r="1341" customFormat="1" s="77">
      <c r="A1341" s="2" t="n"/>
      <c r="B1341" s="64" t="n"/>
      <c r="C1341" s="2" t="n"/>
      <c r="D1341" s="2" t="n"/>
      <c r="E1341" s="5" t="n"/>
      <c r="F1341" s="5" t="n"/>
    </row>
    <row r="1342" customFormat="1" s="77">
      <c r="A1342" s="2" t="n"/>
      <c r="B1342" s="64" t="n"/>
      <c r="C1342" s="2" t="n"/>
      <c r="D1342" s="2" t="n"/>
      <c r="E1342" s="5" t="n"/>
      <c r="F1342" s="5" t="n"/>
    </row>
    <row r="1343" customFormat="1" s="77">
      <c r="A1343" s="2" t="n"/>
      <c r="B1343" s="64" t="n"/>
      <c r="C1343" s="2" t="n"/>
      <c r="D1343" s="2" t="n"/>
      <c r="E1343" s="5" t="n"/>
      <c r="F1343" s="5" t="n"/>
    </row>
    <row r="1344" customFormat="1" s="77">
      <c r="A1344" s="2" t="n"/>
      <c r="B1344" s="64" t="n"/>
      <c r="C1344" s="2" t="n"/>
      <c r="D1344" s="2" t="n"/>
      <c r="E1344" s="5" t="n"/>
      <c r="F1344" s="5" t="n"/>
    </row>
    <row r="1345" customFormat="1" s="77">
      <c r="A1345" s="2" t="n"/>
      <c r="B1345" s="64" t="n"/>
      <c r="C1345" s="2" t="n"/>
      <c r="D1345" s="2" t="n"/>
      <c r="E1345" s="5" t="n"/>
      <c r="F1345" s="5" t="n"/>
    </row>
    <row r="1346" customFormat="1" s="77">
      <c r="A1346" s="2" t="n"/>
      <c r="B1346" s="64" t="n"/>
      <c r="C1346" s="2" t="n"/>
      <c r="D1346" s="2" t="n"/>
      <c r="E1346" s="5" t="n"/>
      <c r="F1346" s="5" t="n"/>
    </row>
    <row r="1347" customFormat="1" s="77">
      <c r="A1347" s="2" t="n"/>
      <c r="B1347" s="64" t="n"/>
      <c r="C1347" s="2" t="n"/>
      <c r="D1347" s="2" t="n"/>
      <c r="E1347" s="5" t="n"/>
      <c r="F1347" s="5" t="n"/>
    </row>
    <row r="1348" customFormat="1" s="77">
      <c r="A1348" s="2" t="n"/>
      <c r="B1348" s="64" t="n"/>
      <c r="C1348" s="2" t="n"/>
      <c r="D1348" s="2" t="n"/>
      <c r="E1348" s="5" t="n"/>
      <c r="F1348" s="5" t="n"/>
    </row>
    <row r="1349" customFormat="1" s="77">
      <c r="A1349" s="2" t="n"/>
      <c r="B1349" s="64" t="n"/>
      <c r="C1349" s="2" t="n"/>
      <c r="D1349" s="2" t="n"/>
      <c r="E1349" s="5" t="n"/>
      <c r="F1349" s="5" t="n"/>
    </row>
    <row r="1350" customFormat="1" s="77">
      <c r="A1350" s="2" t="n"/>
      <c r="B1350" s="64" t="n"/>
      <c r="C1350" s="2" t="n"/>
      <c r="D1350" s="2" t="n"/>
      <c r="E1350" s="5" t="n"/>
      <c r="F1350" s="5" t="n"/>
    </row>
    <row r="1351" customFormat="1" s="77">
      <c r="A1351" s="2" t="n"/>
      <c r="B1351" s="64" t="n"/>
      <c r="C1351" s="2" t="n"/>
      <c r="D1351" s="2" t="n"/>
      <c r="E1351" s="5" t="n"/>
      <c r="F1351" s="5" t="n"/>
    </row>
    <row r="1352" customFormat="1" s="77">
      <c r="A1352" s="2" t="n"/>
      <c r="B1352" s="64" t="n"/>
      <c r="C1352" s="2" t="n"/>
      <c r="D1352" s="2" t="n"/>
      <c r="E1352" s="5" t="n"/>
      <c r="F1352" s="5" t="n"/>
    </row>
    <row r="1353" customFormat="1" s="77">
      <c r="A1353" s="2" t="n"/>
      <c r="B1353" s="64" t="n"/>
      <c r="C1353" s="2" t="n"/>
      <c r="D1353" s="2" t="n"/>
      <c r="E1353" s="5" t="n"/>
      <c r="F1353" s="5" t="n"/>
    </row>
    <row r="1354" customFormat="1" s="77">
      <c r="A1354" s="2" t="n"/>
      <c r="B1354" s="64" t="n"/>
      <c r="C1354" s="2" t="n"/>
      <c r="D1354" s="2" t="n"/>
      <c r="E1354" s="5" t="n"/>
      <c r="F1354" s="5" t="n"/>
    </row>
    <row r="1355" customFormat="1" s="77">
      <c r="A1355" s="2" t="n"/>
      <c r="B1355" s="64" t="n"/>
      <c r="C1355" s="2" t="n"/>
      <c r="D1355" s="2" t="n"/>
      <c r="E1355" s="5" t="n"/>
      <c r="F1355" s="5" t="n"/>
    </row>
    <row r="1356" customFormat="1" s="77">
      <c r="A1356" s="2" t="n"/>
      <c r="B1356" s="64" t="n"/>
      <c r="C1356" s="2" t="n"/>
      <c r="D1356" s="2" t="n"/>
      <c r="E1356" s="5" t="n"/>
      <c r="F1356" s="5" t="n"/>
    </row>
    <row r="1357" customFormat="1" s="77">
      <c r="A1357" s="2" t="n"/>
      <c r="B1357" s="64" t="n"/>
      <c r="C1357" s="2" t="n"/>
      <c r="D1357" s="2" t="n"/>
      <c r="E1357" s="5" t="n"/>
      <c r="F1357" s="5" t="n"/>
    </row>
    <row r="1358" customFormat="1" s="77">
      <c r="A1358" s="2" t="n"/>
      <c r="B1358" s="64" t="n"/>
      <c r="C1358" s="2" t="n"/>
      <c r="D1358" s="2" t="n"/>
      <c r="E1358" s="5" t="n"/>
      <c r="F1358" s="5" t="n"/>
    </row>
    <row r="1359" customFormat="1" s="77">
      <c r="A1359" s="2" t="n"/>
      <c r="B1359" s="64" t="n"/>
      <c r="C1359" s="2" t="n"/>
      <c r="D1359" s="2" t="n"/>
      <c r="E1359" s="5" t="n"/>
      <c r="F1359" s="5" t="n"/>
    </row>
    <row r="1360" customFormat="1" s="77">
      <c r="A1360" s="2" t="n"/>
      <c r="B1360" s="64" t="n"/>
      <c r="C1360" s="2" t="n"/>
      <c r="D1360" s="2" t="n"/>
      <c r="E1360" s="5" t="n"/>
      <c r="F1360" s="5" t="n"/>
    </row>
    <row r="1361" customFormat="1" s="77">
      <c r="A1361" s="2" t="n"/>
      <c r="B1361" s="64" t="n"/>
      <c r="C1361" s="2" t="n"/>
      <c r="D1361" s="2" t="n"/>
      <c r="E1361" s="5" t="n"/>
      <c r="F1361" s="5" t="n"/>
    </row>
    <row r="1362" customFormat="1" s="77">
      <c r="A1362" s="2" t="n"/>
      <c r="B1362" s="64" t="n"/>
      <c r="C1362" s="2" t="n"/>
      <c r="D1362" s="2" t="n"/>
      <c r="E1362" s="5" t="n"/>
      <c r="F1362" s="5" t="n"/>
    </row>
    <row r="1363" customFormat="1" s="77">
      <c r="A1363" s="2" t="n"/>
      <c r="B1363" s="64" t="n"/>
      <c r="C1363" s="2" t="n"/>
      <c r="D1363" s="2" t="n"/>
      <c r="E1363" s="5" t="n"/>
      <c r="F1363" s="5" t="n"/>
    </row>
    <row r="1364" customFormat="1" s="77">
      <c r="A1364" s="2" t="n"/>
      <c r="B1364" s="64" t="n"/>
      <c r="C1364" s="2" t="n"/>
      <c r="D1364" s="2" t="n"/>
      <c r="E1364" s="5" t="n"/>
      <c r="F1364" s="5" t="n"/>
    </row>
    <row r="1365" customFormat="1" s="77">
      <c r="A1365" s="2" t="n"/>
      <c r="B1365" s="64" t="n"/>
      <c r="C1365" s="2" t="n"/>
      <c r="D1365" s="2" t="n"/>
      <c r="E1365" s="5" t="n"/>
      <c r="F1365" s="5" t="n"/>
    </row>
    <row r="1366" customFormat="1" s="77">
      <c r="A1366" s="2" t="n"/>
      <c r="B1366" s="64" t="n"/>
      <c r="C1366" s="2" t="n"/>
      <c r="D1366" s="2" t="n"/>
      <c r="E1366" s="5" t="n"/>
      <c r="F1366" s="5" t="n"/>
    </row>
    <row r="1367" customFormat="1" s="77">
      <c r="A1367" s="2" t="n"/>
      <c r="B1367" s="64" t="n"/>
      <c r="C1367" s="2" t="n"/>
      <c r="D1367" s="2" t="n"/>
      <c r="E1367" s="5" t="n"/>
      <c r="F1367" s="5" t="n"/>
    </row>
    <row r="1368" customFormat="1" s="77">
      <c r="A1368" s="2" t="n"/>
      <c r="B1368" s="64" t="n"/>
      <c r="C1368" s="2" t="n"/>
      <c r="D1368" s="2" t="n"/>
      <c r="E1368" s="5" t="n"/>
      <c r="F1368" s="5" t="n"/>
    </row>
    <row r="1369" customFormat="1" s="77">
      <c r="A1369" s="2" t="n"/>
      <c r="B1369" s="64" t="n"/>
      <c r="C1369" s="2" t="n"/>
      <c r="D1369" s="2" t="n"/>
      <c r="E1369" s="5" t="n"/>
      <c r="F1369" s="5" t="n"/>
    </row>
    <row r="1370" customFormat="1" s="77">
      <c r="A1370" s="2" t="n"/>
      <c r="B1370" s="64" t="n"/>
      <c r="C1370" s="2" t="n"/>
      <c r="D1370" s="2" t="n"/>
      <c r="E1370" s="5" t="n"/>
      <c r="F1370" s="5" t="n"/>
    </row>
    <row r="1371" customFormat="1" s="77">
      <c r="A1371" s="2" t="n"/>
      <c r="B1371" s="64" t="n"/>
      <c r="C1371" s="2" t="n"/>
      <c r="D1371" s="2" t="n"/>
      <c r="E1371" s="5" t="n"/>
      <c r="F1371" s="5" t="n"/>
    </row>
    <row r="1372" customFormat="1" s="77">
      <c r="A1372" s="2" t="n"/>
      <c r="B1372" s="64" t="n"/>
      <c r="C1372" s="2" t="n"/>
      <c r="D1372" s="2" t="n"/>
      <c r="E1372" s="5" t="n"/>
      <c r="F1372" s="5" t="n"/>
    </row>
    <row r="1373" customFormat="1" s="77">
      <c r="A1373" s="2" t="n"/>
      <c r="B1373" s="64" t="n"/>
      <c r="C1373" s="2" t="n"/>
      <c r="D1373" s="2" t="n"/>
      <c r="E1373" s="5" t="n"/>
      <c r="F1373" s="5" t="n"/>
    </row>
    <row r="1374" customFormat="1" s="77">
      <c r="A1374" s="2" t="n"/>
      <c r="B1374" s="64" t="n"/>
      <c r="C1374" s="2" t="n"/>
      <c r="D1374" s="2" t="n"/>
      <c r="E1374" s="5" t="n"/>
      <c r="F1374" s="5" t="n"/>
    </row>
    <row r="1375" customFormat="1" s="77">
      <c r="A1375" s="2" t="n"/>
      <c r="B1375" s="64" t="n"/>
      <c r="C1375" s="2" t="n"/>
      <c r="D1375" s="2" t="n"/>
      <c r="E1375" s="5" t="n"/>
      <c r="F1375" s="5" t="n"/>
    </row>
    <row r="1376" customFormat="1" s="77">
      <c r="A1376" s="2" t="n"/>
      <c r="B1376" s="64" t="n"/>
      <c r="C1376" s="2" t="n"/>
      <c r="D1376" s="2" t="n"/>
      <c r="E1376" s="5" t="n"/>
      <c r="F1376" s="5" t="n"/>
    </row>
    <row r="1377" customFormat="1" s="77">
      <c r="A1377" s="2" t="n"/>
      <c r="B1377" s="64" t="n"/>
      <c r="C1377" s="2" t="n"/>
      <c r="D1377" s="2" t="n"/>
      <c r="E1377" s="5" t="n"/>
      <c r="F1377" s="5" t="n"/>
    </row>
    <row r="1378" customFormat="1" s="77">
      <c r="A1378" s="2" t="n"/>
      <c r="B1378" s="64" t="n"/>
      <c r="C1378" s="2" t="n"/>
      <c r="D1378" s="2" t="n"/>
      <c r="E1378" s="5" t="n"/>
      <c r="F1378" s="5" t="n"/>
    </row>
    <row r="1379" customFormat="1" s="77">
      <c r="A1379" s="2" t="n"/>
      <c r="B1379" s="64" t="n"/>
      <c r="C1379" s="2" t="n"/>
      <c r="D1379" s="2" t="n"/>
      <c r="E1379" s="5" t="n"/>
      <c r="F1379" s="5" t="n"/>
    </row>
    <row r="1380" customFormat="1" s="77">
      <c r="A1380" s="2" t="n"/>
      <c r="B1380" s="64" t="n"/>
      <c r="C1380" s="2" t="n"/>
      <c r="D1380" s="2" t="n"/>
      <c r="E1380" s="5" t="n"/>
      <c r="F1380" s="5" t="n"/>
    </row>
    <row r="1381" customFormat="1" s="77">
      <c r="A1381" s="2" t="n"/>
      <c r="B1381" s="64" t="n"/>
      <c r="C1381" s="2" t="n"/>
      <c r="D1381" s="2" t="n"/>
      <c r="E1381" s="5" t="n"/>
      <c r="F1381" s="5" t="n"/>
    </row>
    <row r="1382" customFormat="1" s="77">
      <c r="A1382" s="2" t="n"/>
      <c r="B1382" s="64" t="n"/>
      <c r="C1382" s="2" t="n"/>
      <c r="D1382" s="2" t="n"/>
      <c r="E1382" s="5" t="n"/>
      <c r="F1382" s="5" t="n"/>
    </row>
    <row r="1383" customFormat="1" s="77">
      <c r="A1383" s="2" t="n"/>
      <c r="B1383" s="64" t="n"/>
      <c r="C1383" s="2" t="n"/>
      <c r="D1383" s="2" t="n"/>
      <c r="E1383" s="5" t="n"/>
      <c r="F1383" s="5" t="n"/>
    </row>
    <row r="1384" customFormat="1" s="77">
      <c r="A1384" s="2" t="n"/>
      <c r="B1384" s="64" t="n"/>
      <c r="C1384" s="2" t="n"/>
      <c r="D1384" s="2" t="n"/>
      <c r="E1384" s="5" t="n"/>
      <c r="F1384" s="5" t="n"/>
    </row>
    <row r="1385" customFormat="1" s="77">
      <c r="A1385" s="2" t="n"/>
      <c r="B1385" s="64" t="n"/>
      <c r="C1385" s="2" t="n"/>
      <c r="D1385" s="2" t="n"/>
      <c r="E1385" s="5" t="n"/>
      <c r="F1385" s="5" t="n"/>
    </row>
    <row r="1386" customFormat="1" s="77">
      <c r="A1386" s="2" t="n"/>
      <c r="B1386" s="64" t="n"/>
      <c r="C1386" s="2" t="n"/>
      <c r="D1386" s="2" t="n"/>
      <c r="E1386" s="5" t="n"/>
      <c r="F1386" s="5" t="n"/>
    </row>
    <row r="1387" customFormat="1" s="77">
      <c r="A1387" s="2" t="n"/>
      <c r="B1387" s="64" t="n"/>
      <c r="C1387" s="2" t="n"/>
      <c r="D1387" s="2" t="n"/>
      <c r="E1387" s="5" t="n"/>
      <c r="F1387" s="5" t="n"/>
    </row>
    <row r="1388" customFormat="1" s="77">
      <c r="A1388" s="2" t="n"/>
      <c r="B1388" s="64" t="n"/>
      <c r="C1388" s="2" t="n"/>
      <c r="D1388" s="2" t="n"/>
      <c r="E1388" s="5" t="n"/>
      <c r="F1388" s="5" t="n"/>
    </row>
    <row r="1389" customFormat="1" s="77">
      <c r="A1389" s="2" t="n"/>
      <c r="B1389" s="64" t="n"/>
      <c r="C1389" s="2" t="n"/>
      <c r="D1389" s="2" t="n"/>
      <c r="E1389" s="5" t="n"/>
      <c r="F1389" s="5" t="n"/>
    </row>
    <row r="1390" customFormat="1" s="77">
      <c r="A1390" s="2" t="n"/>
      <c r="B1390" s="64" t="n"/>
      <c r="C1390" s="2" t="n"/>
      <c r="D1390" s="2" t="n"/>
      <c r="E1390" s="5" t="n"/>
      <c r="F1390" s="5" t="n"/>
    </row>
    <row r="1391" customFormat="1" s="77">
      <c r="A1391" s="2" t="n"/>
      <c r="B1391" s="64" t="n"/>
      <c r="C1391" s="2" t="n"/>
      <c r="D1391" s="2" t="n"/>
      <c r="E1391" s="5" t="n"/>
      <c r="F1391" s="5" t="n"/>
    </row>
    <row r="1392" customFormat="1" s="77">
      <c r="A1392" s="2" t="n"/>
      <c r="B1392" s="64" t="n"/>
      <c r="C1392" s="2" t="n"/>
      <c r="D1392" s="2" t="n"/>
      <c r="E1392" s="5" t="n"/>
      <c r="F1392" s="5" t="n"/>
    </row>
    <row r="1393" customFormat="1" s="77">
      <c r="A1393" s="2" t="n"/>
      <c r="B1393" s="64" t="n"/>
      <c r="C1393" s="2" t="n"/>
      <c r="D1393" s="2" t="n"/>
      <c r="E1393" s="5" t="n"/>
      <c r="F1393" s="5" t="n"/>
    </row>
    <row r="1394" customFormat="1" s="77">
      <c r="A1394" s="2" t="n"/>
      <c r="B1394" s="64" t="n"/>
      <c r="C1394" s="2" t="n"/>
      <c r="D1394" s="2" t="n"/>
      <c r="E1394" s="5" t="n"/>
      <c r="F1394" s="5" t="n"/>
    </row>
    <row r="1395" customFormat="1" s="77">
      <c r="A1395" s="2" t="n"/>
      <c r="B1395" s="64" t="n"/>
      <c r="C1395" s="2" t="n"/>
      <c r="D1395" s="2" t="n"/>
      <c r="E1395" s="5" t="n"/>
      <c r="F1395" s="5" t="n"/>
    </row>
    <row r="1396" customFormat="1" s="77">
      <c r="A1396" s="2" t="n"/>
      <c r="B1396" s="64" t="n"/>
      <c r="C1396" s="2" t="n"/>
      <c r="D1396" s="2" t="n"/>
      <c r="E1396" s="5" t="n"/>
      <c r="F1396" s="5" t="n"/>
    </row>
    <row r="1397" customFormat="1" s="77">
      <c r="A1397" s="2" t="n"/>
      <c r="B1397" s="64" t="n"/>
      <c r="C1397" s="2" t="n"/>
      <c r="D1397" s="2" t="n"/>
      <c r="E1397" s="5" t="n"/>
      <c r="F1397" s="5" t="n"/>
    </row>
    <row r="1398" customFormat="1" s="77">
      <c r="A1398" s="2" t="n"/>
      <c r="B1398" s="64" t="n"/>
      <c r="C1398" s="2" t="n"/>
      <c r="D1398" s="2" t="n"/>
      <c r="E1398" s="5" t="n"/>
      <c r="F1398" s="5" t="n"/>
    </row>
    <row r="1399" customFormat="1" s="77">
      <c r="A1399" s="2" t="n"/>
      <c r="B1399" s="64" t="n"/>
      <c r="C1399" s="2" t="n"/>
      <c r="D1399" s="2" t="n"/>
      <c r="E1399" s="5" t="n"/>
      <c r="F1399" s="5" t="n"/>
    </row>
    <row r="1400" customFormat="1" s="77">
      <c r="A1400" s="2" t="n"/>
      <c r="B1400" s="64" t="n"/>
      <c r="C1400" s="2" t="n"/>
      <c r="D1400" s="2" t="n"/>
      <c r="E1400" s="5" t="n"/>
      <c r="F1400" s="5" t="n"/>
    </row>
    <row r="1401" customFormat="1" s="77">
      <c r="A1401" s="2" t="n"/>
      <c r="B1401" s="64" t="n"/>
      <c r="C1401" s="2" t="n"/>
      <c r="D1401" s="2" t="n"/>
      <c r="E1401" s="5" t="n"/>
      <c r="F1401" s="5" t="n"/>
    </row>
    <row r="1402" customFormat="1" s="77">
      <c r="A1402" s="2" t="n"/>
      <c r="B1402" s="64" t="n"/>
      <c r="C1402" s="2" t="n"/>
      <c r="D1402" s="2" t="n"/>
      <c r="E1402" s="5" t="n"/>
      <c r="F1402" s="5" t="n"/>
    </row>
    <row r="1403" customFormat="1" s="77">
      <c r="A1403" s="2" t="n"/>
      <c r="B1403" s="64" t="n"/>
      <c r="C1403" s="2" t="n"/>
      <c r="D1403" s="2" t="n"/>
      <c r="E1403" s="5" t="n"/>
      <c r="F1403" s="5" t="n"/>
    </row>
    <row r="1404" customFormat="1" s="77">
      <c r="A1404" s="2" t="n"/>
      <c r="B1404" s="64" t="n"/>
      <c r="C1404" s="2" t="n"/>
      <c r="D1404" s="2" t="n"/>
      <c r="E1404" s="5" t="n"/>
      <c r="F1404" s="5" t="n"/>
    </row>
    <row r="1405" customFormat="1" s="77">
      <c r="A1405" s="2" t="n"/>
      <c r="B1405" s="64" t="n"/>
      <c r="C1405" s="2" t="n"/>
      <c r="D1405" s="2" t="n"/>
      <c r="E1405" s="5" t="n"/>
      <c r="F1405" s="5" t="n"/>
    </row>
    <row r="1406" customFormat="1" s="77">
      <c r="A1406" s="2" t="n"/>
      <c r="B1406" s="64" t="n"/>
      <c r="C1406" s="2" t="n"/>
      <c r="D1406" s="2" t="n"/>
      <c r="E1406" s="5" t="n"/>
      <c r="F1406" s="5" t="n"/>
    </row>
    <row r="1407" customFormat="1" s="77">
      <c r="A1407" s="2" t="n"/>
      <c r="B1407" s="64" t="n"/>
      <c r="C1407" s="2" t="n"/>
      <c r="D1407" s="2" t="n"/>
      <c r="E1407" s="5" t="n"/>
      <c r="F1407" s="5" t="n"/>
    </row>
    <row r="1408" customFormat="1" s="77">
      <c r="A1408" s="2" t="n"/>
      <c r="B1408" s="64" t="n"/>
      <c r="C1408" s="2" t="n"/>
      <c r="D1408" s="2" t="n"/>
      <c r="E1408" s="5" t="n"/>
      <c r="F1408" s="5" t="n"/>
    </row>
    <row r="1409" customFormat="1" s="77">
      <c r="A1409" s="2" t="n"/>
      <c r="B1409" s="64" t="n"/>
      <c r="C1409" s="2" t="n"/>
      <c r="D1409" s="2" t="n"/>
      <c r="E1409" s="5" t="n"/>
      <c r="F1409" s="5" t="n"/>
    </row>
    <row r="1410" customFormat="1" s="77">
      <c r="A1410" s="2" t="n"/>
      <c r="B1410" s="64" t="n"/>
      <c r="C1410" s="2" t="n"/>
      <c r="D1410" s="2" t="n"/>
      <c r="E1410" s="5" t="n"/>
      <c r="F1410" s="5" t="n"/>
    </row>
    <row r="1411" customFormat="1" s="77">
      <c r="A1411" s="2" t="n"/>
      <c r="B1411" s="64" t="n"/>
      <c r="C1411" s="2" t="n"/>
      <c r="D1411" s="2" t="n"/>
      <c r="E1411" s="5" t="n"/>
      <c r="F1411" s="5" t="n"/>
    </row>
    <row r="1412" customFormat="1" s="77">
      <c r="A1412" s="2" t="n"/>
      <c r="B1412" s="64" t="n"/>
      <c r="C1412" s="2" t="n"/>
      <c r="D1412" s="2" t="n"/>
      <c r="E1412" s="5" t="n"/>
      <c r="F1412" s="5" t="n"/>
    </row>
    <row r="1413" customFormat="1" s="77">
      <c r="A1413" s="2" t="n"/>
      <c r="B1413" s="64" t="n"/>
      <c r="C1413" s="2" t="n"/>
      <c r="D1413" s="2" t="n"/>
      <c r="E1413" s="5" t="n"/>
      <c r="F1413" s="5" t="n"/>
    </row>
    <row r="1414" customFormat="1" s="77">
      <c r="A1414" s="2" t="n"/>
      <c r="B1414" s="64" t="n"/>
      <c r="C1414" s="2" t="n"/>
      <c r="D1414" s="2" t="n"/>
      <c r="E1414" s="5" t="n"/>
      <c r="F1414" s="5" t="n"/>
    </row>
    <row r="1415" customFormat="1" s="77">
      <c r="A1415" s="2" t="n"/>
      <c r="B1415" s="64" t="n"/>
      <c r="C1415" s="2" t="n"/>
      <c r="D1415" s="2" t="n"/>
      <c r="E1415" s="5" t="n"/>
      <c r="F1415" s="5" t="n"/>
    </row>
    <row r="1416" customFormat="1" s="77">
      <c r="A1416" s="2" t="n"/>
      <c r="B1416" s="64" t="n"/>
      <c r="C1416" s="2" t="n"/>
      <c r="D1416" s="2" t="n"/>
      <c r="E1416" s="5" t="n"/>
      <c r="F1416" s="5" t="n"/>
    </row>
    <row r="1417" customFormat="1" s="77">
      <c r="A1417" s="2" t="n"/>
      <c r="B1417" s="64" t="n"/>
      <c r="C1417" s="2" t="n"/>
      <c r="D1417" s="2" t="n"/>
      <c r="E1417" s="5" t="n"/>
      <c r="F1417" s="5" t="n"/>
    </row>
    <row r="1418" customFormat="1" s="77">
      <c r="A1418" s="2" t="n"/>
      <c r="B1418" s="64" t="n"/>
      <c r="C1418" s="2" t="n"/>
      <c r="D1418" s="2" t="n"/>
      <c r="E1418" s="5" t="n"/>
      <c r="F1418" s="5" t="n"/>
    </row>
    <row r="1419" customFormat="1" s="77">
      <c r="A1419" s="2" t="n"/>
      <c r="B1419" s="64" t="n"/>
      <c r="C1419" s="2" t="n"/>
      <c r="D1419" s="2" t="n"/>
      <c r="E1419" s="5" t="n"/>
      <c r="F1419" s="5" t="n"/>
    </row>
    <row r="1420" customFormat="1" s="77">
      <c r="A1420" s="2" t="n"/>
      <c r="B1420" s="64" t="n"/>
      <c r="C1420" s="2" t="n"/>
      <c r="D1420" s="2" t="n"/>
      <c r="E1420" s="5" t="n"/>
      <c r="F1420" s="5" t="n"/>
    </row>
    <row r="1421" customFormat="1" s="77">
      <c r="A1421" s="2" t="n"/>
      <c r="B1421" s="64" t="n"/>
      <c r="C1421" s="2" t="n"/>
      <c r="D1421" s="2" t="n"/>
      <c r="E1421" s="5" t="n"/>
      <c r="F1421" s="5" t="n"/>
    </row>
    <row r="1422" customFormat="1" s="77">
      <c r="A1422" s="2" t="n"/>
      <c r="B1422" s="64" t="n"/>
      <c r="C1422" s="2" t="n"/>
      <c r="D1422" s="2" t="n"/>
      <c r="E1422" s="5" t="n"/>
      <c r="F1422" s="5" t="n"/>
    </row>
    <row r="1423" customFormat="1" s="77">
      <c r="A1423" s="2" t="n"/>
      <c r="B1423" s="64" t="n"/>
      <c r="C1423" s="2" t="n"/>
      <c r="D1423" s="2" t="n"/>
      <c r="E1423" s="5" t="n"/>
      <c r="F1423" s="5" t="n"/>
    </row>
    <row r="1424" customFormat="1" s="77">
      <c r="A1424" s="2" t="n"/>
      <c r="B1424" s="64" t="n"/>
      <c r="C1424" s="2" t="n"/>
      <c r="D1424" s="2" t="n"/>
      <c r="E1424" s="5" t="n"/>
      <c r="F1424" s="5" t="n"/>
    </row>
    <row r="1425" customFormat="1" s="77">
      <c r="A1425" s="2" t="n"/>
      <c r="B1425" s="64" t="n"/>
      <c r="C1425" s="2" t="n"/>
      <c r="D1425" s="2" t="n"/>
      <c r="E1425" s="5" t="n"/>
      <c r="F1425" s="5" t="n"/>
    </row>
    <row r="1426" customFormat="1" s="77">
      <c r="A1426" s="2" t="n"/>
      <c r="B1426" s="64" t="n"/>
      <c r="C1426" s="2" t="n"/>
      <c r="D1426" s="2" t="n"/>
      <c r="E1426" s="5" t="n"/>
      <c r="F1426" s="5" t="n"/>
    </row>
    <row r="1427" customFormat="1" s="77">
      <c r="A1427" s="2" t="n"/>
      <c r="B1427" s="64" t="n"/>
      <c r="C1427" s="2" t="n"/>
      <c r="D1427" s="2" t="n"/>
      <c r="E1427" s="5" t="n"/>
      <c r="F1427" s="5" t="n"/>
    </row>
    <row r="1428" customFormat="1" s="77">
      <c r="A1428" s="2" t="n"/>
      <c r="B1428" s="64" t="n"/>
      <c r="C1428" s="2" t="n"/>
      <c r="D1428" s="2" t="n"/>
      <c r="E1428" s="5" t="n"/>
      <c r="F1428" s="5" t="n"/>
    </row>
    <row r="1429" customFormat="1" s="77">
      <c r="A1429" s="2" t="n"/>
      <c r="B1429" s="64" t="n"/>
      <c r="C1429" s="2" t="n"/>
      <c r="D1429" s="2" t="n"/>
      <c r="E1429" s="5" t="n"/>
      <c r="F1429" s="5" t="n"/>
    </row>
    <row r="1430" customFormat="1" s="77">
      <c r="A1430" s="2" t="n"/>
      <c r="B1430" s="64" t="n"/>
      <c r="C1430" s="2" t="n"/>
      <c r="D1430" s="2" t="n"/>
      <c r="E1430" s="5" t="n"/>
      <c r="F1430" s="5" t="n"/>
    </row>
    <row r="1431" customFormat="1" s="77">
      <c r="A1431" s="2" t="n"/>
      <c r="B1431" s="64" t="n"/>
      <c r="C1431" s="2" t="n"/>
      <c r="D1431" s="2" t="n"/>
      <c r="E1431" s="5" t="n"/>
      <c r="F1431" s="5" t="n"/>
    </row>
    <row r="1432" customFormat="1" s="77">
      <c r="A1432" s="2" t="n"/>
      <c r="B1432" s="64" t="n"/>
      <c r="C1432" s="2" t="n"/>
      <c r="D1432" s="2" t="n"/>
      <c r="E1432" s="5" t="n"/>
      <c r="F1432" s="5" t="n"/>
    </row>
    <row r="1433" customFormat="1" s="77">
      <c r="A1433" s="2" t="n"/>
      <c r="B1433" s="64" t="n"/>
      <c r="C1433" s="2" t="n"/>
      <c r="D1433" s="2" t="n"/>
      <c r="E1433" s="5" t="n"/>
      <c r="F1433" s="5" t="n"/>
    </row>
    <row r="1434" customFormat="1" s="77">
      <c r="A1434" s="2" t="n"/>
      <c r="B1434" s="64" t="n"/>
      <c r="C1434" s="2" t="n"/>
      <c r="D1434" s="2" t="n"/>
      <c r="E1434" s="5" t="n"/>
      <c r="F1434" s="5" t="n"/>
    </row>
    <row r="1435" customFormat="1" s="77">
      <c r="A1435" s="2" t="n"/>
      <c r="B1435" s="64" t="n"/>
      <c r="C1435" s="2" t="n"/>
      <c r="D1435" s="2" t="n"/>
      <c r="E1435" s="5" t="n"/>
      <c r="F1435" s="5" t="n"/>
    </row>
    <row r="1436" customFormat="1" s="77">
      <c r="A1436" s="2" t="n"/>
      <c r="B1436" s="64" t="n"/>
      <c r="C1436" s="2" t="n"/>
      <c r="D1436" s="2" t="n"/>
      <c r="E1436" s="5" t="n"/>
      <c r="F1436" s="5" t="n"/>
    </row>
    <row r="1437" customFormat="1" s="77">
      <c r="A1437" s="2" t="n"/>
      <c r="B1437" s="64" t="n"/>
      <c r="C1437" s="2" t="n"/>
      <c r="D1437" s="2" t="n"/>
      <c r="E1437" s="5" t="n"/>
      <c r="F1437" s="5" t="n"/>
    </row>
    <row r="1438" customFormat="1" s="77">
      <c r="A1438" s="2" t="n"/>
      <c r="B1438" s="64" t="n"/>
      <c r="C1438" s="2" t="n"/>
      <c r="D1438" s="2" t="n"/>
      <c r="E1438" s="5" t="n"/>
      <c r="F1438" s="5" t="n"/>
    </row>
    <row r="1439" customFormat="1" s="77">
      <c r="A1439" s="2" t="n"/>
      <c r="B1439" s="64" t="n"/>
      <c r="C1439" s="2" t="n"/>
      <c r="D1439" s="2" t="n"/>
      <c r="E1439" s="5" t="n"/>
      <c r="F1439" s="5" t="n"/>
    </row>
    <row r="1440" customFormat="1" s="77">
      <c r="A1440" s="2" t="n"/>
      <c r="B1440" s="64" t="n"/>
      <c r="C1440" s="2" t="n"/>
      <c r="D1440" s="2" t="n"/>
      <c r="E1440" s="5" t="n"/>
      <c r="F1440" s="5" t="n"/>
    </row>
    <row r="1441" customFormat="1" s="77">
      <c r="A1441" s="2" t="n"/>
      <c r="B1441" s="64" t="n"/>
      <c r="C1441" s="2" t="n"/>
      <c r="D1441" s="2" t="n"/>
      <c r="E1441" s="5" t="n"/>
      <c r="F1441" s="5" t="n"/>
    </row>
    <row r="1442" customFormat="1" s="77">
      <c r="A1442" s="2" t="n"/>
      <c r="B1442" s="64" t="n"/>
      <c r="C1442" s="2" t="n"/>
      <c r="D1442" s="2" t="n"/>
      <c r="E1442" s="5" t="n"/>
      <c r="F1442" s="5" t="n"/>
    </row>
    <row r="1443" customFormat="1" s="77">
      <c r="A1443" s="2" t="n"/>
      <c r="B1443" s="64" t="n"/>
      <c r="C1443" s="2" t="n"/>
      <c r="D1443" s="2" t="n"/>
      <c r="E1443" s="5" t="n"/>
      <c r="F1443" s="5" t="n"/>
    </row>
    <row r="1444" customFormat="1" s="77">
      <c r="A1444" s="2" t="n"/>
      <c r="B1444" s="64" t="n"/>
      <c r="C1444" s="2" t="n"/>
      <c r="D1444" s="2" t="n"/>
      <c r="E1444" s="5" t="n"/>
      <c r="F1444" s="5" t="n"/>
    </row>
    <row r="1445" customFormat="1" s="77">
      <c r="A1445" s="2" t="n"/>
      <c r="B1445" s="64" t="n"/>
      <c r="C1445" s="2" t="n"/>
      <c r="D1445" s="2" t="n"/>
      <c r="E1445" s="5" t="n"/>
      <c r="F1445" s="5" t="n"/>
    </row>
    <row r="1446" customFormat="1" s="77">
      <c r="A1446" s="2" t="n"/>
      <c r="B1446" s="64" t="n"/>
      <c r="C1446" s="2" t="n"/>
      <c r="D1446" s="2" t="n"/>
      <c r="E1446" s="5" t="n"/>
      <c r="F1446" s="5" t="n"/>
    </row>
    <row r="1447" customFormat="1" s="77">
      <c r="A1447" s="2" t="n"/>
      <c r="B1447" s="64" t="n"/>
      <c r="C1447" s="2" t="n"/>
      <c r="D1447" s="2" t="n"/>
      <c r="E1447" s="5" t="n"/>
      <c r="F1447" s="5" t="n"/>
    </row>
    <row r="1448" customFormat="1" s="77">
      <c r="A1448" s="2" t="n"/>
      <c r="B1448" s="64" t="n"/>
      <c r="C1448" s="2" t="n"/>
      <c r="D1448" s="2" t="n"/>
      <c r="E1448" s="5" t="n"/>
      <c r="F1448" s="5" t="n"/>
    </row>
    <row r="1449" customFormat="1" s="77">
      <c r="A1449" s="2" t="n"/>
      <c r="B1449" s="64" t="n"/>
      <c r="C1449" s="2" t="n"/>
      <c r="D1449" s="2" t="n"/>
      <c r="E1449" s="5" t="n"/>
      <c r="F1449" s="5" t="n"/>
    </row>
    <row r="1450" customFormat="1" s="77">
      <c r="A1450" s="2" t="n"/>
      <c r="B1450" s="64" t="n"/>
      <c r="C1450" s="2" t="n"/>
      <c r="D1450" s="2" t="n"/>
      <c r="E1450" s="5" t="n"/>
      <c r="F1450" s="5" t="n"/>
    </row>
    <row r="1451" customFormat="1" s="77">
      <c r="A1451" s="2" t="n"/>
      <c r="B1451" s="64" t="n"/>
      <c r="C1451" s="2" t="n"/>
      <c r="D1451" s="2" t="n"/>
      <c r="E1451" s="5" t="n"/>
      <c r="F1451" s="5" t="n"/>
    </row>
    <row r="1452" customFormat="1" s="77">
      <c r="A1452" s="2" t="n"/>
      <c r="B1452" s="64" t="n"/>
      <c r="C1452" s="2" t="n"/>
      <c r="D1452" s="2" t="n"/>
      <c r="E1452" s="5" t="n"/>
      <c r="F1452" s="5" t="n"/>
    </row>
    <row r="1453" customFormat="1" s="77">
      <c r="A1453" s="2" t="n"/>
      <c r="B1453" s="64" t="n"/>
      <c r="C1453" s="2" t="n"/>
      <c r="D1453" s="2" t="n"/>
      <c r="E1453" s="5" t="n"/>
      <c r="F1453" s="5" t="n"/>
    </row>
    <row r="1454" customFormat="1" s="77">
      <c r="A1454" s="2" t="n"/>
      <c r="B1454" s="64" t="n"/>
      <c r="C1454" s="2" t="n"/>
      <c r="D1454" s="2" t="n"/>
      <c r="E1454" s="5" t="n"/>
      <c r="F1454" s="5" t="n"/>
    </row>
    <row r="1455" customFormat="1" s="77">
      <c r="A1455" s="2" t="n"/>
      <c r="B1455" s="64" t="n"/>
      <c r="C1455" s="2" t="n"/>
      <c r="D1455" s="2" t="n"/>
      <c r="E1455" s="5" t="n"/>
      <c r="F1455" s="5" t="n"/>
    </row>
    <row r="1456" customFormat="1" s="77">
      <c r="A1456" s="2" t="n"/>
      <c r="B1456" s="64" t="n"/>
      <c r="C1456" s="2" t="n"/>
      <c r="D1456" s="2" t="n"/>
      <c r="E1456" s="5" t="n"/>
      <c r="F1456" s="5" t="n"/>
    </row>
    <row r="1457" customFormat="1" s="77">
      <c r="A1457" s="2" t="n"/>
      <c r="B1457" s="64" t="n"/>
      <c r="C1457" s="2" t="n"/>
      <c r="D1457" s="2" t="n"/>
      <c r="E1457" s="5" t="n"/>
      <c r="F1457" s="5" t="n"/>
    </row>
    <row r="1458" customFormat="1" s="77">
      <c r="A1458" s="2" t="n"/>
      <c r="B1458" s="64" t="n"/>
      <c r="C1458" s="2" t="n"/>
      <c r="D1458" s="2" t="n"/>
      <c r="E1458" s="5" t="n"/>
      <c r="F1458" s="5" t="n"/>
    </row>
    <row r="1459" customFormat="1" s="77">
      <c r="A1459" s="2" t="n"/>
      <c r="B1459" s="64" t="n"/>
      <c r="C1459" s="2" t="n"/>
      <c r="D1459" s="2" t="n"/>
      <c r="E1459" s="5" t="n"/>
      <c r="F1459" s="5" t="n"/>
    </row>
    <row r="1460" customFormat="1" s="77">
      <c r="A1460" s="2" t="n"/>
      <c r="B1460" s="64" t="n"/>
      <c r="C1460" s="2" t="n"/>
      <c r="D1460" s="2" t="n"/>
      <c r="E1460" s="5" t="n"/>
      <c r="F1460" s="5" t="n"/>
    </row>
    <row r="1461" customFormat="1" s="77">
      <c r="A1461" s="2" t="n"/>
      <c r="B1461" s="64" t="n"/>
      <c r="C1461" s="2" t="n"/>
      <c r="D1461" s="2" t="n"/>
      <c r="E1461" s="5" t="n"/>
      <c r="F1461" s="5" t="n"/>
    </row>
    <row r="1462" customFormat="1" s="77">
      <c r="A1462" s="2" t="n"/>
      <c r="B1462" s="64" t="n"/>
      <c r="C1462" s="2" t="n"/>
      <c r="D1462" s="2" t="n"/>
      <c r="E1462" s="5" t="n"/>
      <c r="F1462" s="5" t="n"/>
    </row>
    <row r="1463" customFormat="1" s="77">
      <c r="A1463" s="2" t="n"/>
      <c r="B1463" s="64" t="n"/>
      <c r="C1463" s="2" t="n"/>
      <c r="D1463" s="2" t="n"/>
      <c r="E1463" s="5" t="n"/>
      <c r="F1463" s="5" t="n"/>
    </row>
    <row r="1464" customFormat="1" s="77">
      <c r="A1464" s="2" t="n"/>
      <c r="B1464" s="64" t="n"/>
      <c r="C1464" s="2" t="n"/>
      <c r="D1464" s="2" t="n"/>
      <c r="E1464" s="5" t="n"/>
      <c r="F1464" s="5" t="n"/>
    </row>
    <row r="1465" customFormat="1" s="77">
      <c r="A1465" s="2" t="n"/>
      <c r="B1465" s="64" t="n"/>
      <c r="C1465" s="2" t="n"/>
      <c r="D1465" s="2" t="n"/>
      <c r="E1465" s="5" t="n"/>
      <c r="F1465" s="5" t="n"/>
    </row>
    <row r="1466" customFormat="1" s="77">
      <c r="A1466" s="2" t="n"/>
      <c r="B1466" s="64" t="n"/>
      <c r="C1466" s="2" t="n"/>
      <c r="D1466" s="2" t="n"/>
      <c r="E1466" s="5" t="n"/>
      <c r="F1466" s="5" t="n"/>
    </row>
    <row r="1467" customFormat="1" s="77">
      <c r="A1467" s="2" t="n"/>
      <c r="B1467" s="64" t="n"/>
      <c r="C1467" s="2" t="n"/>
      <c r="D1467" s="2" t="n"/>
      <c r="E1467" s="5" t="n"/>
      <c r="F1467" s="5" t="n"/>
    </row>
    <row r="1468" customFormat="1" s="77">
      <c r="A1468" s="2" t="n"/>
      <c r="B1468" s="64" t="n"/>
      <c r="C1468" s="2" t="n"/>
      <c r="D1468" s="2" t="n"/>
      <c r="E1468" s="5" t="n"/>
      <c r="F1468" s="5" t="n"/>
    </row>
    <row r="1469" customFormat="1" s="77">
      <c r="A1469" s="2" t="n"/>
      <c r="B1469" s="64" t="n"/>
      <c r="C1469" s="2" t="n"/>
      <c r="D1469" s="2" t="n"/>
      <c r="E1469" s="5" t="n"/>
      <c r="F1469" s="5" t="n"/>
    </row>
    <row r="1470" customFormat="1" s="77">
      <c r="A1470" s="2" t="n"/>
      <c r="B1470" s="64" t="n"/>
      <c r="C1470" s="2" t="n"/>
      <c r="D1470" s="2" t="n"/>
      <c r="E1470" s="5" t="n"/>
      <c r="F1470" s="5" t="n"/>
    </row>
    <row r="1471" customFormat="1" s="77">
      <c r="A1471" s="2" t="n"/>
      <c r="B1471" s="64" t="n"/>
      <c r="C1471" s="2" t="n"/>
      <c r="D1471" s="2" t="n"/>
      <c r="E1471" s="5" t="n"/>
      <c r="F1471" s="5" t="n"/>
    </row>
    <row r="1472" customFormat="1" s="77">
      <c r="A1472" s="2" t="n"/>
      <c r="B1472" s="64" t="n"/>
      <c r="C1472" s="2" t="n"/>
      <c r="D1472" s="2" t="n"/>
      <c r="E1472" s="5" t="n"/>
      <c r="F1472" s="5" t="n"/>
    </row>
    <row r="1473" customFormat="1" s="77">
      <c r="A1473" s="2" t="n"/>
      <c r="B1473" s="64" t="n"/>
      <c r="C1473" s="2" t="n"/>
      <c r="D1473" s="2" t="n"/>
      <c r="E1473" s="5" t="n"/>
      <c r="F1473" s="5" t="n"/>
    </row>
    <row r="1474" customFormat="1" s="77">
      <c r="A1474" s="2" t="n"/>
      <c r="B1474" s="64" t="n"/>
      <c r="C1474" s="2" t="n"/>
      <c r="D1474" s="2" t="n"/>
      <c r="E1474" s="5" t="n"/>
      <c r="F1474" s="5" t="n"/>
    </row>
    <row r="1475" customFormat="1" s="77">
      <c r="A1475" s="2" t="n"/>
      <c r="B1475" s="64" t="n"/>
      <c r="C1475" s="2" t="n"/>
      <c r="D1475" s="2" t="n"/>
      <c r="E1475" s="5" t="n"/>
      <c r="F1475" s="5" t="n"/>
    </row>
    <row r="1476" customFormat="1" s="77">
      <c r="A1476" s="2" t="n"/>
      <c r="B1476" s="64" t="n"/>
      <c r="C1476" s="2" t="n"/>
      <c r="D1476" s="2" t="n"/>
      <c r="E1476" s="5" t="n"/>
      <c r="F1476" s="5" t="n"/>
    </row>
    <row r="1477" customFormat="1" s="77">
      <c r="A1477" s="2" t="n"/>
      <c r="B1477" s="64" t="n"/>
      <c r="C1477" s="2" t="n"/>
      <c r="D1477" s="2" t="n"/>
      <c r="E1477" s="5" t="n"/>
      <c r="F1477" s="5" t="n"/>
    </row>
    <row r="1478" customFormat="1" s="77">
      <c r="A1478" s="2" t="n"/>
      <c r="B1478" s="64" t="n"/>
      <c r="C1478" s="2" t="n"/>
      <c r="D1478" s="2" t="n"/>
      <c r="E1478" s="5" t="n"/>
      <c r="F1478" s="5" t="n"/>
    </row>
    <row r="1479" customFormat="1" s="77">
      <c r="A1479" s="2" t="n"/>
      <c r="B1479" s="64" t="n"/>
      <c r="C1479" s="2" t="n"/>
      <c r="D1479" s="2" t="n"/>
      <c r="E1479" s="5" t="n"/>
      <c r="F1479" s="5" t="n"/>
    </row>
    <row r="1480" customFormat="1" s="77">
      <c r="A1480" s="2" t="n"/>
      <c r="B1480" s="64" t="n"/>
      <c r="C1480" s="2" t="n"/>
      <c r="D1480" s="2" t="n"/>
      <c r="E1480" s="5" t="n"/>
      <c r="F1480" s="5" t="n"/>
    </row>
    <row r="1481" customFormat="1" s="77">
      <c r="A1481" s="2" t="n"/>
      <c r="B1481" s="64" t="n"/>
      <c r="C1481" s="2" t="n"/>
      <c r="D1481" s="2" t="n"/>
      <c r="E1481" s="5" t="n"/>
      <c r="F1481" s="5" t="n"/>
    </row>
    <row r="1482" customFormat="1" s="77">
      <c r="A1482" s="2" t="n"/>
      <c r="B1482" s="64" t="n"/>
      <c r="C1482" s="2" t="n"/>
      <c r="D1482" s="2" t="n"/>
      <c r="E1482" s="5" t="n"/>
      <c r="F1482" s="5" t="n"/>
    </row>
    <row r="1483" customFormat="1" s="77">
      <c r="A1483" s="2" t="n"/>
      <c r="B1483" s="64" t="n"/>
      <c r="C1483" s="2" t="n"/>
      <c r="D1483" s="2" t="n"/>
      <c r="E1483" s="5" t="n"/>
      <c r="F1483" s="5" t="n"/>
    </row>
    <row r="1484" customFormat="1" s="77">
      <c r="A1484" s="2" t="n"/>
      <c r="B1484" s="64" t="n"/>
      <c r="C1484" s="2" t="n"/>
      <c r="D1484" s="2" t="n"/>
      <c r="E1484" s="5" t="n"/>
      <c r="F1484" s="5" t="n"/>
    </row>
    <row r="1485" customFormat="1" s="77">
      <c r="A1485" s="2" t="n"/>
      <c r="B1485" s="64" t="n"/>
      <c r="C1485" s="2" t="n"/>
      <c r="D1485" s="2" t="n"/>
      <c r="E1485" s="5" t="n"/>
      <c r="F1485" s="5" t="n"/>
    </row>
    <row r="1486" customFormat="1" s="77">
      <c r="A1486" s="2" t="n"/>
      <c r="B1486" s="64" t="n"/>
      <c r="C1486" s="2" t="n"/>
      <c r="D1486" s="2" t="n"/>
      <c r="E1486" s="5" t="n"/>
      <c r="F1486" s="5" t="n"/>
    </row>
    <row r="1487" customFormat="1" s="77">
      <c r="A1487" s="2" t="n"/>
      <c r="B1487" s="64" t="n"/>
      <c r="C1487" s="2" t="n"/>
      <c r="D1487" s="2" t="n"/>
      <c r="E1487" s="5" t="n"/>
      <c r="F1487" s="5" t="n"/>
    </row>
    <row r="1488" customFormat="1" s="77">
      <c r="A1488" s="2" t="n"/>
      <c r="B1488" s="64" t="n"/>
      <c r="C1488" s="2" t="n"/>
      <c r="D1488" s="2" t="n"/>
      <c r="E1488" s="5" t="n"/>
      <c r="F1488" s="5" t="n"/>
    </row>
    <row r="1489" customFormat="1" s="77">
      <c r="A1489" s="2" t="n"/>
      <c r="B1489" s="64" t="n"/>
      <c r="C1489" s="2" t="n"/>
      <c r="D1489" s="2" t="n"/>
      <c r="E1489" s="5" t="n"/>
      <c r="F1489" s="5" t="n"/>
    </row>
    <row r="1490" customFormat="1" s="77">
      <c r="A1490" s="2" t="n"/>
      <c r="B1490" s="64" t="n"/>
      <c r="C1490" s="2" t="n"/>
      <c r="D1490" s="2" t="n"/>
      <c r="E1490" s="5" t="n"/>
      <c r="F1490" s="5" t="n"/>
    </row>
    <row r="1491" customFormat="1" s="77">
      <c r="A1491" s="2" t="n"/>
      <c r="B1491" s="64" t="n"/>
      <c r="C1491" s="2" t="n"/>
      <c r="D1491" s="2" t="n"/>
      <c r="E1491" s="5" t="n"/>
      <c r="F1491" s="5" t="n"/>
    </row>
    <row r="1492" customFormat="1" s="77">
      <c r="A1492" s="2" t="n"/>
      <c r="B1492" s="64" t="n"/>
      <c r="C1492" s="2" t="n"/>
      <c r="D1492" s="2" t="n"/>
      <c r="E1492" s="5" t="n"/>
      <c r="F1492" s="5" t="n"/>
    </row>
    <row r="1493" customFormat="1" s="77">
      <c r="A1493" s="2" t="n"/>
      <c r="B1493" s="64" t="n"/>
      <c r="C1493" s="2" t="n"/>
      <c r="D1493" s="2" t="n"/>
      <c r="E1493" s="5" t="n"/>
      <c r="F1493" s="5" t="n"/>
    </row>
    <row r="1494" customFormat="1" s="77">
      <c r="A1494" s="2" t="n"/>
      <c r="B1494" s="64" t="n"/>
      <c r="C1494" s="2" t="n"/>
      <c r="D1494" s="2" t="n"/>
      <c r="E1494" s="5" t="n"/>
      <c r="F1494" s="5" t="n"/>
    </row>
    <row r="1495" customFormat="1" s="77">
      <c r="A1495" s="2" t="n"/>
      <c r="B1495" s="64" t="n"/>
      <c r="C1495" s="2" t="n"/>
      <c r="D1495" s="2" t="n"/>
      <c r="E1495" s="5" t="n"/>
      <c r="F1495" s="5" t="n"/>
    </row>
    <row r="1496" customFormat="1" s="77">
      <c r="A1496" s="2" t="n"/>
      <c r="B1496" s="64" t="n"/>
      <c r="C1496" s="2" t="n"/>
      <c r="D1496" s="2" t="n"/>
      <c r="E1496" s="5" t="n"/>
      <c r="F1496" s="5" t="n"/>
    </row>
    <row r="1497" customFormat="1" s="77">
      <c r="A1497" s="2" t="n"/>
      <c r="B1497" s="64" t="n"/>
      <c r="C1497" s="2" t="n"/>
      <c r="D1497" s="2" t="n"/>
      <c r="E1497" s="5" t="n"/>
      <c r="F1497" s="5" t="n"/>
    </row>
    <row r="1498" customFormat="1" s="77">
      <c r="A1498" s="2" t="n"/>
      <c r="B1498" s="64" t="n"/>
      <c r="C1498" s="2" t="n"/>
      <c r="D1498" s="2" t="n"/>
      <c r="E1498" s="5" t="n"/>
      <c r="F1498" s="5" t="n"/>
    </row>
    <row r="1499" customFormat="1" s="77">
      <c r="A1499" s="2" t="n"/>
      <c r="B1499" s="64" t="n"/>
      <c r="C1499" s="2" t="n"/>
      <c r="D1499" s="2" t="n"/>
      <c r="E1499" s="5" t="n"/>
      <c r="F1499" s="5" t="n"/>
    </row>
    <row r="1500" customFormat="1" s="77">
      <c r="A1500" s="2" t="n"/>
      <c r="B1500" s="64" t="n"/>
      <c r="C1500" s="2" t="n"/>
      <c r="D1500" s="2" t="n"/>
      <c r="E1500" s="5" t="n"/>
      <c r="F1500" s="5" t="n"/>
    </row>
    <row r="1501" customFormat="1" s="77">
      <c r="A1501" s="2" t="n"/>
      <c r="B1501" s="64" t="n"/>
      <c r="C1501" s="2" t="n"/>
      <c r="D1501" s="2" t="n"/>
      <c r="E1501" s="5" t="n"/>
      <c r="F1501" s="5" t="n"/>
    </row>
    <row r="1502" customFormat="1" s="77">
      <c r="A1502" s="2" t="n"/>
      <c r="B1502" s="64" t="n"/>
      <c r="C1502" s="2" t="n"/>
      <c r="D1502" s="2" t="n"/>
      <c r="E1502" s="5" t="n"/>
      <c r="F1502" s="5" t="n"/>
    </row>
    <row r="1503" customFormat="1" s="77">
      <c r="A1503" s="2" t="n"/>
      <c r="B1503" s="64" t="n"/>
      <c r="C1503" s="2" t="n"/>
      <c r="D1503" s="2" t="n"/>
      <c r="E1503" s="5" t="n"/>
      <c r="F1503" s="5" t="n"/>
    </row>
    <row r="1504" customFormat="1" s="77">
      <c r="A1504" s="2" t="n"/>
      <c r="B1504" s="64" t="n"/>
      <c r="C1504" s="2" t="n"/>
      <c r="D1504" s="2" t="n"/>
      <c r="E1504" s="5" t="n"/>
      <c r="F1504" s="5" t="n"/>
    </row>
    <row r="1505" customFormat="1" s="77">
      <c r="A1505" s="2" t="n"/>
      <c r="B1505" s="64" t="n"/>
      <c r="C1505" s="2" t="n"/>
      <c r="D1505" s="2" t="n"/>
      <c r="E1505" s="5" t="n"/>
      <c r="F1505" s="5" t="n"/>
    </row>
    <row r="1506" customFormat="1" s="77">
      <c r="A1506" s="2" t="n"/>
      <c r="B1506" s="64" t="n"/>
      <c r="C1506" s="2" t="n"/>
      <c r="D1506" s="2" t="n"/>
      <c r="E1506" s="5" t="n"/>
      <c r="F1506" s="5" t="n"/>
    </row>
    <row r="1507" customFormat="1" s="77">
      <c r="A1507" s="2" t="n"/>
      <c r="B1507" s="64" t="n"/>
      <c r="C1507" s="2" t="n"/>
      <c r="D1507" s="2" t="n"/>
      <c r="E1507" s="5" t="n"/>
      <c r="F1507" s="5" t="n"/>
    </row>
    <row r="1508" customFormat="1" s="77">
      <c r="A1508" s="2" t="n"/>
      <c r="B1508" s="64" t="n"/>
      <c r="C1508" s="2" t="n"/>
      <c r="D1508" s="2" t="n"/>
      <c r="E1508" s="5" t="n"/>
      <c r="F1508" s="5" t="n"/>
    </row>
    <row r="1509" customFormat="1" s="77">
      <c r="A1509" s="2" t="n"/>
      <c r="B1509" s="64" t="n"/>
      <c r="C1509" s="2" t="n"/>
      <c r="D1509" s="2" t="n"/>
      <c r="E1509" s="5" t="n"/>
      <c r="F1509" s="5" t="n"/>
    </row>
    <row r="1510" customFormat="1" s="77">
      <c r="A1510" s="2" t="n"/>
      <c r="B1510" s="64" t="n"/>
      <c r="C1510" s="2" t="n"/>
      <c r="D1510" s="2" t="n"/>
      <c r="E1510" s="5" t="n"/>
      <c r="F1510" s="5" t="n"/>
    </row>
    <row r="1511" customFormat="1" s="77">
      <c r="A1511" s="2" t="n"/>
      <c r="B1511" s="64" t="n"/>
      <c r="C1511" s="2" t="n"/>
      <c r="D1511" s="2" t="n"/>
      <c r="E1511" s="5" t="n"/>
      <c r="F1511" s="5" t="n"/>
    </row>
    <row r="1512" customFormat="1" s="77">
      <c r="A1512" s="2" t="n"/>
      <c r="B1512" s="64" t="n"/>
      <c r="C1512" s="2" t="n"/>
      <c r="D1512" s="2" t="n"/>
      <c r="E1512" s="5" t="n"/>
      <c r="F1512" s="5" t="n"/>
    </row>
    <row r="1513" customFormat="1" s="77">
      <c r="A1513" s="2" t="n"/>
      <c r="B1513" s="64" t="n"/>
      <c r="C1513" s="2" t="n"/>
      <c r="D1513" s="2" t="n"/>
      <c r="E1513" s="5" t="n"/>
      <c r="F1513" s="5" t="n"/>
    </row>
    <row r="1514" customFormat="1" s="77">
      <c r="A1514" s="2" t="n"/>
      <c r="B1514" s="64" t="n"/>
      <c r="C1514" s="2" t="n"/>
      <c r="D1514" s="2" t="n"/>
      <c r="E1514" s="5" t="n"/>
      <c r="F1514" s="5" t="n"/>
    </row>
    <row r="1515" customFormat="1" s="77">
      <c r="A1515" s="2" t="n"/>
      <c r="B1515" s="64" t="n"/>
      <c r="C1515" s="2" t="n"/>
      <c r="D1515" s="2" t="n"/>
      <c r="E1515" s="5" t="n"/>
      <c r="F1515" s="5" t="n"/>
    </row>
    <row r="1516" customFormat="1" s="77">
      <c r="A1516" s="2" t="n"/>
      <c r="B1516" s="64" t="n"/>
      <c r="C1516" s="2" t="n"/>
      <c r="D1516" s="2" t="n"/>
      <c r="E1516" s="5" t="n"/>
      <c r="F1516" s="5" t="n"/>
    </row>
    <row r="1517" customFormat="1" s="77">
      <c r="A1517" s="2" t="n"/>
      <c r="B1517" s="64" t="n"/>
      <c r="C1517" s="2" t="n"/>
      <c r="D1517" s="2" t="n"/>
      <c r="E1517" s="5" t="n"/>
      <c r="F1517" s="5" t="n"/>
    </row>
    <row r="1518" customFormat="1" s="77">
      <c r="A1518" s="2" t="n"/>
      <c r="B1518" s="64" t="n"/>
      <c r="C1518" s="2" t="n"/>
      <c r="D1518" s="2" t="n"/>
      <c r="E1518" s="5" t="n"/>
      <c r="F1518" s="5" t="n"/>
    </row>
    <row r="1519" customFormat="1" s="77">
      <c r="A1519" s="2" t="n"/>
      <c r="B1519" s="64" t="n"/>
      <c r="C1519" s="2" t="n"/>
      <c r="D1519" s="2" t="n"/>
      <c r="E1519" s="5" t="n"/>
      <c r="F1519" s="5" t="n"/>
    </row>
    <row r="1520" customFormat="1" s="77">
      <c r="A1520" s="2" t="n"/>
      <c r="B1520" s="64" t="n"/>
      <c r="C1520" s="2" t="n"/>
      <c r="D1520" s="2" t="n"/>
      <c r="E1520" s="5" t="n"/>
      <c r="F1520" s="5" t="n"/>
    </row>
    <row r="1521" customFormat="1" s="77">
      <c r="A1521" s="2" t="n"/>
      <c r="B1521" s="64" t="n"/>
      <c r="C1521" s="2" t="n"/>
      <c r="D1521" s="2" t="n"/>
      <c r="E1521" s="5" t="n"/>
      <c r="F1521" s="5" t="n"/>
    </row>
    <row r="1522" customFormat="1" s="77">
      <c r="A1522" s="2" t="n"/>
      <c r="B1522" s="64" t="n"/>
      <c r="C1522" s="2" t="n"/>
      <c r="D1522" s="2" t="n"/>
      <c r="E1522" s="5" t="n"/>
      <c r="F1522" s="5" t="n"/>
    </row>
    <row r="1523" customFormat="1" s="77">
      <c r="A1523" s="2" t="n"/>
      <c r="B1523" s="64" t="n"/>
      <c r="C1523" s="2" t="n"/>
      <c r="D1523" s="2" t="n"/>
      <c r="E1523" s="5" t="n"/>
      <c r="F1523" s="5" t="n"/>
    </row>
    <row r="1524" customFormat="1" s="77">
      <c r="A1524" s="2" t="n"/>
      <c r="B1524" s="64" t="n"/>
      <c r="C1524" s="2" t="n"/>
      <c r="D1524" s="2" t="n"/>
      <c r="E1524" s="5" t="n"/>
      <c r="F1524" s="5" t="n"/>
    </row>
    <row r="1525" customFormat="1" s="77">
      <c r="A1525" s="2" t="n"/>
      <c r="B1525" s="64" t="n"/>
      <c r="C1525" s="2" t="n"/>
      <c r="D1525" s="2" t="n"/>
      <c r="E1525" s="5" t="n"/>
      <c r="F1525" s="5" t="n"/>
    </row>
    <row r="1526" customFormat="1" s="77">
      <c r="A1526" s="2" t="n"/>
      <c r="B1526" s="64" t="n"/>
      <c r="C1526" s="2" t="n"/>
      <c r="D1526" s="2" t="n"/>
      <c r="E1526" s="5" t="n"/>
      <c r="F1526" s="5" t="n"/>
    </row>
    <row r="1527" customFormat="1" s="77">
      <c r="A1527" s="2" t="n"/>
      <c r="B1527" s="64" t="n"/>
      <c r="C1527" s="2" t="n"/>
      <c r="D1527" s="2" t="n"/>
      <c r="E1527" s="5" t="n"/>
      <c r="F1527" s="5" t="n"/>
    </row>
    <row r="1528" customFormat="1" s="77">
      <c r="A1528" s="2" t="n"/>
      <c r="B1528" s="64" t="n"/>
      <c r="C1528" s="2" t="n"/>
      <c r="D1528" s="2" t="n"/>
      <c r="E1528" s="5" t="n"/>
      <c r="F1528" s="5" t="n"/>
    </row>
    <row r="1529" customFormat="1" s="77">
      <c r="A1529" s="2" t="n"/>
      <c r="B1529" s="64" t="n"/>
      <c r="C1529" s="2" t="n"/>
      <c r="D1529" s="2" t="n"/>
      <c r="E1529" s="5" t="n"/>
      <c r="F1529" s="5" t="n"/>
    </row>
    <row r="1530" customFormat="1" s="77">
      <c r="A1530" s="2" t="n"/>
      <c r="B1530" s="64" t="n"/>
      <c r="C1530" s="2" t="n"/>
      <c r="D1530" s="2" t="n"/>
      <c r="E1530" s="5" t="n"/>
      <c r="F1530" s="5" t="n"/>
    </row>
    <row r="1531" customFormat="1" s="77">
      <c r="A1531" s="2" t="n"/>
      <c r="B1531" s="64" t="n"/>
      <c r="C1531" s="2" t="n"/>
      <c r="D1531" s="2" t="n"/>
      <c r="E1531" s="5" t="n"/>
      <c r="F1531" s="5" t="n"/>
    </row>
    <row r="1532" customFormat="1" s="77">
      <c r="A1532" s="2" t="n"/>
      <c r="B1532" s="64" t="n"/>
      <c r="C1532" s="2" t="n"/>
      <c r="D1532" s="2" t="n"/>
      <c r="E1532" s="5" t="n"/>
      <c r="F1532" s="5" t="n"/>
    </row>
    <row r="1533" customFormat="1" s="77">
      <c r="A1533" s="2" t="n"/>
      <c r="B1533" s="64" t="n"/>
      <c r="C1533" s="2" t="n"/>
      <c r="D1533" s="2" t="n"/>
      <c r="E1533" s="5" t="n"/>
      <c r="F1533" s="5" t="n"/>
    </row>
    <row r="1534" customFormat="1" s="77">
      <c r="A1534" s="2" t="n"/>
      <c r="B1534" s="64" t="n"/>
      <c r="C1534" s="2" t="n"/>
      <c r="D1534" s="2" t="n"/>
      <c r="E1534" s="5" t="n"/>
      <c r="F1534" s="5" t="n"/>
    </row>
    <row r="1535" customFormat="1" s="77">
      <c r="A1535" s="2" t="n"/>
      <c r="B1535" s="64" t="n"/>
      <c r="C1535" s="2" t="n"/>
      <c r="D1535" s="2" t="n"/>
      <c r="E1535" s="5" t="n"/>
      <c r="F1535" s="5" t="n"/>
    </row>
    <row r="1536" customFormat="1" s="77">
      <c r="A1536" s="2" t="n"/>
      <c r="B1536" s="64" t="n"/>
      <c r="C1536" s="2" t="n"/>
      <c r="D1536" s="2" t="n"/>
      <c r="E1536" s="5" t="n"/>
      <c r="F1536" s="5" t="n"/>
    </row>
    <row r="1537" customFormat="1" s="77">
      <c r="A1537" s="2" t="n"/>
      <c r="B1537" s="64" t="n"/>
      <c r="C1537" s="2" t="n"/>
      <c r="D1537" s="2" t="n"/>
      <c r="E1537" s="5" t="n"/>
      <c r="F1537" s="5" t="n"/>
    </row>
    <row r="1538" customFormat="1" s="77">
      <c r="A1538" s="2" t="n"/>
      <c r="B1538" s="64" t="n"/>
      <c r="C1538" s="2" t="n"/>
      <c r="D1538" s="2" t="n"/>
      <c r="E1538" s="5" t="n"/>
      <c r="F1538" s="5" t="n"/>
    </row>
    <row r="1539" customFormat="1" s="77">
      <c r="A1539" s="2" t="n"/>
      <c r="B1539" s="64" t="n"/>
      <c r="C1539" s="2" t="n"/>
      <c r="D1539" s="2" t="n"/>
      <c r="E1539" s="5" t="n"/>
      <c r="F1539" s="5" t="n"/>
    </row>
    <row r="1540" customFormat="1" s="77">
      <c r="A1540" s="2" t="n"/>
      <c r="B1540" s="64" t="n"/>
      <c r="C1540" s="2" t="n"/>
      <c r="D1540" s="2" t="n"/>
      <c r="E1540" s="5" t="n"/>
      <c r="F1540" s="5" t="n"/>
    </row>
    <row r="1541" customFormat="1" s="77">
      <c r="A1541" s="2" t="n"/>
      <c r="B1541" s="64" t="n"/>
      <c r="C1541" s="2" t="n"/>
      <c r="D1541" s="2" t="n"/>
      <c r="E1541" s="5" t="n"/>
      <c r="F1541" s="5" t="n"/>
    </row>
    <row r="1542" customFormat="1" s="77">
      <c r="A1542" s="2" t="n"/>
      <c r="B1542" s="64" t="n"/>
      <c r="C1542" s="2" t="n"/>
      <c r="D1542" s="2" t="n"/>
      <c r="E1542" s="5" t="n"/>
      <c r="F1542" s="5" t="n"/>
    </row>
    <row r="1543" customFormat="1" s="77">
      <c r="A1543" s="2" t="n"/>
      <c r="B1543" s="64" t="n"/>
      <c r="C1543" s="2" t="n"/>
      <c r="D1543" s="2" t="n"/>
      <c r="E1543" s="5" t="n"/>
      <c r="F1543" s="5" t="n"/>
    </row>
    <row r="1544" customFormat="1" s="77">
      <c r="A1544" s="2" t="n"/>
      <c r="B1544" s="64" t="n"/>
      <c r="C1544" s="2" t="n"/>
      <c r="D1544" s="2" t="n"/>
      <c r="E1544" s="5" t="n"/>
      <c r="F1544" s="5" t="n"/>
    </row>
    <row r="1545" customFormat="1" s="77">
      <c r="A1545" s="2" t="n"/>
      <c r="B1545" s="64" t="n"/>
      <c r="C1545" s="2" t="n"/>
      <c r="D1545" s="2" t="n"/>
      <c r="E1545" s="5" t="n"/>
      <c r="F1545" s="5" t="n"/>
    </row>
    <row r="1546" customFormat="1" s="77">
      <c r="A1546" s="2" t="n"/>
      <c r="B1546" s="64" t="n"/>
      <c r="C1546" s="2" t="n"/>
      <c r="D1546" s="2" t="n"/>
      <c r="E1546" s="5" t="n"/>
      <c r="F1546" s="5" t="n"/>
    </row>
    <row r="1547" customFormat="1" s="77">
      <c r="A1547" s="2" t="n"/>
      <c r="B1547" s="64" t="n"/>
      <c r="C1547" s="2" t="n"/>
      <c r="D1547" s="2" t="n"/>
      <c r="E1547" s="5" t="n"/>
      <c r="F1547" s="5" t="n"/>
    </row>
    <row r="1548" customFormat="1" s="77">
      <c r="A1548" s="2" t="n"/>
      <c r="B1548" s="64" t="n"/>
      <c r="C1548" s="2" t="n"/>
      <c r="D1548" s="2" t="n"/>
      <c r="E1548" s="5" t="n"/>
      <c r="F1548" s="5" t="n"/>
    </row>
    <row r="1549" customFormat="1" s="77">
      <c r="A1549" s="2" t="n"/>
      <c r="B1549" s="64" t="n"/>
      <c r="C1549" s="2" t="n"/>
      <c r="D1549" s="2" t="n"/>
      <c r="E1549" s="5" t="n"/>
      <c r="F1549" s="5" t="n"/>
    </row>
    <row r="1550" customFormat="1" s="77">
      <c r="A1550" s="2" t="n"/>
      <c r="B1550" s="64" t="n"/>
      <c r="C1550" s="2" t="n"/>
      <c r="D1550" s="2" t="n"/>
      <c r="E1550" s="5" t="n"/>
      <c r="F1550" s="5" t="n"/>
    </row>
    <row r="1551" customFormat="1" s="77">
      <c r="A1551" s="2" t="n"/>
      <c r="B1551" s="64" t="n"/>
      <c r="C1551" s="2" t="n"/>
      <c r="D1551" s="2" t="n"/>
      <c r="E1551" s="5" t="n"/>
      <c r="F1551" s="5" t="n"/>
    </row>
    <row r="1552" customFormat="1" s="77">
      <c r="A1552" s="2" t="n"/>
      <c r="B1552" s="64" t="n"/>
      <c r="C1552" s="2" t="n"/>
      <c r="D1552" s="2" t="n"/>
      <c r="E1552" s="5" t="n"/>
      <c r="F1552" s="5" t="n"/>
    </row>
    <row r="1553" customFormat="1" s="77">
      <c r="A1553" s="2" t="n"/>
      <c r="B1553" s="64" t="n"/>
      <c r="C1553" s="2" t="n"/>
      <c r="D1553" s="2" t="n"/>
      <c r="E1553" s="5" t="n"/>
      <c r="F1553" s="5" t="n"/>
    </row>
    <row r="1554" customFormat="1" s="77">
      <c r="A1554" s="2" t="n"/>
      <c r="B1554" s="64" t="n"/>
      <c r="C1554" s="2" t="n"/>
      <c r="D1554" s="2" t="n"/>
      <c r="E1554" s="5" t="n"/>
      <c r="F1554" s="5" t="n"/>
    </row>
    <row r="1555" customFormat="1" s="77">
      <c r="A1555" s="2" t="n"/>
      <c r="B1555" s="64" t="n"/>
      <c r="C1555" s="2" t="n"/>
      <c r="D1555" s="2" t="n"/>
      <c r="E1555" s="5" t="n"/>
      <c r="F1555" s="5" t="n"/>
    </row>
    <row r="1556" customFormat="1" s="77">
      <c r="A1556" s="2" t="n"/>
      <c r="B1556" s="64" t="n"/>
      <c r="C1556" s="2" t="n"/>
      <c r="D1556" s="2" t="n"/>
      <c r="E1556" s="5" t="n"/>
      <c r="F1556" s="5" t="n"/>
    </row>
    <row r="1557" customFormat="1" s="77">
      <c r="A1557" s="2" t="n"/>
      <c r="B1557" s="64" t="n"/>
      <c r="C1557" s="2" t="n"/>
      <c r="D1557" s="2" t="n"/>
      <c r="E1557" s="5" t="n"/>
      <c r="F1557" s="5" t="n"/>
    </row>
    <row r="1558" customFormat="1" s="77">
      <c r="A1558" s="2" t="n"/>
      <c r="B1558" s="64" t="n"/>
      <c r="C1558" s="2" t="n"/>
      <c r="D1558" s="2" t="n"/>
      <c r="E1558" s="5" t="n"/>
      <c r="F1558" s="5" t="n"/>
    </row>
    <row r="1559" customFormat="1" s="77">
      <c r="A1559" s="2" t="n"/>
      <c r="B1559" s="64" t="n"/>
      <c r="C1559" s="2" t="n"/>
      <c r="D1559" s="2" t="n"/>
      <c r="E1559" s="5" t="n"/>
      <c r="F1559" s="5" t="n"/>
    </row>
    <row r="1560" customFormat="1" s="77">
      <c r="A1560" s="2" t="n"/>
      <c r="B1560" s="64" t="n"/>
      <c r="C1560" s="2" t="n"/>
      <c r="D1560" s="2" t="n"/>
      <c r="E1560" s="5" t="n"/>
      <c r="F1560" s="5" t="n"/>
    </row>
    <row r="1561" customFormat="1" s="77">
      <c r="A1561" s="2" t="n"/>
      <c r="B1561" s="64" t="n"/>
      <c r="C1561" s="2" t="n"/>
      <c r="D1561" s="2" t="n"/>
      <c r="E1561" s="5" t="n"/>
      <c r="F1561" s="5" t="n"/>
    </row>
    <row r="1562" customFormat="1" s="77">
      <c r="A1562" s="2" t="n"/>
      <c r="B1562" s="64" t="n"/>
      <c r="C1562" s="2" t="n"/>
      <c r="D1562" s="2" t="n"/>
      <c r="E1562" s="5" t="n"/>
      <c r="F1562" s="5" t="n"/>
    </row>
    <row r="1563" customFormat="1" s="77">
      <c r="A1563" s="2" t="n"/>
      <c r="B1563" s="64" t="n"/>
      <c r="C1563" s="2" t="n"/>
      <c r="D1563" s="2" t="n"/>
      <c r="E1563" s="5" t="n"/>
      <c r="F1563" s="5" t="n"/>
    </row>
    <row r="1564" customFormat="1" s="77">
      <c r="A1564" s="2" t="n"/>
      <c r="B1564" s="64" t="n"/>
      <c r="C1564" s="2" t="n"/>
      <c r="D1564" s="2" t="n"/>
      <c r="E1564" s="5" t="n"/>
      <c r="F1564" s="5" t="n"/>
    </row>
    <row r="1565" customFormat="1" s="77">
      <c r="A1565" s="2" t="n"/>
      <c r="B1565" s="64" t="n"/>
      <c r="C1565" s="2" t="n"/>
      <c r="D1565" s="2" t="n"/>
      <c r="E1565" s="5" t="n"/>
      <c r="F1565" s="5" t="n"/>
    </row>
    <row r="1566" customFormat="1" s="77">
      <c r="A1566" s="2" t="n"/>
      <c r="B1566" s="64" t="n"/>
      <c r="C1566" s="2" t="n"/>
      <c r="D1566" s="2" t="n"/>
      <c r="E1566" s="5" t="n"/>
      <c r="F1566" s="5" t="n"/>
    </row>
    <row r="1567" customFormat="1" s="77">
      <c r="A1567" s="2" t="n"/>
      <c r="B1567" s="64" t="n"/>
      <c r="C1567" s="2" t="n"/>
      <c r="D1567" s="2" t="n"/>
      <c r="E1567" s="5" t="n"/>
      <c r="F1567" s="5" t="n"/>
    </row>
    <row r="1568" customFormat="1" s="77">
      <c r="A1568" s="2" t="n"/>
      <c r="B1568" s="64" t="n"/>
      <c r="C1568" s="2" t="n"/>
      <c r="D1568" s="2" t="n"/>
      <c r="E1568" s="5" t="n"/>
      <c r="F1568" s="5" t="n"/>
    </row>
    <row r="1569" customFormat="1" s="77">
      <c r="A1569" s="2" t="n"/>
      <c r="B1569" s="64" t="n"/>
      <c r="C1569" s="2" t="n"/>
      <c r="D1569" s="2" t="n"/>
      <c r="E1569" s="5" t="n"/>
      <c r="F1569" s="5" t="n"/>
    </row>
    <row r="1570" customFormat="1" s="77">
      <c r="A1570" s="2" t="n"/>
      <c r="B1570" s="64" t="n"/>
      <c r="C1570" s="2" t="n"/>
      <c r="D1570" s="2" t="n"/>
      <c r="E1570" s="5" t="n"/>
      <c r="F1570" s="5" t="n"/>
    </row>
    <row r="1571" customFormat="1" s="77">
      <c r="A1571" s="2" t="n"/>
      <c r="B1571" s="64" t="n"/>
      <c r="C1571" s="2" t="n"/>
      <c r="D1571" s="2" t="n"/>
      <c r="E1571" s="5" t="n"/>
      <c r="F1571" s="5" t="n"/>
    </row>
    <row r="1572" customFormat="1" s="77">
      <c r="A1572" s="2" t="n"/>
      <c r="B1572" s="64" t="n"/>
      <c r="C1572" s="2" t="n"/>
      <c r="D1572" s="2" t="n"/>
      <c r="E1572" s="5" t="n"/>
      <c r="F1572" s="5" t="n"/>
    </row>
    <row r="1573" customFormat="1" s="77">
      <c r="A1573" s="2" t="n"/>
      <c r="B1573" s="64" t="n"/>
      <c r="C1573" s="2" t="n"/>
      <c r="D1573" s="2" t="n"/>
      <c r="E1573" s="5" t="n"/>
      <c r="F1573" s="5" t="n"/>
    </row>
    <row r="1574" customFormat="1" s="77">
      <c r="A1574" s="2" t="n"/>
      <c r="B1574" s="64" t="n"/>
      <c r="C1574" s="2" t="n"/>
      <c r="D1574" s="2" t="n"/>
      <c r="E1574" s="5" t="n"/>
      <c r="F1574" s="5" t="n"/>
    </row>
    <row r="1575" customFormat="1" s="77">
      <c r="A1575" s="2" t="n"/>
      <c r="B1575" s="64" t="n"/>
      <c r="C1575" s="2" t="n"/>
      <c r="D1575" s="2" t="n"/>
      <c r="E1575" s="5" t="n"/>
      <c r="F1575" s="5" t="n"/>
    </row>
    <row r="1576" customFormat="1" s="77">
      <c r="A1576" s="2" t="n"/>
      <c r="B1576" s="64" t="n"/>
      <c r="C1576" s="2" t="n"/>
      <c r="D1576" s="2" t="n"/>
      <c r="E1576" s="5" t="n"/>
      <c r="F1576" s="5" t="n"/>
    </row>
    <row r="1577" customFormat="1" s="77">
      <c r="A1577" s="2" t="n"/>
      <c r="B1577" s="64" t="n"/>
      <c r="C1577" s="2" t="n"/>
      <c r="D1577" s="2" t="n"/>
      <c r="E1577" s="5" t="n"/>
      <c r="F1577" s="5" t="n"/>
    </row>
    <row r="1578" customFormat="1" s="77">
      <c r="A1578" s="2" t="n"/>
      <c r="B1578" s="64" t="n"/>
      <c r="C1578" s="2" t="n"/>
      <c r="D1578" s="2" t="n"/>
      <c r="E1578" s="5" t="n"/>
      <c r="F1578" s="5" t="n"/>
    </row>
    <row r="1579" customFormat="1" s="77">
      <c r="A1579" s="2" t="n"/>
      <c r="B1579" s="64" t="n"/>
      <c r="C1579" s="2" t="n"/>
      <c r="D1579" s="2" t="n"/>
      <c r="E1579" s="5" t="n"/>
      <c r="F1579" s="5" t="n"/>
    </row>
    <row r="1580" customFormat="1" s="77">
      <c r="A1580" s="2" t="n"/>
      <c r="B1580" s="64" t="n"/>
      <c r="C1580" s="2" t="n"/>
      <c r="D1580" s="2" t="n"/>
      <c r="E1580" s="5" t="n"/>
      <c r="F1580" s="5" t="n"/>
    </row>
    <row r="1581" customFormat="1" s="77">
      <c r="A1581" s="2" t="n"/>
      <c r="B1581" s="64" t="n"/>
      <c r="C1581" s="2" t="n"/>
      <c r="D1581" s="2" t="n"/>
      <c r="E1581" s="5" t="n"/>
      <c r="F1581" s="5" t="n"/>
    </row>
    <row r="1582" customFormat="1" s="77">
      <c r="A1582" s="2" t="n"/>
      <c r="B1582" s="64" t="n"/>
      <c r="C1582" s="2" t="n"/>
      <c r="D1582" s="2" t="n"/>
      <c r="E1582" s="5" t="n"/>
      <c r="F1582" s="5" t="n"/>
    </row>
    <row r="1583" customFormat="1" s="77">
      <c r="A1583" s="2" t="n"/>
      <c r="B1583" s="64" t="n"/>
      <c r="C1583" s="2" t="n"/>
      <c r="D1583" s="2" t="n"/>
      <c r="E1583" s="5" t="n"/>
      <c r="F1583" s="5" t="n"/>
    </row>
    <row r="1584" customFormat="1" s="77">
      <c r="A1584" s="2" t="n"/>
      <c r="B1584" s="64" t="n"/>
      <c r="C1584" s="2" t="n"/>
      <c r="D1584" s="2" t="n"/>
      <c r="E1584" s="5" t="n"/>
      <c r="F1584" s="5" t="n"/>
    </row>
    <row r="1585" customFormat="1" s="77">
      <c r="A1585" s="2" t="n"/>
      <c r="B1585" s="64" t="n"/>
      <c r="C1585" s="2" t="n"/>
      <c r="D1585" s="2" t="n"/>
      <c r="E1585" s="5" t="n"/>
      <c r="F1585" s="5" t="n"/>
    </row>
    <row r="1586" customFormat="1" s="77">
      <c r="A1586" s="2" t="n"/>
      <c r="B1586" s="64" t="n"/>
      <c r="C1586" s="2" t="n"/>
      <c r="D1586" s="2" t="n"/>
      <c r="E1586" s="5" t="n"/>
      <c r="F1586" s="5" t="n"/>
    </row>
    <row r="1587" customFormat="1" s="77">
      <c r="A1587" s="2" t="n"/>
      <c r="B1587" s="64" t="n"/>
      <c r="C1587" s="2" t="n"/>
      <c r="D1587" s="2" t="n"/>
      <c r="E1587" s="5" t="n"/>
      <c r="F1587" s="5" t="n"/>
    </row>
    <row r="1588" customFormat="1" s="77">
      <c r="A1588" s="2" t="n"/>
      <c r="B1588" s="64" t="n"/>
      <c r="C1588" s="2" t="n"/>
      <c r="D1588" s="2" t="n"/>
      <c r="E1588" s="5" t="n"/>
      <c r="F1588" s="5" t="n"/>
    </row>
    <row r="1589" customFormat="1" s="77">
      <c r="A1589" s="2" t="n"/>
      <c r="B1589" s="64" t="n"/>
      <c r="C1589" s="2" t="n"/>
      <c r="D1589" s="2" t="n"/>
      <c r="E1589" s="5" t="n"/>
      <c r="F1589" s="5" t="n"/>
    </row>
    <row r="1590" customFormat="1" s="77">
      <c r="A1590" s="2" t="n"/>
      <c r="B1590" s="64" t="n"/>
      <c r="C1590" s="2" t="n"/>
      <c r="D1590" s="2" t="n"/>
      <c r="E1590" s="5" t="n"/>
      <c r="F1590" s="5" t="n"/>
    </row>
    <row r="1591" customFormat="1" s="77">
      <c r="A1591" s="2" t="n"/>
      <c r="B1591" s="64" t="n"/>
      <c r="C1591" s="2" t="n"/>
      <c r="D1591" s="2" t="n"/>
      <c r="E1591" s="5" t="n"/>
      <c r="F1591" s="5" t="n"/>
    </row>
    <row r="1592" customFormat="1" s="77">
      <c r="A1592" s="2" t="n"/>
      <c r="B1592" s="64" t="n"/>
      <c r="C1592" s="2" t="n"/>
      <c r="D1592" s="2" t="n"/>
      <c r="E1592" s="5" t="n"/>
      <c r="F1592" s="5" t="n"/>
    </row>
    <row r="1593" customFormat="1" s="77">
      <c r="A1593" s="2" t="n"/>
      <c r="B1593" s="64" t="n"/>
      <c r="C1593" s="2" t="n"/>
      <c r="D1593" s="2" t="n"/>
      <c r="E1593" s="5" t="n"/>
      <c r="F1593" s="5" t="n"/>
    </row>
    <row r="1594" customFormat="1" s="77">
      <c r="A1594" s="2" t="n"/>
      <c r="B1594" s="64" t="n"/>
      <c r="C1594" s="2" t="n"/>
      <c r="D1594" s="2" t="n"/>
      <c r="E1594" s="5" t="n"/>
      <c r="F1594" s="5" t="n"/>
    </row>
    <row r="1595" customFormat="1" s="77">
      <c r="A1595" s="2" t="n"/>
      <c r="B1595" s="64" t="n"/>
      <c r="C1595" s="2" t="n"/>
      <c r="D1595" s="2" t="n"/>
      <c r="E1595" s="5" t="n"/>
      <c r="F1595" s="5" t="n"/>
    </row>
    <row r="1596" customFormat="1" s="77">
      <c r="A1596" s="2" t="n"/>
      <c r="B1596" s="64" t="n"/>
      <c r="C1596" s="2" t="n"/>
      <c r="D1596" s="2" t="n"/>
      <c r="E1596" s="5" t="n"/>
      <c r="F1596" s="5" t="n"/>
    </row>
    <row r="1597" customFormat="1" s="77">
      <c r="A1597" s="2" t="n"/>
      <c r="B1597" s="64" t="n"/>
      <c r="C1597" s="2" t="n"/>
      <c r="D1597" s="2" t="n"/>
      <c r="E1597" s="5" t="n"/>
      <c r="F1597" s="5" t="n"/>
    </row>
    <row r="1598" customFormat="1" s="77">
      <c r="A1598" s="2" t="n"/>
      <c r="B1598" s="64" t="n"/>
      <c r="C1598" s="2" t="n"/>
      <c r="D1598" s="2" t="n"/>
      <c r="E1598" s="5" t="n"/>
      <c r="F1598" s="5" t="n"/>
    </row>
    <row r="1599" customFormat="1" s="77">
      <c r="A1599" s="2" t="n"/>
      <c r="B1599" s="64" t="n"/>
      <c r="C1599" s="2" t="n"/>
      <c r="D1599" s="2" t="n"/>
      <c r="E1599" s="5" t="n"/>
      <c r="F1599" s="5" t="n"/>
    </row>
    <row r="1600" customFormat="1" s="77">
      <c r="A1600" s="2" t="n"/>
      <c r="B1600" s="64" t="n"/>
      <c r="C1600" s="2" t="n"/>
      <c r="D1600" s="2" t="n"/>
      <c r="E1600" s="5" t="n"/>
      <c r="F1600" s="5" t="n"/>
    </row>
    <row r="1601" customFormat="1" s="77">
      <c r="A1601" s="2" t="n"/>
      <c r="B1601" s="64" t="n"/>
      <c r="C1601" s="2" t="n"/>
      <c r="D1601" s="2" t="n"/>
      <c r="E1601" s="5" t="n"/>
      <c r="F1601" s="5" t="n"/>
    </row>
    <row r="1602" customFormat="1" s="77">
      <c r="A1602" s="2" t="n"/>
      <c r="B1602" s="64" t="n"/>
      <c r="C1602" s="2" t="n"/>
      <c r="D1602" s="2" t="n"/>
      <c r="E1602" s="5" t="n"/>
      <c r="F1602" s="5" t="n"/>
    </row>
    <row r="1603" customFormat="1" s="77">
      <c r="A1603" s="2" t="n"/>
      <c r="B1603" s="64" t="n"/>
      <c r="C1603" s="2" t="n"/>
      <c r="D1603" s="2" t="n"/>
      <c r="E1603" s="5" t="n"/>
      <c r="F1603" s="5" t="n"/>
    </row>
    <row r="1604" customFormat="1" s="77">
      <c r="A1604" s="2" t="n"/>
      <c r="B1604" s="64" t="n"/>
      <c r="C1604" s="2" t="n"/>
      <c r="D1604" s="2" t="n"/>
      <c r="E1604" s="5" t="n"/>
      <c r="F1604" s="5" t="n"/>
    </row>
    <row r="1605" customFormat="1" s="77">
      <c r="A1605" s="2" t="n"/>
      <c r="B1605" s="64" t="n"/>
      <c r="C1605" s="2" t="n"/>
      <c r="D1605" s="2" t="n"/>
      <c r="E1605" s="5" t="n"/>
      <c r="F1605" s="5" t="n"/>
    </row>
    <row r="1606" customFormat="1" s="77">
      <c r="A1606" s="2" t="n"/>
      <c r="B1606" s="64" t="n"/>
      <c r="C1606" s="2" t="n"/>
      <c r="D1606" s="2" t="n"/>
      <c r="E1606" s="5" t="n"/>
      <c r="F1606" s="5" t="n"/>
    </row>
    <row r="1607" customFormat="1" s="77">
      <c r="A1607" s="2" t="n"/>
      <c r="B1607" s="64" t="n"/>
      <c r="C1607" s="2" t="n"/>
      <c r="D1607" s="2" t="n"/>
      <c r="E1607" s="5" t="n"/>
      <c r="F1607" s="5" t="n"/>
    </row>
    <row r="1608" customFormat="1" s="77">
      <c r="A1608" s="2" t="n"/>
      <c r="B1608" s="64" t="n"/>
      <c r="C1608" s="2" t="n"/>
      <c r="D1608" s="2" t="n"/>
      <c r="E1608" s="5" t="n"/>
      <c r="F1608" s="5" t="n"/>
    </row>
    <row r="1609" customFormat="1" s="77">
      <c r="A1609" s="2" t="n"/>
      <c r="B1609" s="64" t="n"/>
      <c r="C1609" s="2" t="n"/>
      <c r="D1609" s="2" t="n"/>
      <c r="E1609" s="5" t="n"/>
      <c r="F1609" s="5" t="n"/>
    </row>
    <row r="1610" customFormat="1" s="77">
      <c r="A1610" s="2" t="n"/>
      <c r="B1610" s="64" t="n"/>
      <c r="C1610" s="2" t="n"/>
      <c r="D1610" s="2" t="n"/>
      <c r="E1610" s="5" t="n"/>
      <c r="F1610" s="5" t="n"/>
    </row>
    <row r="1611" customFormat="1" s="77">
      <c r="A1611" s="2" t="n"/>
      <c r="B1611" s="64" t="n"/>
      <c r="C1611" s="2" t="n"/>
      <c r="D1611" s="2" t="n"/>
      <c r="E1611" s="5" t="n"/>
      <c r="F1611" s="5" t="n"/>
    </row>
    <row r="1612" customFormat="1" s="77">
      <c r="A1612" s="2" t="n"/>
      <c r="B1612" s="64" t="n"/>
      <c r="C1612" s="2" t="n"/>
      <c r="D1612" s="2" t="n"/>
      <c r="E1612" s="5" t="n"/>
      <c r="F1612" s="5" t="n"/>
    </row>
    <row r="1613" customFormat="1" s="77">
      <c r="A1613" s="2" t="n"/>
      <c r="B1613" s="64" t="n"/>
      <c r="C1613" s="2" t="n"/>
      <c r="D1613" s="2" t="n"/>
      <c r="E1613" s="5" t="n"/>
      <c r="F1613" s="5" t="n"/>
    </row>
    <row r="1614" customFormat="1" s="77">
      <c r="A1614" s="2" t="n"/>
      <c r="B1614" s="64" t="n"/>
      <c r="C1614" s="2" t="n"/>
      <c r="D1614" s="2" t="n"/>
      <c r="E1614" s="5" t="n"/>
      <c r="F1614" s="5" t="n"/>
    </row>
    <row r="1615" customFormat="1" s="77">
      <c r="A1615" s="2" t="n"/>
      <c r="B1615" s="64" t="n"/>
      <c r="C1615" s="2" t="n"/>
      <c r="D1615" s="2" t="n"/>
      <c r="E1615" s="5" t="n"/>
      <c r="F1615" s="5" t="n"/>
    </row>
    <row r="1616" customFormat="1" s="77">
      <c r="A1616" s="2" t="n"/>
      <c r="B1616" s="64" t="n"/>
      <c r="C1616" s="2" t="n"/>
      <c r="D1616" s="2" t="n"/>
      <c r="E1616" s="5" t="n"/>
      <c r="F1616" s="5" t="n"/>
    </row>
    <row r="1617" customFormat="1" s="77">
      <c r="A1617" s="2" t="n"/>
      <c r="B1617" s="64" t="n"/>
      <c r="C1617" s="2" t="n"/>
      <c r="D1617" s="2" t="n"/>
      <c r="E1617" s="5" t="n"/>
      <c r="F1617" s="5" t="n"/>
    </row>
    <row r="1618" customFormat="1" s="77">
      <c r="A1618" s="2" t="n"/>
      <c r="B1618" s="64" t="n"/>
      <c r="C1618" s="2" t="n"/>
      <c r="D1618" s="2" t="n"/>
      <c r="E1618" s="5" t="n"/>
      <c r="F1618" s="5" t="n"/>
    </row>
    <row r="1619" customFormat="1" s="77">
      <c r="A1619" s="2" t="n"/>
      <c r="B1619" s="64" t="n"/>
      <c r="C1619" s="2" t="n"/>
      <c r="D1619" s="2" t="n"/>
      <c r="E1619" s="5" t="n"/>
      <c r="F1619" s="5" t="n"/>
    </row>
    <row r="1620" customFormat="1" s="77">
      <c r="A1620" s="2" t="n"/>
      <c r="B1620" s="64" t="n"/>
      <c r="C1620" s="2" t="n"/>
      <c r="D1620" s="2" t="n"/>
      <c r="E1620" s="5" t="n"/>
      <c r="F1620" s="5" t="n"/>
    </row>
    <row r="1621" customFormat="1" s="77">
      <c r="A1621" s="2" t="n"/>
      <c r="B1621" s="64" t="n"/>
      <c r="C1621" s="2" t="n"/>
      <c r="D1621" s="2" t="n"/>
      <c r="E1621" s="5" t="n"/>
      <c r="F1621" s="5" t="n"/>
    </row>
    <row r="1622" customFormat="1" s="77">
      <c r="A1622" s="2" t="n"/>
      <c r="B1622" s="64" t="n"/>
      <c r="C1622" s="2" t="n"/>
      <c r="D1622" s="2" t="n"/>
      <c r="E1622" s="5" t="n"/>
      <c r="F1622" s="5" t="n"/>
    </row>
    <row r="1623" customFormat="1" s="77">
      <c r="A1623" s="2" t="n"/>
      <c r="B1623" s="64" t="n"/>
      <c r="C1623" s="2" t="n"/>
      <c r="D1623" s="2" t="n"/>
      <c r="E1623" s="5" t="n"/>
      <c r="F1623" s="5" t="n"/>
    </row>
    <row r="1624" customFormat="1" s="77">
      <c r="A1624" s="2" t="n"/>
      <c r="B1624" s="64" t="n"/>
      <c r="C1624" s="2" t="n"/>
      <c r="D1624" s="2" t="n"/>
      <c r="E1624" s="5" t="n"/>
      <c r="F1624" s="5" t="n"/>
    </row>
    <row r="1625" customFormat="1" s="77">
      <c r="A1625" s="2" t="n"/>
      <c r="B1625" s="64" t="n"/>
      <c r="C1625" s="2" t="n"/>
      <c r="D1625" s="2" t="n"/>
      <c r="E1625" s="5" t="n"/>
      <c r="F1625" s="5" t="n"/>
    </row>
    <row r="1626" customFormat="1" s="77">
      <c r="A1626" s="2" t="n"/>
      <c r="B1626" s="64" t="n"/>
      <c r="C1626" s="2" t="n"/>
      <c r="D1626" s="2" t="n"/>
      <c r="E1626" s="5" t="n"/>
      <c r="F1626" s="5" t="n"/>
    </row>
    <row r="1627" customFormat="1" s="77">
      <c r="A1627" s="2" t="n"/>
      <c r="B1627" s="64" t="n"/>
      <c r="C1627" s="2" t="n"/>
      <c r="D1627" s="2" t="n"/>
      <c r="E1627" s="5" t="n"/>
      <c r="F1627" s="5" t="n"/>
    </row>
    <row r="1628" customFormat="1" s="77">
      <c r="A1628" s="2" t="n"/>
      <c r="B1628" s="64" t="n"/>
      <c r="C1628" s="2" t="n"/>
      <c r="D1628" s="2" t="n"/>
      <c r="E1628" s="5" t="n"/>
      <c r="F1628" s="5" t="n"/>
    </row>
    <row r="1629" customFormat="1" s="77">
      <c r="A1629" s="2" t="n"/>
      <c r="B1629" s="64" t="n"/>
      <c r="C1629" s="2" t="n"/>
      <c r="D1629" s="2" t="n"/>
      <c r="E1629" s="5" t="n"/>
      <c r="F1629" s="5" t="n"/>
    </row>
    <row r="1630" customFormat="1" s="77">
      <c r="A1630" s="2" t="n"/>
      <c r="B1630" s="64" t="n"/>
      <c r="C1630" s="2" t="n"/>
      <c r="D1630" s="2" t="n"/>
      <c r="E1630" s="5" t="n"/>
      <c r="F1630" s="5" t="n"/>
    </row>
    <row r="1631" customFormat="1" s="77">
      <c r="A1631" s="2" t="n"/>
      <c r="B1631" s="64" t="n"/>
      <c r="C1631" s="2" t="n"/>
      <c r="D1631" s="2" t="n"/>
      <c r="E1631" s="5" t="n"/>
      <c r="F1631" s="5" t="n"/>
    </row>
    <row r="1632" customFormat="1" s="77">
      <c r="A1632" s="2" t="n"/>
      <c r="B1632" s="64" t="n"/>
      <c r="C1632" s="2" t="n"/>
      <c r="D1632" s="2" t="n"/>
      <c r="E1632" s="5" t="n"/>
      <c r="F1632" s="5" t="n"/>
    </row>
    <row r="1633" customFormat="1" s="77">
      <c r="A1633" s="2" t="n"/>
      <c r="B1633" s="64" t="n"/>
      <c r="C1633" s="2" t="n"/>
      <c r="D1633" s="2" t="n"/>
      <c r="E1633" s="5" t="n"/>
      <c r="F1633" s="5" t="n"/>
    </row>
    <row r="1634" customFormat="1" s="77">
      <c r="A1634" s="2" t="n"/>
      <c r="B1634" s="64" t="n"/>
      <c r="C1634" s="2" t="n"/>
      <c r="D1634" s="2" t="n"/>
      <c r="E1634" s="5" t="n"/>
      <c r="F1634" s="5" t="n"/>
    </row>
    <row r="1635" customFormat="1" s="77">
      <c r="A1635" s="2" t="n"/>
      <c r="B1635" s="64" t="n"/>
      <c r="C1635" s="2" t="n"/>
      <c r="D1635" s="2" t="n"/>
      <c r="E1635" s="5" t="n"/>
      <c r="F1635" s="5" t="n"/>
    </row>
    <row r="1636" customFormat="1" s="77">
      <c r="A1636" s="2" t="n"/>
      <c r="B1636" s="64" t="n"/>
      <c r="C1636" s="2" t="n"/>
      <c r="D1636" s="2" t="n"/>
      <c r="E1636" s="5" t="n"/>
      <c r="F1636" s="5" t="n"/>
    </row>
    <row r="1637" customFormat="1" s="77">
      <c r="A1637" s="2" t="n"/>
      <c r="B1637" s="64" t="n"/>
      <c r="C1637" s="2" t="n"/>
      <c r="D1637" s="2" t="n"/>
      <c r="E1637" s="5" t="n"/>
      <c r="F1637" s="5" t="n"/>
    </row>
    <row r="1638" customFormat="1" s="77">
      <c r="A1638" s="2" t="n"/>
      <c r="B1638" s="64" t="n"/>
      <c r="C1638" s="2" t="n"/>
      <c r="D1638" s="2" t="n"/>
      <c r="E1638" s="5" t="n"/>
      <c r="F1638" s="5" t="n"/>
    </row>
    <row r="1639" customFormat="1" s="77">
      <c r="A1639" s="2" t="n"/>
      <c r="B1639" s="64" t="n"/>
      <c r="C1639" s="2" t="n"/>
      <c r="D1639" s="2" t="n"/>
      <c r="E1639" s="5" t="n"/>
      <c r="F1639" s="5" t="n"/>
    </row>
    <row r="1640" customFormat="1" s="77">
      <c r="A1640" s="2" t="n"/>
      <c r="B1640" s="64" t="n"/>
      <c r="C1640" s="2" t="n"/>
      <c r="D1640" s="2" t="n"/>
      <c r="E1640" s="5" t="n"/>
      <c r="F1640" s="5" t="n"/>
    </row>
    <row r="1641" customFormat="1" s="77">
      <c r="A1641" s="2" t="n"/>
      <c r="B1641" s="64" t="n"/>
      <c r="C1641" s="2" t="n"/>
      <c r="D1641" s="2" t="n"/>
      <c r="E1641" s="5" t="n"/>
      <c r="F1641" s="5" t="n"/>
    </row>
    <row r="1642" customFormat="1" s="77">
      <c r="A1642" s="2" t="n"/>
      <c r="B1642" s="64" t="n"/>
      <c r="C1642" s="2" t="n"/>
      <c r="D1642" s="2" t="n"/>
      <c r="E1642" s="5" t="n"/>
      <c r="F1642" s="5" t="n"/>
    </row>
    <row r="1643" customFormat="1" s="77">
      <c r="A1643" s="2" t="n"/>
      <c r="B1643" s="64" t="n"/>
      <c r="C1643" s="2" t="n"/>
      <c r="D1643" s="2" t="n"/>
      <c r="E1643" s="5" t="n"/>
      <c r="F1643" s="5" t="n"/>
    </row>
    <row r="1644" customFormat="1" s="77">
      <c r="A1644" s="2" t="n"/>
      <c r="B1644" s="64" t="n"/>
      <c r="C1644" s="2" t="n"/>
      <c r="D1644" s="2" t="n"/>
      <c r="E1644" s="5" t="n"/>
      <c r="F1644" s="5" t="n"/>
    </row>
    <row r="1645" customFormat="1" s="77">
      <c r="A1645" s="2" t="n"/>
      <c r="B1645" s="64" t="n"/>
      <c r="C1645" s="2" t="n"/>
      <c r="D1645" s="2" t="n"/>
      <c r="E1645" s="5" t="n"/>
      <c r="F1645" s="5" t="n"/>
    </row>
    <row r="1646" customFormat="1" s="77">
      <c r="A1646" s="2" t="n"/>
      <c r="B1646" s="64" t="n"/>
      <c r="C1646" s="2" t="n"/>
      <c r="D1646" s="2" t="n"/>
      <c r="E1646" s="5" t="n"/>
      <c r="F1646" s="5" t="n"/>
    </row>
    <row r="1647" customFormat="1" s="77">
      <c r="A1647" s="2" t="n"/>
      <c r="B1647" s="64" t="n"/>
      <c r="C1647" s="2" t="n"/>
      <c r="D1647" s="2" t="n"/>
      <c r="E1647" s="5" t="n"/>
      <c r="F1647" s="5" t="n"/>
    </row>
    <row r="1648" customFormat="1" s="77">
      <c r="A1648" s="2" t="n"/>
      <c r="B1648" s="64" t="n"/>
      <c r="C1648" s="2" t="n"/>
      <c r="D1648" s="2" t="n"/>
      <c r="E1648" s="5" t="n"/>
      <c r="F1648" s="5" t="n"/>
    </row>
    <row r="1649" customFormat="1" s="77">
      <c r="A1649" s="2" t="n"/>
      <c r="B1649" s="64" t="n"/>
      <c r="C1649" s="2" t="n"/>
      <c r="D1649" s="2" t="n"/>
      <c r="E1649" s="5" t="n"/>
      <c r="F1649" s="5" t="n"/>
    </row>
    <row r="1650" customFormat="1" s="77">
      <c r="A1650" s="2" t="n"/>
      <c r="B1650" s="64" t="n"/>
      <c r="C1650" s="2" t="n"/>
      <c r="D1650" s="2" t="n"/>
      <c r="E1650" s="5" t="n"/>
      <c r="F1650" s="5" t="n"/>
    </row>
    <row r="1651" customFormat="1" s="77">
      <c r="A1651" s="2" t="n"/>
      <c r="B1651" s="64" t="n"/>
      <c r="C1651" s="2" t="n"/>
      <c r="D1651" s="2" t="n"/>
      <c r="E1651" s="5" t="n"/>
      <c r="F1651" s="5" t="n"/>
    </row>
    <row r="1652" customFormat="1" s="77">
      <c r="A1652" s="2" t="n"/>
      <c r="B1652" s="64" t="n"/>
      <c r="C1652" s="2" t="n"/>
      <c r="D1652" s="2" t="n"/>
      <c r="E1652" s="5" t="n"/>
      <c r="F1652" s="5" t="n"/>
    </row>
    <row r="1653" customFormat="1" s="77">
      <c r="A1653" s="2" t="n"/>
      <c r="B1653" s="64" t="n"/>
      <c r="C1653" s="2" t="n"/>
      <c r="D1653" s="2" t="n"/>
      <c r="E1653" s="5" t="n"/>
      <c r="F1653" s="5" t="n"/>
    </row>
    <row r="1654" customFormat="1" s="77">
      <c r="A1654" s="2" t="n"/>
      <c r="B1654" s="64" t="n"/>
      <c r="C1654" s="2" t="n"/>
      <c r="D1654" s="2" t="n"/>
      <c r="E1654" s="5" t="n"/>
      <c r="F1654" s="5" t="n"/>
    </row>
    <row r="1655" customFormat="1" s="77">
      <c r="A1655" s="2" t="n"/>
      <c r="B1655" s="64" t="n"/>
      <c r="C1655" s="2" t="n"/>
      <c r="D1655" s="2" t="n"/>
      <c r="E1655" s="5" t="n"/>
      <c r="F1655" s="5" t="n"/>
    </row>
    <row r="1656" customFormat="1" s="77">
      <c r="A1656" s="2" t="n"/>
      <c r="B1656" s="64" t="n"/>
      <c r="C1656" s="2" t="n"/>
      <c r="D1656" s="2" t="n"/>
      <c r="E1656" s="5" t="n"/>
      <c r="F1656" s="5" t="n"/>
    </row>
    <row r="1657" customFormat="1" s="77">
      <c r="A1657" s="2" t="n"/>
      <c r="B1657" s="64" t="n"/>
      <c r="C1657" s="2" t="n"/>
      <c r="D1657" s="2" t="n"/>
      <c r="E1657" s="5" t="n"/>
      <c r="F1657" s="5" t="n"/>
    </row>
    <row r="1658" customFormat="1" s="77">
      <c r="A1658" s="2" t="n"/>
      <c r="B1658" s="64" t="n"/>
      <c r="C1658" s="2" t="n"/>
      <c r="D1658" s="2" t="n"/>
      <c r="E1658" s="5" t="n"/>
      <c r="F1658" s="5" t="n"/>
    </row>
    <row r="1659" customFormat="1" s="77">
      <c r="A1659" s="2" t="n"/>
      <c r="B1659" s="64" t="n"/>
      <c r="C1659" s="2" t="n"/>
      <c r="D1659" s="2" t="n"/>
      <c r="E1659" s="5" t="n"/>
      <c r="F1659" s="5" t="n"/>
    </row>
    <row r="1660" customFormat="1" s="77">
      <c r="A1660" s="2" t="n"/>
      <c r="B1660" s="64" t="n"/>
      <c r="C1660" s="2" t="n"/>
      <c r="D1660" s="2" t="n"/>
      <c r="E1660" s="5" t="n"/>
      <c r="F1660" s="5" t="n"/>
    </row>
    <row r="1661" customFormat="1" s="77">
      <c r="A1661" s="2" t="n"/>
      <c r="B1661" s="64" t="n"/>
      <c r="C1661" s="2" t="n"/>
      <c r="D1661" s="2" t="n"/>
      <c r="E1661" s="5" t="n"/>
      <c r="F1661" s="5" t="n"/>
    </row>
    <row r="1662" customFormat="1" s="77">
      <c r="A1662" s="2" t="n"/>
      <c r="B1662" s="64" t="n"/>
      <c r="C1662" s="2" t="n"/>
      <c r="D1662" s="2" t="n"/>
      <c r="E1662" s="5" t="n"/>
      <c r="F1662" s="5" t="n"/>
    </row>
    <row r="1663" customFormat="1" s="77">
      <c r="A1663" s="2" t="n"/>
      <c r="B1663" s="64" t="n"/>
      <c r="C1663" s="2" t="n"/>
      <c r="D1663" s="2" t="n"/>
      <c r="E1663" s="5" t="n"/>
      <c r="F1663" s="5" t="n"/>
    </row>
    <row r="1664" customFormat="1" s="77">
      <c r="A1664" s="2" t="n"/>
      <c r="B1664" s="64" t="n"/>
      <c r="C1664" s="2" t="n"/>
      <c r="D1664" s="2" t="n"/>
      <c r="E1664" s="5" t="n"/>
      <c r="F1664" s="5" t="n"/>
    </row>
    <row r="1665" customFormat="1" s="77">
      <c r="A1665" s="2" t="n"/>
      <c r="B1665" s="64" t="n"/>
      <c r="C1665" s="2" t="n"/>
      <c r="D1665" s="2" t="n"/>
      <c r="E1665" s="5" t="n"/>
      <c r="F1665" s="5" t="n"/>
    </row>
    <row r="1666" customFormat="1" s="77">
      <c r="A1666" s="2" t="n"/>
      <c r="B1666" s="64" t="n"/>
      <c r="C1666" s="2" t="n"/>
      <c r="D1666" s="2" t="n"/>
      <c r="E1666" s="5" t="n"/>
      <c r="F1666" s="5" t="n"/>
    </row>
    <row r="1667" customFormat="1" s="77">
      <c r="A1667" s="2" t="n"/>
      <c r="B1667" s="64" t="n"/>
      <c r="C1667" s="2" t="n"/>
      <c r="D1667" s="2" t="n"/>
      <c r="E1667" s="5" t="n"/>
      <c r="F1667" s="5" t="n"/>
    </row>
    <row r="1668" customFormat="1" s="77">
      <c r="A1668" s="2" t="n"/>
      <c r="B1668" s="64" t="n"/>
      <c r="C1668" s="2" t="n"/>
      <c r="D1668" s="2" t="n"/>
      <c r="E1668" s="5" t="n"/>
      <c r="F1668" s="5" t="n"/>
    </row>
    <row r="1669" customFormat="1" s="77">
      <c r="A1669" s="2" t="n"/>
      <c r="B1669" s="64" t="n"/>
      <c r="C1669" s="2" t="n"/>
      <c r="D1669" s="2" t="n"/>
      <c r="E1669" s="5" t="n"/>
      <c r="F1669" s="5" t="n"/>
    </row>
    <row r="1670" customFormat="1" s="77">
      <c r="A1670" s="2" t="n"/>
      <c r="B1670" s="64" t="n"/>
      <c r="C1670" s="2" t="n"/>
      <c r="D1670" s="2" t="n"/>
      <c r="E1670" s="5" t="n"/>
      <c r="F1670" s="5" t="n"/>
    </row>
    <row r="1671" customFormat="1" s="77">
      <c r="A1671" s="2" t="n"/>
      <c r="B1671" s="64" t="n"/>
      <c r="C1671" s="2" t="n"/>
      <c r="D1671" s="2" t="n"/>
      <c r="E1671" s="5" t="n"/>
      <c r="F1671" s="5" t="n"/>
    </row>
    <row r="1672" customFormat="1" s="77">
      <c r="A1672" s="2" t="n"/>
      <c r="B1672" s="64" t="n"/>
      <c r="C1672" s="2" t="n"/>
      <c r="D1672" s="2" t="n"/>
      <c r="E1672" s="5" t="n"/>
      <c r="F1672" s="5" t="n"/>
    </row>
    <row r="1673" customFormat="1" s="77">
      <c r="A1673" s="2" t="n"/>
      <c r="B1673" s="64" t="n"/>
      <c r="C1673" s="2" t="n"/>
      <c r="D1673" s="2" t="n"/>
      <c r="E1673" s="5" t="n"/>
      <c r="F1673" s="5" t="n"/>
    </row>
    <row r="1674" customFormat="1" s="77">
      <c r="A1674" s="2" t="n"/>
      <c r="B1674" s="64" t="n"/>
      <c r="C1674" s="2" t="n"/>
      <c r="D1674" s="2" t="n"/>
      <c r="E1674" s="5" t="n"/>
      <c r="F1674" s="5" t="n"/>
    </row>
    <row r="1675" customFormat="1" s="77">
      <c r="A1675" s="2" t="n"/>
      <c r="B1675" s="64" t="n"/>
      <c r="C1675" s="2" t="n"/>
      <c r="D1675" s="2" t="n"/>
      <c r="E1675" s="5" t="n"/>
      <c r="F1675" s="5" t="n"/>
    </row>
    <row r="1676" customFormat="1" s="77">
      <c r="A1676" s="2" t="n"/>
      <c r="B1676" s="64" t="n"/>
      <c r="C1676" s="2" t="n"/>
      <c r="D1676" s="2" t="n"/>
      <c r="E1676" s="5" t="n"/>
      <c r="F1676" s="5" t="n"/>
    </row>
    <row r="1677" customFormat="1" s="77">
      <c r="A1677" s="2" t="n"/>
      <c r="B1677" s="64" t="n"/>
      <c r="C1677" s="2" t="n"/>
      <c r="D1677" s="2" t="n"/>
      <c r="E1677" s="5" t="n"/>
      <c r="F1677" s="5" t="n"/>
    </row>
    <row r="1678" customFormat="1" s="77">
      <c r="A1678" s="2" t="n"/>
      <c r="B1678" s="64" t="n"/>
      <c r="C1678" s="2" t="n"/>
      <c r="D1678" s="2" t="n"/>
      <c r="E1678" s="5" t="n"/>
      <c r="F1678" s="5" t="n"/>
    </row>
    <row r="1679" customFormat="1" s="77">
      <c r="A1679" s="2" t="n"/>
      <c r="B1679" s="64" t="n"/>
      <c r="C1679" s="2" t="n"/>
      <c r="D1679" s="2" t="n"/>
      <c r="E1679" s="5" t="n"/>
      <c r="F1679" s="5" t="n"/>
    </row>
    <row r="1680" customFormat="1" s="77">
      <c r="A1680" s="2" t="n"/>
      <c r="B1680" s="64" t="n"/>
      <c r="C1680" s="2" t="n"/>
      <c r="D1680" s="2" t="n"/>
      <c r="E1680" s="5" t="n"/>
      <c r="F1680" s="5" t="n"/>
    </row>
    <row r="1681" customFormat="1" s="77">
      <c r="A1681" s="2" t="n"/>
      <c r="B1681" s="64" t="n"/>
      <c r="C1681" s="2" t="n"/>
      <c r="D1681" s="2" t="n"/>
      <c r="E1681" s="5" t="n"/>
      <c r="F1681" s="5" t="n"/>
    </row>
    <row r="1682" customFormat="1" s="77">
      <c r="A1682" s="2" t="n"/>
      <c r="B1682" s="64" t="n"/>
      <c r="C1682" s="2" t="n"/>
      <c r="D1682" s="2" t="n"/>
      <c r="E1682" s="5" t="n"/>
      <c r="F1682" s="5" t="n"/>
    </row>
    <row r="1683" customFormat="1" s="77">
      <c r="A1683" s="2" t="n"/>
      <c r="B1683" s="64" t="n"/>
      <c r="C1683" s="2" t="n"/>
      <c r="D1683" s="2" t="n"/>
      <c r="E1683" s="5" t="n"/>
      <c r="F1683" s="5" t="n"/>
    </row>
    <row r="1684" customFormat="1" s="77">
      <c r="A1684" s="2" t="n"/>
      <c r="B1684" s="64" t="n"/>
      <c r="C1684" s="2" t="n"/>
      <c r="D1684" s="2" t="n"/>
      <c r="E1684" s="5" t="n"/>
      <c r="F1684" s="5" t="n"/>
    </row>
    <row r="1685" customFormat="1" s="77">
      <c r="A1685" s="2" t="n"/>
      <c r="B1685" s="64" t="n"/>
      <c r="C1685" s="2" t="n"/>
      <c r="D1685" s="2" t="n"/>
      <c r="E1685" s="5" t="n"/>
      <c r="F1685" s="5" t="n"/>
    </row>
    <row r="1686" customFormat="1" s="77">
      <c r="A1686" s="2" t="n"/>
      <c r="B1686" s="64" t="n"/>
      <c r="C1686" s="2" t="n"/>
      <c r="D1686" s="2" t="n"/>
      <c r="E1686" s="5" t="n"/>
      <c r="F1686" s="5" t="n"/>
    </row>
    <row r="1687" customFormat="1" s="77">
      <c r="A1687" s="2" t="n"/>
      <c r="B1687" s="64" t="n"/>
      <c r="C1687" s="2" t="n"/>
      <c r="D1687" s="2" t="n"/>
      <c r="E1687" s="5" t="n"/>
      <c r="F1687" s="5" t="n"/>
    </row>
    <row r="1688" customFormat="1" s="77">
      <c r="A1688" s="2" t="n"/>
      <c r="B1688" s="64" t="n"/>
      <c r="C1688" s="2" t="n"/>
      <c r="D1688" s="2" t="n"/>
      <c r="E1688" s="5" t="n"/>
      <c r="F1688" s="5" t="n"/>
    </row>
    <row r="1689" customFormat="1" s="77">
      <c r="A1689" s="2" t="n"/>
      <c r="B1689" s="64" t="n"/>
      <c r="C1689" s="2" t="n"/>
      <c r="D1689" s="2" t="n"/>
      <c r="E1689" s="5" t="n"/>
      <c r="F1689" s="5" t="n"/>
    </row>
    <row r="1690" customFormat="1" s="77">
      <c r="A1690" s="2" t="n"/>
      <c r="B1690" s="64" t="n"/>
      <c r="C1690" s="2" t="n"/>
      <c r="D1690" s="2" t="n"/>
      <c r="E1690" s="5" t="n"/>
      <c r="F1690" s="5" t="n"/>
    </row>
    <row r="1691" customFormat="1" s="77">
      <c r="A1691" s="2" t="n"/>
      <c r="B1691" s="64" t="n"/>
      <c r="C1691" s="2" t="n"/>
      <c r="D1691" s="2" t="n"/>
      <c r="E1691" s="5" t="n"/>
      <c r="F1691" s="5" t="n"/>
    </row>
    <row r="1692" customFormat="1" s="77">
      <c r="A1692" s="2" t="n"/>
      <c r="B1692" s="64" t="n"/>
      <c r="C1692" s="2" t="n"/>
      <c r="D1692" s="2" t="n"/>
      <c r="E1692" s="5" t="n"/>
      <c r="F1692" s="5" t="n"/>
    </row>
    <row r="1693" customFormat="1" s="77">
      <c r="A1693" s="2" t="n"/>
      <c r="B1693" s="64" t="n"/>
      <c r="C1693" s="2" t="n"/>
      <c r="D1693" s="2" t="n"/>
      <c r="E1693" s="5" t="n"/>
      <c r="F1693" s="5" t="n"/>
    </row>
    <row r="1694" customFormat="1" s="77">
      <c r="A1694" s="2" t="n"/>
      <c r="B1694" s="64" t="n"/>
      <c r="C1694" s="2" t="n"/>
      <c r="D1694" s="2" t="n"/>
      <c r="E1694" s="5" t="n"/>
      <c r="F1694" s="5" t="n"/>
    </row>
    <row r="1695" customFormat="1" s="77">
      <c r="A1695" s="2" t="n"/>
      <c r="B1695" s="64" t="n"/>
      <c r="C1695" s="2" t="n"/>
      <c r="D1695" s="2" t="n"/>
      <c r="E1695" s="5" t="n"/>
      <c r="F1695" s="5" t="n"/>
    </row>
    <row r="1696" customFormat="1" s="77">
      <c r="A1696" s="2" t="n"/>
      <c r="B1696" s="64" t="n"/>
      <c r="C1696" s="2" t="n"/>
      <c r="D1696" s="2" t="n"/>
      <c r="E1696" s="5" t="n"/>
      <c r="F1696" s="5" t="n"/>
    </row>
    <row r="1697" customFormat="1" s="77">
      <c r="A1697" s="2" t="n"/>
      <c r="B1697" s="64" t="n"/>
      <c r="C1697" s="2" t="n"/>
      <c r="D1697" s="2" t="n"/>
      <c r="E1697" s="5" t="n"/>
      <c r="F1697" s="5" t="n"/>
    </row>
    <row r="1698" customFormat="1" s="77">
      <c r="A1698" s="2" t="n"/>
      <c r="B1698" s="64" t="n"/>
      <c r="C1698" s="2" t="n"/>
      <c r="D1698" s="2" t="n"/>
      <c r="E1698" s="5" t="n"/>
      <c r="F1698" s="5" t="n"/>
    </row>
    <row r="1699" customFormat="1" s="77">
      <c r="A1699" s="2" t="n"/>
      <c r="B1699" s="64" t="n"/>
      <c r="C1699" s="2" t="n"/>
      <c r="D1699" s="2" t="n"/>
      <c r="E1699" s="5" t="n"/>
      <c r="F1699" s="5" t="n"/>
    </row>
    <row r="1700" customFormat="1" s="77">
      <c r="A1700" s="2" t="n"/>
      <c r="B1700" s="64" t="n"/>
      <c r="C1700" s="2" t="n"/>
      <c r="D1700" s="2" t="n"/>
      <c r="E1700" s="5" t="n"/>
      <c r="F1700" s="5" t="n"/>
    </row>
    <row r="1701" customFormat="1" s="77">
      <c r="A1701" s="2" t="n"/>
      <c r="B1701" s="64" t="n"/>
      <c r="C1701" s="2" t="n"/>
      <c r="D1701" s="2" t="n"/>
      <c r="E1701" s="5" t="n"/>
      <c r="F1701" s="5" t="n"/>
    </row>
    <row r="1702" customFormat="1" s="77">
      <c r="A1702" s="2" t="n"/>
      <c r="B1702" s="64" t="n"/>
      <c r="C1702" s="2" t="n"/>
      <c r="D1702" s="2" t="n"/>
      <c r="E1702" s="5" t="n"/>
      <c r="F1702" s="5" t="n"/>
    </row>
    <row r="1703" customFormat="1" s="77">
      <c r="A1703" s="2" t="n"/>
      <c r="B1703" s="64" t="n"/>
      <c r="C1703" s="2" t="n"/>
      <c r="D1703" s="2" t="n"/>
      <c r="E1703" s="5" t="n"/>
      <c r="F1703" s="5" t="n"/>
    </row>
    <row r="1704" customFormat="1" s="77">
      <c r="A1704" s="2" t="n"/>
      <c r="B1704" s="64" t="n"/>
      <c r="C1704" s="2" t="n"/>
      <c r="D1704" s="2" t="n"/>
      <c r="E1704" s="5" t="n"/>
      <c r="F1704" s="5" t="n"/>
    </row>
    <row r="1705" customFormat="1" s="77">
      <c r="A1705" s="2" t="n"/>
      <c r="B1705" s="64" t="n"/>
      <c r="C1705" s="2" t="n"/>
      <c r="D1705" s="2" t="n"/>
      <c r="E1705" s="5" t="n"/>
      <c r="F1705" s="5" t="n"/>
    </row>
    <row r="1706" customFormat="1" s="77">
      <c r="A1706" s="2" t="n"/>
      <c r="B1706" s="64" t="n"/>
      <c r="C1706" s="2" t="n"/>
      <c r="D1706" s="2" t="n"/>
      <c r="E1706" s="5" t="n"/>
      <c r="F1706" s="5" t="n"/>
    </row>
    <row r="1707" customFormat="1" s="77">
      <c r="A1707" s="2" t="n"/>
      <c r="B1707" s="64" t="n"/>
      <c r="C1707" s="2" t="n"/>
      <c r="D1707" s="2" t="n"/>
      <c r="E1707" s="5" t="n"/>
      <c r="F1707" s="5" t="n"/>
    </row>
    <row r="1708" customFormat="1" s="77">
      <c r="A1708" s="2" t="n"/>
      <c r="B1708" s="64" t="n"/>
      <c r="C1708" s="2" t="n"/>
      <c r="D1708" s="2" t="n"/>
      <c r="E1708" s="5" t="n"/>
      <c r="F1708" s="5" t="n"/>
    </row>
    <row r="1709" customFormat="1" s="77">
      <c r="A1709" s="2" t="n"/>
      <c r="B1709" s="64" t="n"/>
      <c r="C1709" s="2" t="n"/>
      <c r="D1709" s="2" t="n"/>
      <c r="E1709" s="5" t="n"/>
      <c r="F1709" s="5" t="n"/>
    </row>
    <row r="1710" customFormat="1" s="77">
      <c r="A1710" s="2" t="n"/>
      <c r="B1710" s="64" t="n"/>
      <c r="C1710" s="2" t="n"/>
      <c r="D1710" s="2" t="n"/>
      <c r="E1710" s="5" t="n"/>
      <c r="F1710" s="5" t="n"/>
    </row>
    <row r="1711" customFormat="1" s="77">
      <c r="A1711" s="2" t="n"/>
      <c r="B1711" s="64" t="n"/>
      <c r="C1711" s="2" t="n"/>
      <c r="D1711" s="2" t="n"/>
      <c r="E1711" s="5" t="n"/>
      <c r="F1711" s="5" t="n"/>
    </row>
    <row r="1712" customFormat="1" s="77">
      <c r="A1712" s="2" t="n"/>
      <c r="B1712" s="64" t="n"/>
      <c r="C1712" s="2" t="n"/>
      <c r="D1712" s="2" t="n"/>
      <c r="E1712" s="5" t="n"/>
      <c r="F1712" s="5" t="n"/>
    </row>
    <row r="1713" customFormat="1" s="77">
      <c r="A1713" s="2" t="n"/>
      <c r="B1713" s="64" t="n"/>
      <c r="C1713" s="2" t="n"/>
      <c r="D1713" s="2" t="n"/>
      <c r="E1713" s="5" t="n"/>
      <c r="F1713" s="5" t="n"/>
    </row>
    <row r="1714" customFormat="1" s="77">
      <c r="A1714" s="2" t="n"/>
      <c r="B1714" s="64" t="n"/>
      <c r="C1714" s="2" t="n"/>
      <c r="D1714" s="2" t="n"/>
      <c r="E1714" s="5" t="n"/>
      <c r="F1714" s="5" t="n"/>
    </row>
    <row r="1715" customFormat="1" s="77">
      <c r="A1715" s="2" t="n"/>
      <c r="B1715" s="64" t="n"/>
      <c r="C1715" s="2" t="n"/>
      <c r="D1715" s="2" t="n"/>
      <c r="E1715" s="5" t="n"/>
      <c r="F1715" s="5" t="n"/>
    </row>
    <row r="1716" customFormat="1" s="77">
      <c r="A1716" s="2" t="n"/>
      <c r="B1716" s="64" t="n"/>
      <c r="C1716" s="2" t="n"/>
      <c r="D1716" s="2" t="n"/>
      <c r="E1716" s="5" t="n"/>
      <c r="F1716" s="5" t="n"/>
    </row>
    <row r="1717" customFormat="1" s="77">
      <c r="A1717" s="2" t="n"/>
      <c r="B1717" s="64" t="n"/>
      <c r="C1717" s="2" t="n"/>
      <c r="D1717" s="2" t="n"/>
      <c r="E1717" s="5" t="n"/>
      <c r="F1717" s="5" t="n"/>
    </row>
    <row r="1718" customFormat="1" s="77">
      <c r="A1718" s="2" t="n"/>
      <c r="B1718" s="64" t="n"/>
      <c r="C1718" s="2" t="n"/>
      <c r="D1718" s="2" t="n"/>
      <c r="E1718" s="5" t="n"/>
      <c r="F1718" s="5" t="n"/>
    </row>
    <row r="1719" customFormat="1" s="77">
      <c r="A1719" s="2" t="n"/>
      <c r="B1719" s="64" t="n"/>
      <c r="C1719" s="2" t="n"/>
      <c r="D1719" s="2" t="n"/>
      <c r="E1719" s="5" t="n"/>
      <c r="F1719" s="5" t="n"/>
    </row>
    <row r="1720" customFormat="1" s="77">
      <c r="A1720" s="2" t="n"/>
      <c r="B1720" s="64" t="n"/>
      <c r="C1720" s="2" t="n"/>
      <c r="D1720" s="2" t="n"/>
      <c r="E1720" s="5" t="n"/>
      <c r="F1720" s="5" t="n"/>
    </row>
    <row r="1721" customFormat="1" s="77">
      <c r="A1721" s="2" t="n"/>
      <c r="B1721" s="64" t="n"/>
      <c r="C1721" s="2" t="n"/>
      <c r="D1721" s="2" t="n"/>
      <c r="E1721" s="5" t="n"/>
      <c r="F1721" s="5" t="n"/>
    </row>
    <row r="1722" customFormat="1" s="77">
      <c r="A1722" s="2" t="n"/>
      <c r="B1722" s="64" t="n"/>
      <c r="C1722" s="2" t="n"/>
      <c r="D1722" s="2" t="n"/>
      <c r="E1722" s="5" t="n"/>
      <c r="F1722" s="5" t="n"/>
    </row>
    <row r="1723" customFormat="1" s="77">
      <c r="A1723" s="2" t="n"/>
      <c r="B1723" s="64" t="n"/>
      <c r="C1723" s="2" t="n"/>
      <c r="D1723" s="2" t="n"/>
      <c r="E1723" s="5" t="n"/>
      <c r="F1723" s="5" t="n"/>
    </row>
    <row r="1724" customFormat="1" s="77">
      <c r="A1724" s="2" t="n"/>
      <c r="B1724" s="64" t="n"/>
      <c r="C1724" s="2" t="n"/>
      <c r="D1724" s="2" t="n"/>
      <c r="E1724" s="5" t="n"/>
      <c r="F1724" s="5" t="n"/>
    </row>
    <row r="1725" customFormat="1" s="77">
      <c r="A1725" s="2" t="n"/>
      <c r="B1725" s="64" t="n"/>
      <c r="C1725" s="2" t="n"/>
      <c r="D1725" s="2" t="n"/>
      <c r="E1725" s="5" t="n"/>
      <c r="F1725" s="5" t="n"/>
    </row>
    <row r="1726" customFormat="1" s="77">
      <c r="A1726" s="2" t="n"/>
      <c r="B1726" s="64" t="n"/>
      <c r="C1726" s="2" t="n"/>
      <c r="D1726" s="2" t="n"/>
      <c r="E1726" s="5" t="n"/>
      <c r="F1726" s="5" t="n"/>
    </row>
    <row r="1727" customFormat="1" s="77">
      <c r="A1727" s="2" t="n"/>
      <c r="B1727" s="64" t="n"/>
      <c r="C1727" s="2" t="n"/>
      <c r="D1727" s="2" t="n"/>
      <c r="E1727" s="5" t="n"/>
      <c r="F1727" s="5" t="n"/>
    </row>
    <row r="1728" customFormat="1" s="77">
      <c r="A1728" s="2" t="n"/>
      <c r="B1728" s="64" t="n"/>
      <c r="C1728" s="2" t="n"/>
      <c r="D1728" s="2" t="n"/>
      <c r="E1728" s="5" t="n"/>
      <c r="F1728" s="5" t="n"/>
    </row>
    <row r="1729" customFormat="1" s="77">
      <c r="A1729" s="2" t="n"/>
      <c r="B1729" s="64" t="n"/>
      <c r="C1729" s="2" t="n"/>
      <c r="D1729" s="2" t="n"/>
      <c r="E1729" s="5" t="n"/>
      <c r="F1729" s="5" t="n"/>
    </row>
    <row r="1730" customFormat="1" s="77">
      <c r="A1730" s="2" t="n"/>
      <c r="B1730" s="64" t="n"/>
      <c r="C1730" s="2" t="n"/>
      <c r="D1730" s="2" t="n"/>
      <c r="E1730" s="5" t="n"/>
      <c r="F1730" s="5" t="n"/>
    </row>
    <row r="1731" customFormat="1" s="77">
      <c r="A1731" s="2" t="n"/>
      <c r="B1731" s="64" t="n"/>
      <c r="C1731" s="2" t="n"/>
      <c r="D1731" s="2" t="n"/>
      <c r="E1731" s="5" t="n"/>
      <c r="F1731" s="5" t="n"/>
    </row>
    <row r="1732" customFormat="1" s="77">
      <c r="A1732" s="2" t="n"/>
      <c r="B1732" s="64" t="n"/>
      <c r="C1732" s="2" t="n"/>
      <c r="D1732" s="2" t="n"/>
      <c r="E1732" s="5" t="n"/>
      <c r="F1732" s="5" t="n"/>
    </row>
    <row r="1733" customFormat="1" s="77">
      <c r="A1733" s="2" t="n"/>
      <c r="B1733" s="64" t="n"/>
      <c r="C1733" s="2" t="n"/>
      <c r="D1733" s="2" t="n"/>
      <c r="E1733" s="5" t="n"/>
      <c r="F1733" s="5" t="n"/>
    </row>
    <row r="1734" customFormat="1" s="77">
      <c r="A1734" s="2" t="n"/>
      <c r="B1734" s="64" t="n"/>
      <c r="C1734" s="2" t="n"/>
      <c r="D1734" s="2" t="n"/>
      <c r="E1734" s="5" t="n"/>
      <c r="F1734" s="5" t="n"/>
    </row>
    <row r="1735" customFormat="1" s="77">
      <c r="A1735" s="2" t="n"/>
      <c r="B1735" s="64" t="n"/>
      <c r="C1735" s="2" t="n"/>
      <c r="D1735" s="2" t="n"/>
      <c r="E1735" s="5" t="n"/>
      <c r="F1735" s="5" t="n"/>
    </row>
    <row r="1736" customFormat="1" s="77">
      <c r="A1736" s="2" t="n"/>
      <c r="B1736" s="64" t="n"/>
      <c r="C1736" s="2" t="n"/>
      <c r="D1736" s="2" t="n"/>
      <c r="E1736" s="5" t="n"/>
      <c r="F1736" s="5" t="n"/>
    </row>
    <row r="1737" customFormat="1" s="77">
      <c r="A1737" s="2" t="n"/>
      <c r="B1737" s="64" t="n"/>
      <c r="C1737" s="2" t="n"/>
      <c r="D1737" s="2" t="n"/>
      <c r="E1737" s="5" t="n"/>
      <c r="F1737" s="5" t="n"/>
    </row>
    <row r="1738" customFormat="1" s="77">
      <c r="A1738" s="2" t="n"/>
      <c r="B1738" s="64" t="n"/>
      <c r="C1738" s="2" t="n"/>
      <c r="D1738" s="2" t="n"/>
      <c r="E1738" s="5" t="n"/>
      <c r="F1738" s="5" t="n"/>
    </row>
    <row r="1739" customFormat="1" s="77">
      <c r="A1739" s="2" t="n"/>
      <c r="B1739" s="64" t="n"/>
      <c r="C1739" s="2" t="n"/>
      <c r="D1739" s="2" t="n"/>
      <c r="E1739" s="5" t="n"/>
      <c r="F1739" s="5" t="n"/>
    </row>
    <row r="1740" customFormat="1" s="77">
      <c r="A1740" s="2" t="n"/>
      <c r="B1740" s="64" t="n"/>
      <c r="C1740" s="2" t="n"/>
      <c r="D1740" s="2" t="n"/>
      <c r="E1740" s="5" t="n"/>
      <c r="F1740" s="5" t="n"/>
    </row>
    <row r="1741" customFormat="1" s="77">
      <c r="A1741" s="2" t="n"/>
      <c r="B1741" s="64" t="n"/>
      <c r="C1741" s="2" t="n"/>
      <c r="D1741" s="2" t="n"/>
      <c r="E1741" s="5" t="n"/>
      <c r="F1741" s="5" t="n"/>
    </row>
    <row r="1742" customFormat="1" s="77">
      <c r="A1742" s="2" t="n"/>
      <c r="B1742" s="64" t="n"/>
      <c r="C1742" s="2" t="n"/>
      <c r="D1742" s="2" t="n"/>
      <c r="E1742" s="5" t="n"/>
      <c r="F1742" s="5" t="n"/>
    </row>
    <row r="1743" customFormat="1" s="77">
      <c r="A1743" s="2" t="n"/>
      <c r="B1743" s="64" t="n"/>
      <c r="C1743" s="2" t="n"/>
      <c r="D1743" s="2" t="n"/>
      <c r="E1743" s="5" t="n"/>
      <c r="F1743" s="5" t="n"/>
    </row>
    <row r="1744" customFormat="1" s="77">
      <c r="A1744" s="2" t="n"/>
      <c r="B1744" s="64" t="n"/>
      <c r="C1744" s="2" t="n"/>
      <c r="D1744" s="2" t="n"/>
      <c r="E1744" s="5" t="n"/>
      <c r="F1744" s="5" t="n"/>
    </row>
    <row r="1745" customFormat="1" s="77">
      <c r="A1745" s="2" t="n"/>
      <c r="B1745" s="64" t="n"/>
      <c r="C1745" s="2" t="n"/>
      <c r="D1745" s="2" t="n"/>
      <c r="E1745" s="5" t="n"/>
      <c r="F1745" s="5" t="n"/>
    </row>
    <row r="1746" customFormat="1" s="77">
      <c r="A1746" s="2" t="n"/>
      <c r="B1746" s="64" t="n"/>
      <c r="C1746" s="2" t="n"/>
      <c r="D1746" s="2" t="n"/>
      <c r="E1746" s="5" t="n"/>
      <c r="F1746" s="5" t="n"/>
    </row>
    <row r="1747" customFormat="1" s="77">
      <c r="A1747" s="2" t="n"/>
      <c r="B1747" s="64" t="n"/>
      <c r="C1747" s="2" t="n"/>
      <c r="D1747" s="2" t="n"/>
      <c r="E1747" s="5" t="n"/>
      <c r="F1747" s="5" t="n"/>
    </row>
    <row r="1748">
      <c r="A1748" s="2" t="n"/>
      <c r="B1748" s="64" t="n"/>
      <c r="C1748" s="2" t="n"/>
      <c r="D1748" s="2" t="n"/>
      <c r="E1748" s="5" t="n"/>
      <c r="F1748" s="5" t="n"/>
    </row>
    <row r="1749">
      <c r="A1749" s="2" t="n"/>
      <c r="B1749" s="64" t="n"/>
      <c r="C1749" s="2" t="n"/>
      <c r="D1749" s="2" t="n"/>
      <c r="E1749" s="5" t="n"/>
      <c r="F1749" s="5" t="n"/>
    </row>
    <row r="1750">
      <c r="A1750" s="2" t="n"/>
      <c r="B1750" s="64" t="n"/>
      <c r="C1750" s="2" t="n"/>
      <c r="D1750" s="2" t="n"/>
      <c r="E1750" s="5" t="n"/>
      <c r="F1750" s="5" t="n"/>
    </row>
    <row r="1751">
      <c r="A1751" s="2" t="n"/>
      <c r="B1751" s="64" t="n"/>
      <c r="C1751" s="2" t="n"/>
      <c r="D1751" s="2" t="n"/>
      <c r="E1751" s="5" t="n"/>
      <c r="F1751" s="5" t="n"/>
    </row>
    <row r="1752">
      <c r="A1752" s="2" t="n"/>
      <c r="B1752" s="64" t="n"/>
      <c r="C1752" s="2" t="n"/>
      <c r="D1752" s="2" t="n"/>
      <c r="E1752" s="5" t="n"/>
      <c r="F1752" s="5" t="n"/>
    </row>
    <row r="1753">
      <c r="A1753" s="2" t="n"/>
      <c r="B1753" s="64" t="n"/>
      <c r="C1753" s="2" t="n"/>
      <c r="D1753" s="2" t="n"/>
      <c r="E1753" s="5" t="n"/>
      <c r="F1753" s="5" t="n"/>
    </row>
    <row r="1754">
      <c r="A1754" s="2" t="n"/>
      <c r="B1754" s="64" t="n"/>
      <c r="C1754" s="2" t="n"/>
      <c r="D1754" s="2" t="n"/>
      <c r="E1754" s="5" t="n"/>
      <c r="F1754" s="5" t="n"/>
    </row>
    <row r="1755">
      <c r="A1755" s="2" t="n"/>
      <c r="B1755" s="64" t="n"/>
      <c r="C1755" s="2" t="n"/>
      <c r="D1755" s="2" t="n"/>
      <c r="E1755" s="5" t="n"/>
      <c r="F1755" s="5" t="n"/>
    </row>
    <row r="1756">
      <c r="A1756" s="2" t="n"/>
      <c r="B1756" s="64" t="n"/>
      <c r="C1756" s="2" t="n"/>
      <c r="D1756" s="2" t="n"/>
      <c r="E1756" s="5" t="n"/>
      <c r="F1756" s="5" t="n"/>
    </row>
    <row r="1757">
      <c r="A1757" s="2" t="n"/>
      <c r="B1757" s="64" t="n"/>
      <c r="C1757" s="2" t="n"/>
      <c r="D1757" s="2" t="n"/>
      <c r="E1757" s="5" t="n"/>
      <c r="F1757" s="5" t="n"/>
    </row>
    <row r="1758">
      <c r="A1758" s="2" t="n"/>
      <c r="B1758" s="64" t="n"/>
      <c r="C1758" s="2" t="n"/>
      <c r="D1758" s="2" t="n"/>
      <c r="E1758" s="5" t="n"/>
      <c r="F1758" s="5" t="n"/>
    </row>
    <row r="1759">
      <c r="A1759" s="2" t="n"/>
      <c r="B1759" s="64" t="n"/>
      <c r="C1759" s="2" t="n"/>
      <c r="D1759" s="2" t="n"/>
      <c r="E1759" s="5" t="n"/>
      <c r="F1759" s="5" t="n"/>
    </row>
    <row r="1760">
      <c r="A1760" s="2" t="n"/>
      <c r="B1760" s="64" t="n"/>
      <c r="C1760" s="2" t="n"/>
      <c r="D1760" s="2" t="n"/>
      <c r="E1760" s="5" t="n"/>
      <c r="F1760" s="5" t="n"/>
    </row>
    <row r="1761">
      <c r="A1761" s="2" t="n"/>
      <c r="B1761" s="64" t="n"/>
      <c r="C1761" s="2" t="n"/>
      <c r="D1761" s="2" t="n"/>
      <c r="E1761" s="5" t="n"/>
      <c r="F1761" s="5" t="n"/>
    </row>
    <row r="1762">
      <c r="A1762" s="2" t="n"/>
      <c r="B1762" s="64" t="n"/>
      <c r="C1762" s="2" t="n"/>
      <c r="D1762" s="2" t="n"/>
      <c r="E1762" s="5" t="n"/>
      <c r="F1762" s="5" t="n"/>
    </row>
    <row r="1763">
      <c r="A1763" s="2" t="n"/>
      <c r="B1763" s="64" t="n"/>
      <c r="C1763" s="2" t="n"/>
      <c r="D1763" s="2" t="n"/>
      <c r="E1763" s="5" t="n"/>
      <c r="F1763" s="5" t="n"/>
    </row>
    <row r="1764">
      <c r="A1764" s="2" t="n"/>
      <c r="B1764" s="64" t="n"/>
      <c r="C1764" s="2" t="n"/>
      <c r="D1764" s="2" t="n"/>
      <c r="E1764" s="5" t="n"/>
      <c r="F1764" s="5" t="n"/>
    </row>
    <row r="1765">
      <c r="A1765" s="2" t="n"/>
      <c r="B1765" s="64" t="n"/>
      <c r="C1765" s="2" t="n"/>
      <c r="D1765" s="2" t="n"/>
      <c r="E1765" s="5" t="n"/>
      <c r="F1765" s="5" t="n"/>
    </row>
    <row r="1766">
      <c r="A1766" s="2" t="n"/>
      <c r="B1766" s="64" t="n"/>
      <c r="C1766" s="2" t="n"/>
      <c r="D1766" s="2" t="n"/>
      <c r="E1766" s="5" t="n"/>
      <c r="F1766" s="5" t="n"/>
    </row>
    <row r="1767">
      <c r="A1767" s="2" t="n"/>
      <c r="B1767" s="64" t="n"/>
      <c r="C1767" s="2" t="n"/>
      <c r="D1767" s="2" t="n"/>
      <c r="E1767" s="5" t="n"/>
      <c r="F1767" s="5" t="n"/>
    </row>
    <row r="1768">
      <c r="A1768" s="2" t="n"/>
      <c r="B1768" s="64" t="n"/>
      <c r="C1768" s="2" t="n"/>
      <c r="D1768" s="2" t="n"/>
      <c r="E1768" s="5" t="n"/>
      <c r="F1768" s="5" t="n"/>
    </row>
    <row r="1769">
      <c r="A1769" s="2" t="n"/>
      <c r="B1769" s="64" t="n"/>
      <c r="C1769" s="2" t="n"/>
      <c r="D1769" s="2" t="n"/>
      <c r="E1769" s="5" t="n"/>
      <c r="F1769" s="5" t="n"/>
    </row>
    <row r="1770">
      <c r="A1770" s="2" t="n"/>
      <c r="B1770" s="64" t="n"/>
      <c r="C1770" s="2" t="n"/>
      <c r="D1770" s="2" t="n"/>
      <c r="E1770" s="5" t="n"/>
      <c r="F1770" s="5" t="n"/>
    </row>
    <row r="1771">
      <c r="A1771" s="2" t="n"/>
      <c r="B1771" s="64" t="n"/>
      <c r="C1771" s="2" t="n"/>
      <c r="D1771" s="2" t="n"/>
      <c r="E1771" s="5" t="n"/>
      <c r="F1771" s="5" t="n"/>
    </row>
    <row r="1772">
      <c r="A1772" s="2" t="n"/>
      <c r="B1772" s="64" t="n"/>
      <c r="C1772" s="2" t="n"/>
      <c r="D1772" s="2" t="n"/>
      <c r="E1772" s="5" t="n"/>
      <c r="F1772" s="5" t="n"/>
    </row>
    <row r="1773">
      <c r="A1773" s="2" t="n"/>
      <c r="B1773" s="64" t="n"/>
      <c r="C1773" s="2" t="n"/>
      <c r="D1773" s="2" t="n"/>
      <c r="E1773" s="5" t="n"/>
      <c r="F1773" s="5" t="n"/>
    </row>
    <row r="1774">
      <c r="A1774" s="2" t="n"/>
      <c r="B1774" s="64" t="n"/>
      <c r="C1774" s="2" t="n"/>
      <c r="D1774" s="2" t="n"/>
      <c r="E1774" s="5" t="n"/>
      <c r="F1774" s="5" t="n"/>
    </row>
    <row r="1775">
      <c r="A1775" s="2" t="n"/>
      <c r="B1775" s="64" t="n"/>
      <c r="C1775" s="2" t="n"/>
      <c r="D1775" s="2" t="n"/>
      <c r="E1775" s="5" t="n"/>
      <c r="F1775" s="5" t="n"/>
    </row>
    <row r="1776">
      <c r="A1776" s="2" t="n"/>
      <c r="B1776" s="64" t="n"/>
      <c r="C1776" s="2" t="n"/>
      <c r="D1776" s="2" t="n"/>
      <c r="E1776" s="5" t="n"/>
      <c r="F1776" s="5" t="n"/>
    </row>
    <row r="1777">
      <c r="A1777" s="2" t="n"/>
      <c r="B1777" s="64" t="n"/>
      <c r="C1777" s="2" t="n"/>
      <c r="D1777" s="2" t="n"/>
      <c r="E1777" s="5" t="n"/>
      <c r="F1777" s="5" t="n"/>
    </row>
    <row r="1778">
      <c r="A1778" s="2" t="n"/>
      <c r="B1778" s="64" t="n"/>
      <c r="C1778" s="2" t="n"/>
      <c r="D1778" s="2" t="n"/>
      <c r="E1778" s="5" t="n"/>
      <c r="F1778" s="5" t="n"/>
    </row>
    <row r="1779">
      <c r="A1779" s="2" t="n"/>
      <c r="B1779" s="64" t="n"/>
      <c r="C1779" s="2" t="n"/>
      <c r="D1779" s="2" t="n"/>
      <c r="E1779" s="5" t="n"/>
      <c r="F1779" s="5" t="n"/>
    </row>
    <row r="1780">
      <c r="A1780" s="2" t="n"/>
      <c r="B1780" s="64" t="n"/>
      <c r="C1780" s="2" t="n"/>
      <c r="D1780" s="2" t="n"/>
      <c r="E1780" s="5" t="n"/>
      <c r="F1780" s="5" t="n"/>
    </row>
    <row r="1781">
      <c r="A1781" s="2" t="n"/>
      <c r="B1781" s="64" t="n"/>
      <c r="C1781" s="2" t="n"/>
      <c r="D1781" s="2" t="n"/>
      <c r="E1781" s="5" t="n"/>
      <c r="F1781" s="5" t="n"/>
    </row>
    <row r="1782">
      <c r="A1782" s="2" t="n"/>
      <c r="B1782" s="64" t="n"/>
      <c r="C1782" s="2" t="n"/>
      <c r="D1782" s="2" t="n"/>
      <c r="E1782" s="5" t="n"/>
      <c r="F1782" s="5" t="n"/>
    </row>
    <row r="1783">
      <c r="A1783" s="2" t="n"/>
      <c r="B1783" s="64" t="n"/>
      <c r="C1783" s="2" t="n"/>
      <c r="D1783" s="2" t="n"/>
      <c r="E1783" s="5" t="n"/>
      <c r="F1783" s="5" t="n"/>
    </row>
  </sheetData>
  <conditionalFormatting sqref="D761:D906">
    <cfRule type="colorScale" priority="43">
      <colorScale>
        <cfvo type="min"/>
        <cfvo type="percentile" val="50"/>
        <cfvo type="max"/>
        <color rgb="FFF8696B"/>
        <color rgb="FFFFEB84"/>
        <color rgb="FF63BE7B"/>
      </colorScale>
    </cfRule>
  </conditionalFormatting>
  <conditionalFormatting sqref="C761:C90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08"/>
  <sheetViews>
    <sheetView topLeftCell="D1" zoomScale="120" zoomScaleNormal="120" workbookViewId="0">
      <pane ySplit="4" topLeftCell="A647" activePane="bottomLeft" state="frozen"/>
      <selection activeCell="N27" sqref="N27"/>
      <selection pane="bottomLeft" activeCell="E672" sqref="E672"/>
    </sheetView>
  </sheetViews>
  <sheetFormatPr baseColWidth="10" defaultColWidth="8.83203125" defaultRowHeight="15"/>
  <cols>
    <col width="8.6640625" customWidth="1" style="1" min="1" max="1"/>
    <col width="20.33203125" customWidth="1" style="62" min="2" max="2"/>
    <col width="18.6640625" customWidth="1" style="1" min="3" max="3"/>
    <col width="20.1640625" customWidth="1" style="1" min="4" max="4"/>
    <col width="20.6640625" customWidth="1" style="77" min="5" max="5"/>
    <col width="9.1640625" customWidth="1" style="77" min="6" max="175"/>
  </cols>
  <sheetData>
    <row r="1" customFormat="1" s="77">
      <c r="A1" s="7" t="inlineStr">
        <is>
          <t>CPIFABSL</t>
        </is>
      </c>
      <c r="B1" s="69" t="inlineStr">
        <is>
          <t>Consumer Price Index for All Urban Consumers: Food and Beverages (CPIFABSL), Index 1982-84=100, Monthly, Seasonally Adjusted</t>
        </is>
      </c>
      <c r="C1" s="2" t="n"/>
      <c r="D1" s="2" t="n"/>
    </row>
    <row r="2" customFormat="1" s="77">
      <c r="A2" s="2" t="n"/>
      <c r="B2" s="64" t="n"/>
      <c r="C2" s="2" t="n"/>
      <c r="D2" s="2" t="n"/>
    </row>
    <row r="3" ht="16" customFormat="1" customHeight="1" s="77" thickBot="1">
      <c r="A3" s="2" t="n"/>
      <c r="B3" s="64" t="n"/>
      <c r="C3" s="2" t="n"/>
      <c r="D3" s="2" t="n"/>
    </row>
    <row r="4" ht="38.25" customHeight="1" s="60" thickBot="1">
      <c r="A4" s="22" t="inlineStr">
        <is>
          <t>Date</t>
        </is>
      </c>
      <c r="B4" s="65" t="inlineStr">
        <is>
          <t>Food and Beverages</t>
        </is>
      </c>
      <c r="C4" s="20" t="inlineStr">
        <is>
          <t>Food and Beverages m/m %</t>
        </is>
      </c>
      <c r="D4" s="21" t="inlineStr">
        <is>
          <t>Food and Beverages y/y %</t>
        </is>
      </c>
    </row>
    <row r="5">
      <c r="A5" s="66" t="n">
        <v>24473</v>
      </c>
      <c r="B5" s="67">
        <f>VLOOKUP(Table3[[#This Row],[Date]],Database!A:E,4,)</f>
        <v/>
      </c>
      <c r="C5" s="18" t="n"/>
      <c r="D5" s="18" t="n"/>
    </row>
    <row r="6">
      <c r="A6" s="61" t="n">
        <v>24504</v>
      </c>
      <c r="B6" s="68">
        <f>VLOOKUP(Table3[[#This Row],[Date]],Database!A:E,4,)</f>
        <v/>
      </c>
      <c r="C6" s="14">
        <f>(B6-B5)/B5</f>
        <v/>
      </c>
      <c r="D6" s="16" t="n"/>
    </row>
    <row r="7">
      <c r="A7" s="61" t="n">
        <v>24532</v>
      </c>
      <c r="B7" s="68">
        <f>VLOOKUP(Table3[[#This Row],[Date]],Database!A:E,4,)</f>
        <v/>
      </c>
      <c r="C7" s="14">
        <f>(B7-B6)/B6</f>
        <v/>
      </c>
      <c r="D7" s="16" t="n"/>
    </row>
    <row r="8">
      <c r="A8" s="61" t="n">
        <v>24563</v>
      </c>
      <c r="B8" s="68">
        <f>VLOOKUP(Table3[[#This Row],[Date]],Database!A:E,4,)</f>
        <v/>
      </c>
      <c r="C8" s="14">
        <f>(B8-B7)/B7</f>
        <v/>
      </c>
      <c r="D8" s="16" t="n"/>
    </row>
    <row r="9">
      <c r="A9" s="61" t="n">
        <v>24593</v>
      </c>
      <c r="B9" s="68">
        <f>VLOOKUP(Table3[[#This Row],[Date]],Database!A:E,4,)</f>
        <v/>
      </c>
      <c r="C9" s="14">
        <f>(B9-B8)/B8</f>
        <v/>
      </c>
      <c r="D9" s="16" t="n"/>
    </row>
    <row r="10">
      <c r="A10" s="61" t="n">
        <v>24624</v>
      </c>
      <c r="B10" s="68">
        <f>VLOOKUP(Table3[[#This Row],[Date]],Database!A:E,4,)</f>
        <v/>
      </c>
      <c r="C10" s="14">
        <f>(B10-B9)/B9</f>
        <v/>
      </c>
      <c r="D10" s="16" t="n"/>
    </row>
    <row r="11">
      <c r="A11" s="61" t="n">
        <v>24654</v>
      </c>
      <c r="B11" s="68">
        <f>VLOOKUP(Table3[[#This Row],[Date]],Database!A:E,4,)</f>
        <v/>
      </c>
      <c r="C11" s="14">
        <f>(B11-B10)/B10</f>
        <v/>
      </c>
      <c r="D11" s="16" t="n"/>
    </row>
    <row r="12">
      <c r="A12" s="61" t="n">
        <v>24685</v>
      </c>
      <c r="B12" s="68">
        <f>VLOOKUP(Table3[[#This Row],[Date]],Database!A:E,4,)</f>
        <v/>
      </c>
      <c r="C12" s="14">
        <f>(B12-B11)/B11</f>
        <v/>
      </c>
      <c r="D12" s="16" t="n"/>
    </row>
    <row r="13">
      <c r="A13" s="61" t="n">
        <v>24716</v>
      </c>
      <c r="B13" s="68">
        <f>VLOOKUP(Table3[[#This Row],[Date]],Database!A:E,4,)</f>
        <v/>
      </c>
      <c r="C13" s="14">
        <f>(B13-B12)/B12</f>
        <v/>
      </c>
      <c r="D13" s="16" t="n"/>
    </row>
    <row r="14">
      <c r="A14" s="61" t="n">
        <v>24746</v>
      </c>
      <c r="B14" s="68">
        <f>VLOOKUP(Table3[[#This Row],[Date]],Database!A:E,4,)</f>
        <v/>
      </c>
      <c r="C14" s="14">
        <f>(B14-B13)/B13</f>
        <v/>
      </c>
      <c r="D14" s="16" t="n"/>
    </row>
    <row r="15">
      <c r="A15" s="61" t="n">
        <v>24777</v>
      </c>
      <c r="B15" s="68">
        <f>VLOOKUP(Table3[[#This Row],[Date]],Database!A:E,4,)</f>
        <v/>
      </c>
      <c r="C15" s="14">
        <f>(B15-B14)/B14</f>
        <v/>
      </c>
      <c r="D15" s="16" t="n"/>
    </row>
    <row r="16">
      <c r="A16" s="61" t="n">
        <v>24807</v>
      </c>
      <c r="B16" s="68">
        <f>VLOOKUP(Table3[[#This Row],[Date]],Database!A:E,4,)</f>
        <v/>
      </c>
      <c r="C16" s="14">
        <f>(B16-B15)/B15</f>
        <v/>
      </c>
      <c r="D16" s="16" t="n"/>
    </row>
    <row r="17">
      <c r="A17" s="61" t="n">
        <v>24838</v>
      </c>
      <c r="B17" s="68">
        <f>VLOOKUP(Table3[[#This Row],[Date]],Database!A:E,4,)</f>
        <v/>
      </c>
      <c r="C17" s="14">
        <f>(B17-B16)/B16</f>
        <v/>
      </c>
      <c r="D17" s="14">
        <f>(B17-B5)/B5</f>
        <v/>
      </c>
    </row>
    <row r="18">
      <c r="A18" s="61" t="n">
        <v>24869</v>
      </c>
      <c r="B18" s="68">
        <f>VLOOKUP(Table3[[#This Row],[Date]],Database!A:E,4,)</f>
        <v/>
      </c>
      <c r="C18" s="14">
        <f>(B18-B17)/B17</f>
        <v/>
      </c>
      <c r="D18" s="14">
        <f>(B18-B6)/B6</f>
        <v/>
      </c>
    </row>
    <row r="19">
      <c r="A19" s="61" t="n">
        <v>24898</v>
      </c>
      <c r="B19" s="68">
        <f>VLOOKUP(Table3[[#This Row],[Date]],Database!A:E,4,)</f>
        <v/>
      </c>
      <c r="C19" s="14">
        <f>(B19-B18)/B18</f>
        <v/>
      </c>
      <c r="D19" s="14">
        <f>(B19-B7)/B7</f>
        <v/>
      </c>
    </row>
    <row r="20">
      <c r="A20" s="61" t="n">
        <v>24929</v>
      </c>
      <c r="B20" s="68">
        <f>VLOOKUP(Table3[[#This Row],[Date]],Database!A:E,4,)</f>
        <v/>
      </c>
      <c r="C20" s="14">
        <f>(B20-B19)/B19</f>
        <v/>
      </c>
      <c r="D20" s="14">
        <f>(B20-B8)/B8</f>
        <v/>
      </c>
    </row>
    <row r="21">
      <c r="A21" s="61" t="n">
        <v>24959</v>
      </c>
      <c r="B21" s="68">
        <f>VLOOKUP(Table3[[#This Row],[Date]],Database!A:E,4,)</f>
        <v/>
      </c>
      <c r="C21" s="14">
        <f>(B21-B20)/B20</f>
        <v/>
      </c>
      <c r="D21" s="14">
        <f>(B21-B9)/B9</f>
        <v/>
      </c>
    </row>
    <row r="22">
      <c r="A22" s="61" t="n">
        <v>24990</v>
      </c>
      <c r="B22" s="68">
        <f>VLOOKUP(Table3[[#This Row],[Date]],Database!A:E,4,)</f>
        <v/>
      </c>
      <c r="C22" s="14">
        <f>(B22-B21)/B21</f>
        <v/>
      </c>
      <c r="D22" s="14">
        <f>(B22-B10)/B10</f>
        <v/>
      </c>
    </row>
    <row r="23">
      <c r="A23" s="61" t="n">
        <v>25020</v>
      </c>
      <c r="B23" s="68">
        <f>VLOOKUP(Table3[[#This Row],[Date]],Database!A:E,4,)</f>
        <v/>
      </c>
      <c r="C23" s="14">
        <f>(B23-B22)/B22</f>
        <v/>
      </c>
      <c r="D23" s="14">
        <f>(B23-B11)/B11</f>
        <v/>
      </c>
    </row>
    <row r="24">
      <c r="A24" s="61" t="n">
        <v>25051</v>
      </c>
      <c r="B24" s="68">
        <f>VLOOKUP(Table3[[#This Row],[Date]],Database!A:E,4,)</f>
        <v/>
      </c>
      <c r="C24" s="14">
        <f>(B24-B23)/B23</f>
        <v/>
      </c>
      <c r="D24" s="14">
        <f>(B24-B12)/B12</f>
        <v/>
      </c>
    </row>
    <row r="25">
      <c r="A25" s="61" t="n">
        <v>25082</v>
      </c>
      <c r="B25" s="68">
        <f>VLOOKUP(Table3[[#This Row],[Date]],Database!A:E,4,)</f>
        <v/>
      </c>
      <c r="C25" s="14">
        <f>(B25-B24)/B24</f>
        <v/>
      </c>
      <c r="D25" s="14">
        <f>(B25-B13)/B13</f>
        <v/>
      </c>
    </row>
    <row r="26">
      <c r="A26" s="61" t="n">
        <v>25112</v>
      </c>
      <c r="B26" s="68">
        <f>VLOOKUP(Table3[[#This Row],[Date]],Database!A:E,4,)</f>
        <v/>
      </c>
      <c r="C26" s="14">
        <f>(B26-B25)/B25</f>
        <v/>
      </c>
      <c r="D26" s="14">
        <f>(B26-B14)/B14</f>
        <v/>
      </c>
    </row>
    <row r="27">
      <c r="A27" s="61" t="n">
        <v>25143</v>
      </c>
      <c r="B27" s="68">
        <f>VLOOKUP(Table3[[#This Row],[Date]],Database!A:E,4,)</f>
        <v/>
      </c>
      <c r="C27" s="14">
        <f>(B27-B26)/B26</f>
        <v/>
      </c>
      <c r="D27" s="14">
        <f>(B27-B15)/B15</f>
        <v/>
      </c>
    </row>
    <row r="28">
      <c r="A28" s="61" t="n">
        <v>25173</v>
      </c>
      <c r="B28" s="68">
        <f>VLOOKUP(Table3[[#This Row],[Date]],Database!A:E,4,)</f>
        <v/>
      </c>
      <c r="C28" s="14">
        <f>(B28-B27)/B27</f>
        <v/>
      </c>
      <c r="D28" s="14">
        <f>(B28-B16)/B16</f>
        <v/>
      </c>
    </row>
    <row r="29">
      <c r="A29" s="61" t="n">
        <v>25204</v>
      </c>
      <c r="B29" s="68">
        <f>VLOOKUP(Table3[[#This Row],[Date]],Database!A:E,4,)</f>
        <v/>
      </c>
      <c r="C29" s="14">
        <f>(B29-B28)/B28</f>
        <v/>
      </c>
      <c r="D29" s="14">
        <f>(B29-B17)/B17</f>
        <v/>
      </c>
    </row>
    <row r="30">
      <c r="A30" s="61" t="n">
        <v>25235</v>
      </c>
      <c r="B30" s="68">
        <f>VLOOKUP(Table3[[#This Row],[Date]],Database!A:E,4,)</f>
        <v/>
      </c>
      <c r="C30" s="14">
        <f>(B30-B29)/B29</f>
        <v/>
      </c>
      <c r="D30" s="14">
        <f>(B30-B18)/B18</f>
        <v/>
      </c>
    </row>
    <row r="31">
      <c r="A31" s="61" t="n">
        <v>25263</v>
      </c>
      <c r="B31" s="68">
        <f>VLOOKUP(Table3[[#This Row],[Date]],Database!A:E,4,)</f>
        <v/>
      </c>
      <c r="C31" s="14">
        <f>(B31-B30)/B30</f>
        <v/>
      </c>
      <c r="D31" s="14">
        <f>(B31-B19)/B19</f>
        <v/>
      </c>
    </row>
    <row r="32">
      <c r="A32" s="61" t="n">
        <v>25294</v>
      </c>
      <c r="B32" s="68">
        <f>VLOOKUP(Table3[[#This Row],[Date]],Database!A:E,4,)</f>
        <v/>
      </c>
      <c r="C32" s="14">
        <f>(B32-B31)/B31</f>
        <v/>
      </c>
      <c r="D32" s="14">
        <f>(B32-B20)/B20</f>
        <v/>
      </c>
    </row>
    <row r="33">
      <c r="A33" s="61" t="n">
        <v>25324</v>
      </c>
      <c r="B33" s="68">
        <f>VLOOKUP(Table3[[#This Row],[Date]],Database!A:E,4,)</f>
        <v/>
      </c>
      <c r="C33" s="14">
        <f>(B33-B32)/B32</f>
        <v/>
      </c>
      <c r="D33" s="14">
        <f>(B33-B21)/B21</f>
        <v/>
      </c>
    </row>
    <row r="34">
      <c r="A34" s="61" t="n">
        <v>25355</v>
      </c>
      <c r="B34" s="68">
        <f>VLOOKUP(Table3[[#This Row],[Date]],Database!A:E,4,)</f>
        <v/>
      </c>
      <c r="C34" s="14">
        <f>(B34-B33)/B33</f>
        <v/>
      </c>
      <c r="D34" s="14">
        <f>(B34-B22)/B22</f>
        <v/>
      </c>
    </row>
    <row r="35">
      <c r="A35" s="61" t="n">
        <v>25385</v>
      </c>
      <c r="B35" s="68">
        <f>VLOOKUP(Table3[[#This Row],[Date]],Database!A:E,4,)</f>
        <v/>
      </c>
      <c r="C35" s="14">
        <f>(B35-B34)/B34</f>
        <v/>
      </c>
      <c r="D35" s="14">
        <f>(B35-B23)/B23</f>
        <v/>
      </c>
    </row>
    <row r="36">
      <c r="A36" s="61" t="n">
        <v>25416</v>
      </c>
      <c r="B36" s="68">
        <f>VLOOKUP(Table3[[#This Row],[Date]],Database!A:E,4,)</f>
        <v/>
      </c>
      <c r="C36" s="14">
        <f>(B36-B35)/B35</f>
        <v/>
      </c>
      <c r="D36" s="14">
        <f>(B36-B24)/B24</f>
        <v/>
      </c>
    </row>
    <row r="37">
      <c r="A37" s="61" t="n">
        <v>25447</v>
      </c>
      <c r="B37" s="68">
        <f>VLOOKUP(Table3[[#This Row],[Date]],Database!A:E,4,)</f>
        <v/>
      </c>
      <c r="C37" s="14">
        <f>(B37-B36)/B36</f>
        <v/>
      </c>
      <c r="D37" s="14">
        <f>(B37-B25)/B25</f>
        <v/>
      </c>
    </row>
    <row r="38">
      <c r="A38" s="61" t="n">
        <v>25477</v>
      </c>
      <c r="B38" s="68">
        <f>VLOOKUP(Table3[[#This Row],[Date]],Database!A:E,4,)</f>
        <v/>
      </c>
      <c r="C38" s="14">
        <f>(B38-B37)/B37</f>
        <v/>
      </c>
      <c r="D38" s="14">
        <f>(B38-B26)/B26</f>
        <v/>
      </c>
    </row>
    <row r="39">
      <c r="A39" s="61" t="n">
        <v>25508</v>
      </c>
      <c r="B39" s="68">
        <f>VLOOKUP(Table3[[#This Row],[Date]],Database!A:E,4,)</f>
        <v/>
      </c>
      <c r="C39" s="14">
        <f>(B39-B38)/B38</f>
        <v/>
      </c>
      <c r="D39" s="14">
        <f>(B39-B27)/B27</f>
        <v/>
      </c>
    </row>
    <row r="40">
      <c r="A40" s="61" t="n">
        <v>25538</v>
      </c>
      <c r="B40" s="68">
        <f>VLOOKUP(Table3[[#This Row],[Date]],Database!A:E,4,)</f>
        <v/>
      </c>
      <c r="C40" s="14">
        <f>(B40-B39)/B39</f>
        <v/>
      </c>
      <c r="D40" s="14">
        <f>(B40-B28)/B28</f>
        <v/>
      </c>
    </row>
    <row r="41">
      <c r="A41" s="61" t="n">
        <v>25569</v>
      </c>
      <c r="B41" s="68">
        <f>VLOOKUP(Table3[[#This Row],[Date]],Database!A:E,4,)</f>
        <v/>
      </c>
      <c r="C41" s="14">
        <f>(B41-B40)/B40</f>
        <v/>
      </c>
      <c r="D41" s="14">
        <f>(B41-B29)/B29</f>
        <v/>
      </c>
    </row>
    <row r="42">
      <c r="A42" s="61" t="n">
        <v>25600</v>
      </c>
      <c r="B42" s="68">
        <f>VLOOKUP(Table3[[#This Row],[Date]],Database!A:E,4,)</f>
        <v/>
      </c>
      <c r="C42" s="14">
        <f>(B42-B41)/B41</f>
        <v/>
      </c>
      <c r="D42" s="14">
        <f>(B42-B30)/B30</f>
        <v/>
      </c>
    </row>
    <row r="43">
      <c r="A43" s="61" t="n">
        <v>25628</v>
      </c>
      <c r="B43" s="68">
        <f>VLOOKUP(Table3[[#This Row],[Date]],Database!A:E,4,)</f>
        <v/>
      </c>
      <c r="C43" s="14">
        <f>(B43-B42)/B42</f>
        <v/>
      </c>
      <c r="D43" s="14">
        <f>(B43-B31)/B31</f>
        <v/>
      </c>
    </row>
    <row r="44">
      <c r="A44" s="61" t="n">
        <v>25659</v>
      </c>
      <c r="B44" s="68">
        <f>VLOOKUP(Table3[[#This Row],[Date]],Database!A:E,4,)</f>
        <v/>
      </c>
      <c r="C44" s="14">
        <f>(B44-B43)/B43</f>
        <v/>
      </c>
      <c r="D44" s="14">
        <f>(B44-B32)/B32</f>
        <v/>
      </c>
    </row>
    <row r="45">
      <c r="A45" s="61" t="n">
        <v>25689</v>
      </c>
      <c r="B45" s="68">
        <f>VLOOKUP(Table3[[#This Row],[Date]],Database!A:E,4,)</f>
        <v/>
      </c>
      <c r="C45" s="14">
        <f>(B45-B44)/B44</f>
        <v/>
      </c>
      <c r="D45" s="14">
        <f>(B45-B33)/B33</f>
        <v/>
      </c>
    </row>
    <row r="46">
      <c r="A46" s="61" t="n">
        <v>25720</v>
      </c>
      <c r="B46" s="68">
        <f>VLOOKUP(Table3[[#This Row],[Date]],Database!A:E,4,)</f>
        <v/>
      </c>
      <c r="C46" s="14">
        <f>(B46-B45)/B45</f>
        <v/>
      </c>
      <c r="D46" s="14">
        <f>(B46-B34)/B34</f>
        <v/>
      </c>
    </row>
    <row r="47">
      <c r="A47" s="61" t="n">
        <v>25750</v>
      </c>
      <c r="B47" s="68">
        <f>VLOOKUP(Table3[[#This Row],[Date]],Database!A:E,4,)</f>
        <v/>
      </c>
      <c r="C47" s="14">
        <f>(B47-B46)/B46</f>
        <v/>
      </c>
      <c r="D47" s="14">
        <f>(B47-B35)/B35</f>
        <v/>
      </c>
    </row>
    <row r="48">
      <c r="A48" s="61" t="n">
        <v>25781</v>
      </c>
      <c r="B48" s="68">
        <f>VLOOKUP(Table3[[#This Row],[Date]],Database!A:E,4,)</f>
        <v/>
      </c>
      <c r="C48" s="14">
        <f>(B48-B47)/B47</f>
        <v/>
      </c>
      <c r="D48" s="14">
        <f>(B48-B36)/B36</f>
        <v/>
      </c>
    </row>
    <row r="49">
      <c r="A49" s="61" t="n">
        <v>25812</v>
      </c>
      <c r="B49" s="68">
        <f>VLOOKUP(Table3[[#This Row],[Date]],Database!A:E,4,)</f>
        <v/>
      </c>
      <c r="C49" s="14">
        <f>(B49-B48)/B48</f>
        <v/>
      </c>
      <c r="D49" s="14">
        <f>(B49-B37)/B37</f>
        <v/>
      </c>
    </row>
    <row r="50">
      <c r="A50" s="61" t="n">
        <v>25842</v>
      </c>
      <c r="B50" s="68">
        <f>VLOOKUP(Table3[[#This Row],[Date]],Database!A:E,4,)</f>
        <v/>
      </c>
      <c r="C50" s="14">
        <f>(B50-B49)/B49</f>
        <v/>
      </c>
      <c r="D50" s="14">
        <f>(B50-B38)/B38</f>
        <v/>
      </c>
    </row>
    <row r="51">
      <c r="A51" s="61" t="n">
        <v>25873</v>
      </c>
      <c r="B51" s="68">
        <f>VLOOKUP(Table3[[#This Row],[Date]],Database!A:E,4,)</f>
        <v/>
      </c>
      <c r="C51" s="14">
        <f>(B51-B50)/B50</f>
        <v/>
      </c>
      <c r="D51" s="14">
        <f>(B51-B39)/B39</f>
        <v/>
      </c>
    </row>
    <row r="52">
      <c r="A52" s="61" t="n">
        <v>25903</v>
      </c>
      <c r="B52" s="68">
        <f>VLOOKUP(Table3[[#This Row],[Date]],Database!A:E,4,)</f>
        <v/>
      </c>
      <c r="C52" s="14">
        <f>(B52-B51)/B51</f>
        <v/>
      </c>
      <c r="D52" s="14">
        <f>(B52-B40)/B40</f>
        <v/>
      </c>
    </row>
    <row r="53">
      <c r="A53" s="61" t="n">
        <v>25934</v>
      </c>
      <c r="B53" s="68">
        <f>VLOOKUP(Table3[[#This Row],[Date]],Database!A:E,4,)</f>
        <v/>
      </c>
      <c r="C53" s="14">
        <f>(B53-B52)/B52</f>
        <v/>
      </c>
      <c r="D53" s="14">
        <f>(B53-B41)/B41</f>
        <v/>
      </c>
    </row>
    <row r="54">
      <c r="A54" s="61" t="n">
        <v>25965</v>
      </c>
      <c r="B54" s="68">
        <f>VLOOKUP(Table3[[#This Row],[Date]],Database!A:E,4,)</f>
        <v/>
      </c>
      <c r="C54" s="14">
        <f>(B54-B53)/B53</f>
        <v/>
      </c>
      <c r="D54" s="14">
        <f>(B54-B42)/B42</f>
        <v/>
      </c>
    </row>
    <row r="55">
      <c r="A55" s="61" t="n">
        <v>25993</v>
      </c>
      <c r="B55" s="68">
        <f>VLOOKUP(Table3[[#This Row],[Date]],Database!A:E,4,)</f>
        <v/>
      </c>
      <c r="C55" s="14">
        <f>(B55-B54)/B54</f>
        <v/>
      </c>
      <c r="D55" s="14">
        <f>(B55-B43)/B43</f>
        <v/>
      </c>
    </row>
    <row r="56">
      <c r="A56" s="61" t="n">
        <v>26024</v>
      </c>
      <c r="B56" s="68">
        <f>VLOOKUP(Table3[[#This Row],[Date]],Database!A:E,4,)</f>
        <v/>
      </c>
      <c r="C56" s="14">
        <f>(B56-B55)/B55</f>
        <v/>
      </c>
      <c r="D56" s="14">
        <f>(B56-B44)/B44</f>
        <v/>
      </c>
    </row>
    <row r="57">
      <c r="A57" s="61" t="n">
        <v>26054</v>
      </c>
      <c r="B57" s="68">
        <f>VLOOKUP(Table3[[#This Row],[Date]],Database!A:E,4,)</f>
        <v/>
      </c>
      <c r="C57" s="14">
        <f>(B57-B56)/B56</f>
        <v/>
      </c>
      <c r="D57" s="14">
        <f>(B57-B45)/B45</f>
        <v/>
      </c>
    </row>
    <row r="58">
      <c r="A58" s="61" t="n">
        <v>26085</v>
      </c>
      <c r="B58" s="68">
        <f>VLOOKUP(Table3[[#This Row],[Date]],Database!A:E,4,)</f>
        <v/>
      </c>
      <c r="C58" s="14">
        <f>(B58-B57)/B57</f>
        <v/>
      </c>
      <c r="D58" s="14">
        <f>(B58-B46)/B46</f>
        <v/>
      </c>
    </row>
    <row r="59">
      <c r="A59" s="61" t="n">
        <v>26115</v>
      </c>
      <c r="B59" s="68">
        <f>VLOOKUP(Table3[[#This Row],[Date]],Database!A:E,4,)</f>
        <v/>
      </c>
      <c r="C59" s="14">
        <f>(B59-B58)/B58</f>
        <v/>
      </c>
      <c r="D59" s="14">
        <f>(B59-B47)/B47</f>
        <v/>
      </c>
    </row>
    <row r="60">
      <c r="A60" s="61" t="n">
        <v>26146</v>
      </c>
      <c r="B60" s="68">
        <f>VLOOKUP(Table3[[#This Row],[Date]],Database!A:E,4,)</f>
        <v/>
      </c>
      <c r="C60" s="14">
        <f>(B60-B59)/B59</f>
        <v/>
      </c>
      <c r="D60" s="14">
        <f>(B60-B48)/B48</f>
        <v/>
      </c>
    </row>
    <row r="61">
      <c r="A61" s="61" t="n">
        <v>26177</v>
      </c>
      <c r="B61" s="68">
        <f>VLOOKUP(Table3[[#This Row],[Date]],Database!A:E,4,)</f>
        <v/>
      </c>
      <c r="C61" s="14">
        <f>(B61-B60)/B60</f>
        <v/>
      </c>
      <c r="D61" s="14">
        <f>(B61-B49)/B49</f>
        <v/>
      </c>
    </row>
    <row r="62">
      <c r="A62" s="61" t="n">
        <v>26207</v>
      </c>
      <c r="B62" s="68">
        <f>VLOOKUP(Table3[[#This Row],[Date]],Database!A:E,4,)</f>
        <v/>
      </c>
      <c r="C62" s="14">
        <f>(B62-B61)/B61</f>
        <v/>
      </c>
      <c r="D62" s="14">
        <f>(B62-B50)/B50</f>
        <v/>
      </c>
    </row>
    <row r="63">
      <c r="A63" s="61" t="n">
        <v>26238</v>
      </c>
      <c r="B63" s="68">
        <f>VLOOKUP(Table3[[#This Row],[Date]],Database!A:E,4,)</f>
        <v/>
      </c>
      <c r="C63" s="14">
        <f>(B63-B62)/B62</f>
        <v/>
      </c>
      <c r="D63" s="14">
        <f>(B63-B51)/B51</f>
        <v/>
      </c>
    </row>
    <row r="64">
      <c r="A64" s="61" t="n">
        <v>26268</v>
      </c>
      <c r="B64" s="68">
        <f>VLOOKUP(Table3[[#This Row],[Date]],Database!A:E,4,)</f>
        <v/>
      </c>
      <c r="C64" s="14">
        <f>(B64-B63)/B63</f>
        <v/>
      </c>
      <c r="D64" s="14">
        <f>(B64-B52)/B52</f>
        <v/>
      </c>
    </row>
    <row r="65">
      <c r="A65" s="61" t="n">
        <v>26299</v>
      </c>
      <c r="B65" s="68">
        <f>VLOOKUP(Table3[[#This Row],[Date]],Database!A:E,4,)</f>
        <v/>
      </c>
      <c r="C65" s="14">
        <f>(B65-B64)/B64</f>
        <v/>
      </c>
      <c r="D65" s="14">
        <f>(B65-B53)/B53</f>
        <v/>
      </c>
    </row>
    <row r="66">
      <c r="A66" s="61" t="n">
        <v>26330</v>
      </c>
      <c r="B66" s="68">
        <f>VLOOKUP(Table3[[#This Row],[Date]],Database!A:E,4,)</f>
        <v/>
      </c>
      <c r="C66" s="14">
        <f>(B66-B65)/B65</f>
        <v/>
      </c>
      <c r="D66" s="14">
        <f>(B66-B54)/B54</f>
        <v/>
      </c>
    </row>
    <row r="67">
      <c r="A67" s="61" t="n">
        <v>26359</v>
      </c>
      <c r="B67" s="68">
        <f>VLOOKUP(Table3[[#This Row],[Date]],Database!A:E,4,)</f>
        <v/>
      </c>
      <c r="C67" s="14">
        <f>(B67-B66)/B66</f>
        <v/>
      </c>
      <c r="D67" s="14">
        <f>(B67-B55)/B55</f>
        <v/>
      </c>
    </row>
    <row r="68">
      <c r="A68" s="61" t="n">
        <v>26390</v>
      </c>
      <c r="B68" s="68">
        <f>VLOOKUP(Table3[[#This Row],[Date]],Database!A:E,4,)</f>
        <v/>
      </c>
      <c r="C68" s="14">
        <f>(B68-B67)/B67</f>
        <v/>
      </c>
      <c r="D68" s="14">
        <f>(B68-B56)/B56</f>
        <v/>
      </c>
    </row>
    <row r="69">
      <c r="A69" s="61" t="n">
        <v>26420</v>
      </c>
      <c r="B69" s="68">
        <f>VLOOKUP(Table3[[#This Row],[Date]],Database!A:E,4,)</f>
        <v/>
      </c>
      <c r="C69" s="14">
        <f>(B69-B68)/B68</f>
        <v/>
      </c>
      <c r="D69" s="14">
        <f>(B69-B57)/B57</f>
        <v/>
      </c>
    </row>
    <row r="70">
      <c r="A70" s="61" t="n">
        <v>26451</v>
      </c>
      <c r="B70" s="68">
        <f>VLOOKUP(Table3[[#This Row],[Date]],Database!A:E,4,)</f>
        <v/>
      </c>
      <c r="C70" s="14">
        <f>(B70-B69)/B69</f>
        <v/>
      </c>
      <c r="D70" s="14">
        <f>(B70-B58)/B58</f>
        <v/>
      </c>
    </row>
    <row r="71">
      <c r="A71" s="61" t="n">
        <v>26481</v>
      </c>
      <c r="B71" s="68">
        <f>VLOOKUP(Table3[[#This Row],[Date]],Database!A:E,4,)</f>
        <v/>
      </c>
      <c r="C71" s="14">
        <f>(B71-B70)/B70</f>
        <v/>
      </c>
      <c r="D71" s="14">
        <f>(B71-B59)/B59</f>
        <v/>
      </c>
    </row>
    <row r="72">
      <c r="A72" s="61" t="n">
        <v>26512</v>
      </c>
      <c r="B72" s="68">
        <f>VLOOKUP(Table3[[#This Row],[Date]],Database!A:E,4,)</f>
        <v/>
      </c>
      <c r="C72" s="14">
        <f>(B72-B71)/B71</f>
        <v/>
      </c>
      <c r="D72" s="14">
        <f>(B72-B60)/B60</f>
        <v/>
      </c>
    </row>
    <row r="73">
      <c r="A73" s="61" t="n">
        <v>26543</v>
      </c>
      <c r="B73" s="68">
        <f>VLOOKUP(Table3[[#This Row],[Date]],Database!A:E,4,)</f>
        <v/>
      </c>
      <c r="C73" s="14">
        <f>(B73-B72)/B72</f>
        <v/>
      </c>
      <c r="D73" s="14">
        <f>(B73-B61)/B61</f>
        <v/>
      </c>
    </row>
    <row r="74">
      <c r="A74" s="61" t="n">
        <v>26573</v>
      </c>
      <c r="B74" s="68">
        <f>VLOOKUP(Table3[[#This Row],[Date]],Database!A:E,4,)</f>
        <v/>
      </c>
      <c r="C74" s="14">
        <f>(B74-B73)/B73</f>
        <v/>
      </c>
      <c r="D74" s="14">
        <f>(B74-B62)/B62</f>
        <v/>
      </c>
    </row>
    <row r="75">
      <c r="A75" s="61" t="n">
        <v>26604</v>
      </c>
      <c r="B75" s="68">
        <f>VLOOKUP(Table3[[#This Row],[Date]],Database!A:E,4,)</f>
        <v/>
      </c>
      <c r="C75" s="14">
        <f>(B75-B74)/B74</f>
        <v/>
      </c>
      <c r="D75" s="14">
        <f>(B75-B63)/B63</f>
        <v/>
      </c>
    </row>
    <row r="76">
      <c r="A76" s="61" t="n">
        <v>26634</v>
      </c>
      <c r="B76" s="68">
        <f>VLOOKUP(Table3[[#This Row],[Date]],Database!A:E,4,)</f>
        <v/>
      </c>
      <c r="C76" s="14">
        <f>(B76-B75)/B75</f>
        <v/>
      </c>
      <c r="D76" s="14">
        <f>(B76-B64)/B64</f>
        <v/>
      </c>
    </row>
    <row r="77">
      <c r="A77" s="61" t="n">
        <v>26665</v>
      </c>
      <c r="B77" s="68">
        <f>VLOOKUP(Table3[[#This Row],[Date]],Database!A:E,4,)</f>
        <v/>
      </c>
      <c r="C77" s="14">
        <f>(B77-B76)/B76</f>
        <v/>
      </c>
      <c r="D77" s="14">
        <f>(B77-B65)/B65</f>
        <v/>
      </c>
    </row>
    <row r="78">
      <c r="A78" s="61" t="n">
        <v>26696</v>
      </c>
      <c r="B78" s="68">
        <f>VLOOKUP(Table3[[#This Row],[Date]],Database!A:E,4,)</f>
        <v/>
      </c>
      <c r="C78" s="14">
        <f>(B78-B77)/B77</f>
        <v/>
      </c>
      <c r="D78" s="14">
        <f>(B78-B66)/B66</f>
        <v/>
      </c>
    </row>
    <row r="79">
      <c r="A79" s="61" t="n">
        <v>26724</v>
      </c>
      <c r="B79" s="68">
        <f>VLOOKUP(Table3[[#This Row],[Date]],Database!A:E,4,)</f>
        <v/>
      </c>
      <c r="C79" s="14">
        <f>(B79-B78)/B78</f>
        <v/>
      </c>
      <c r="D79" s="14">
        <f>(B79-B67)/B67</f>
        <v/>
      </c>
    </row>
    <row r="80">
      <c r="A80" s="61" t="n">
        <v>26755</v>
      </c>
      <c r="B80" s="68">
        <f>VLOOKUP(Table3[[#This Row],[Date]],Database!A:E,4,)</f>
        <v/>
      </c>
      <c r="C80" s="14">
        <f>(B80-B79)/B79</f>
        <v/>
      </c>
      <c r="D80" s="14">
        <f>(B80-B68)/B68</f>
        <v/>
      </c>
    </row>
    <row r="81">
      <c r="A81" s="61" t="n">
        <v>26785</v>
      </c>
      <c r="B81" s="68">
        <f>VLOOKUP(Table3[[#This Row],[Date]],Database!A:E,4,)</f>
        <v/>
      </c>
      <c r="C81" s="14">
        <f>(B81-B80)/B80</f>
        <v/>
      </c>
      <c r="D81" s="14">
        <f>(B81-B69)/B69</f>
        <v/>
      </c>
    </row>
    <row r="82">
      <c r="A82" s="61" t="n">
        <v>26816</v>
      </c>
      <c r="B82" s="68">
        <f>VLOOKUP(Table3[[#This Row],[Date]],Database!A:E,4,)</f>
        <v/>
      </c>
      <c r="C82" s="14">
        <f>(B82-B81)/B81</f>
        <v/>
      </c>
      <c r="D82" s="14">
        <f>(B82-B70)/B70</f>
        <v/>
      </c>
    </row>
    <row r="83">
      <c r="A83" s="61" t="n">
        <v>26846</v>
      </c>
      <c r="B83" s="68">
        <f>VLOOKUP(Table3[[#This Row],[Date]],Database!A:E,4,)</f>
        <v/>
      </c>
      <c r="C83" s="14">
        <f>(B83-B82)/B82</f>
        <v/>
      </c>
      <c r="D83" s="14">
        <f>(B83-B71)/B71</f>
        <v/>
      </c>
    </row>
    <row r="84">
      <c r="A84" s="61" t="n">
        <v>26877</v>
      </c>
      <c r="B84" s="68">
        <f>VLOOKUP(Table3[[#This Row],[Date]],Database!A:E,4,)</f>
        <v/>
      </c>
      <c r="C84" s="14">
        <f>(B84-B83)/B83</f>
        <v/>
      </c>
      <c r="D84" s="14">
        <f>(B84-B72)/B72</f>
        <v/>
      </c>
    </row>
    <row r="85">
      <c r="A85" s="61" t="n">
        <v>26908</v>
      </c>
      <c r="B85" s="68">
        <f>VLOOKUP(Table3[[#This Row],[Date]],Database!A:E,4,)</f>
        <v/>
      </c>
      <c r="C85" s="14">
        <f>(B85-B84)/B84</f>
        <v/>
      </c>
      <c r="D85" s="14">
        <f>(B85-B73)/B73</f>
        <v/>
      </c>
    </row>
    <row r="86">
      <c r="A86" s="61" t="n">
        <v>26938</v>
      </c>
      <c r="B86" s="68">
        <f>VLOOKUP(Table3[[#This Row],[Date]],Database!A:E,4,)</f>
        <v/>
      </c>
      <c r="C86" s="14">
        <f>(B86-B85)/B85</f>
        <v/>
      </c>
      <c r="D86" s="14">
        <f>(B86-B74)/B74</f>
        <v/>
      </c>
    </row>
    <row r="87">
      <c r="A87" s="61" t="n">
        <v>26969</v>
      </c>
      <c r="B87" s="68">
        <f>VLOOKUP(Table3[[#This Row],[Date]],Database!A:E,4,)</f>
        <v/>
      </c>
      <c r="C87" s="14">
        <f>(B87-B86)/B86</f>
        <v/>
      </c>
      <c r="D87" s="14">
        <f>(B87-B75)/B75</f>
        <v/>
      </c>
    </row>
    <row r="88">
      <c r="A88" s="61" t="n">
        <v>26999</v>
      </c>
      <c r="B88" s="68">
        <f>VLOOKUP(Table3[[#This Row],[Date]],Database!A:E,4,)</f>
        <v/>
      </c>
      <c r="C88" s="14">
        <f>(B88-B87)/B87</f>
        <v/>
      </c>
      <c r="D88" s="14">
        <f>(B88-B76)/B76</f>
        <v/>
      </c>
    </row>
    <row r="89">
      <c r="A89" s="61" t="n">
        <v>27030</v>
      </c>
      <c r="B89" s="68">
        <f>VLOOKUP(Table3[[#This Row],[Date]],Database!A:E,4,)</f>
        <v/>
      </c>
      <c r="C89" s="14">
        <f>(B89-B88)/B88</f>
        <v/>
      </c>
      <c r="D89" s="14">
        <f>(B89-B77)/B77</f>
        <v/>
      </c>
    </row>
    <row r="90">
      <c r="A90" s="61" t="n">
        <v>27061</v>
      </c>
      <c r="B90" s="68">
        <f>VLOOKUP(Table3[[#This Row],[Date]],Database!A:E,4,)</f>
        <v/>
      </c>
      <c r="C90" s="14">
        <f>(B90-B89)/B89</f>
        <v/>
      </c>
      <c r="D90" s="14">
        <f>(B90-B78)/B78</f>
        <v/>
      </c>
    </row>
    <row r="91">
      <c r="A91" s="61" t="n">
        <v>27089</v>
      </c>
      <c r="B91" s="68">
        <f>VLOOKUP(Table3[[#This Row],[Date]],Database!A:E,4,)</f>
        <v/>
      </c>
      <c r="C91" s="14">
        <f>(B91-B90)/B90</f>
        <v/>
      </c>
      <c r="D91" s="14">
        <f>(B91-B79)/B79</f>
        <v/>
      </c>
    </row>
    <row r="92">
      <c r="A92" s="61" t="n">
        <v>27120</v>
      </c>
      <c r="B92" s="68">
        <f>VLOOKUP(Table3[[#This Row],[Date]],Database!A:E,4,)</f>
        <v/>
      </c>
      <c r="C92" s="14">
        <f>(B92-B91)/B91</f>
        <v/>
      </c>
      <c r="D92" s="14">
        <f>(B92-B80)/B80</f>
        <v/>
      </c>
    </row>
    <row r="93">
      <c r="A93" s="61" t="n">
        <v>27150</v>
      </c>
      <c r="B93" s="68">
        <f>VLOOKUP(Table3[[#This Row],[Date]],Database!A:E,4,)</f>
        <v/>
      </c>
      <c r="C93" s="14">
        <f>(B93-B92)/B92</f>
        <v/>
      </c>
      <c r="D93" s="14">
        <f>(B93-B81)/B81</f>
        <v/>
      </c>
    </row>
    <row r="94">
      <c r="A94" s="61" t="n">
        <v>27181</v>
      </c>
      <c r="B94" s="68">
        <f>VLOOKUP(Table3[[#This Row],[Date]],Database!A:E,4,)</f>
        <v/>
      </c>
      <c r="C94" s="14">
        <f>(B94-B93)/B93</f>
        <v/>
      </c>
      <c r="D94" s="14">
        <f>(B94-B82)/B82</f>
        <v/>
      </c>
    </row>
    <row r="95">
      <c r="A95" s="61" t="n">
        <v>27211</v>
      </c>
      <c r="B95" s="68">
        <f>VLOOKUP(Table3[[#This Row],[Date]],Database!A:E,4,)</f>
        <v/>
      </c>
      <c r="C95" s="14">
        <f>(B95-B94)/B94</f>
        <v/>
      </c>
      <c r="D95" s="14">
        <f>(B95-B83)/B83</f>
        <v/>
      </c>
    </row>
    <row r="96">
      <c r="A96" s="61" t="n">
        <v>27242</v>
      </c>
      <c r="B96" s="68">
        <f>VLOOKUP(Table3[[#This Row],[Date]],Database!A:E,4,)</f>
        <v/>
      </c>
      <c r="C96" s="14">
        <f>(B96-B95)/B95</f>
        <v/>
      </c>
      <c r="D96" s="14">
        <f>(B96-B84)/B84</f>
        <v/>
      </c>
    </row>
    <row r="97">
      <c r="A97" s="61" t="n">
        <v>27273</v>
      </c>
      <c r="B97" s="68">
        <f>VLOOKUP(Table3[[#This Row],[Date]],Database!A:E,4,)</f>
        <v/>
      </c>
      <c r="C97" s="14">
        <f>(B97-B96)/B96</f>
        <v/>
      </c>
      <c r="D97" s="14">
        <f>(B97-B85)/B85</f>
        <v/>
      </c>
    </row>
    <row r="98">
      <c r="A98" s="61" t="n">
        <v>27303</v>
      </c>
      <c r="B98" s="68">
        <f>VLOOKUP(Table3[[#This Row],[Date]],Database!A:E,4,)</f>
        <v/>
      </c>
      <c r="C98" s="14">
        <f>(B98-B97)/B97</f>
        <v/>
      </c>
      <c r="D98" s="14">
        <f>(B98-B86)/B86</f>
        <v/>
      </c>
    </row>
    <row r="99">
      <c r="A99" s="61" t="n">
        <v>27334</v>
      </c>
      <c r="B99" s="68">
        <f>VLOOKUP(Table3[[#This Row],[Date]],Database!A:E,4,)</f>
        <v/>
      </c>
      <c r="C99" s="14">
        <f>(B99-B98)/B98</f>
        <v/>
      </c>
      <c r="D99" s="14">
        <f>(B99-B87)/B87</f>
        <v/>
      </c>
    </row>
    <row r="100">
      <c r="A100" s="61" t="n">
        <v>27364</v>
      </c>
      <c r="B100" s="68">
        <f>VLOOKUP(Table3[[#This Row],[Date]],Database!A:E,4,)</f>
        <v/>
      </c>
      <c r="C100" s="14">
        <f>(B100-B99)/B99</f>
        <v/>
      </c>
      <c r="D100" s="14">
        <f>(B100-B88)/B88</f>
        <v/>
      </c>
    </row>
    <row r="101">
      <c r="A101" s="61" t="n">
        <v>27395</v>
      </c>
      <c r="B101" s="68">
        <f>VLOOKUP(Table3[[#This Row],[Date]],Database!A:E,4,)</f>
        <v/>
      </c>
      <c r="C101" s="14">
        <f>(B101-B100)/B100</f>
        <v/>
      </c>
      <c r="D101" s="14">
        <f>(B101-B89)/B89</f>
        <v/>
      </c>
    </row>
    <row r="102">
      <c r="A102" s="61" t="n">
        <v>27426</v>
      </c>
      <c r="B102" s="68">
        <f>VLOOKUP(Table3[[#This Row],[Date]],Database!A:E,4,)</f>
        <v/>
      </c>
      <c r="C102" s="14">
        <f>(B102-B101)/B101</f>
        <v/>
      </c>
      <c r="D102" s="14">
        <f>(B102-B90)/B90</f>
        <v/>
      </c>
    </row>
    <row r="103">
      <c r="A103" s="61" t="n">
        <v>27454</v>
      </c>
      <c r="B103" s="68">
        <f>VLOOKUP(Table3[[#This Row],[Date]],Database!A:E,4,)</f>
        <v/>
      </c>
      <c r="C103" s="14">
        <f>(B103-B102)/B102</f>
        <v/>
      </c>
      <c r="D103" s="14">
        <f>(B103-B91)/B91</f>
        <v/>
      </c>
    </row>
    <row r="104">
      <c r="A104" s="61" t="n">
        <v>27485</v>
      </c>
      <c r="B104" s="68">
        <f>VLOOKUP(Table3[[#This Row],[Date]],Database!A:E,4,)</f>
        <v/>
      </c>
      <c r="C104" s="14">
        <f>(B104-B103)/B103</f>
        <v/>
      </c>
      <c r="D104" s="14">
        <f>(B104-B92)/B92</f>
        <v/>
      </c>
    </row>
    <row r="105">
      <c r="A105" s="61" t="n">
        <v>27515</v>
      </c>
      <c r="B105" s="68">
        <f>VLOOKUP(Table3[[#This Row],[Date]],Database!A:E,4,)</f>
        <v/>
      </c>
      <c r="C105" s="14">
        <f>(B105-B104)/B104</f>
        <v/>
      </c>
      <c r="D105" s="14">
        <f>(B105-B93)/B93</f>
        <v/>
      </c>
    </row>
    <row r="106">
      <c r="A106" s="61" t="n">
        <v>27546</v>
      </c>
      <c r="B106" s="68">
        <f>VLOOKUP(Table3[[#This Row],[Date]],Database!A:E,4,)</f>
        <v/>
      </c>
      <c r="C106" s="14">
        <f>(B106-B105)/B105</f>
        <v/>
      </c>
      <c r="D106" s="14">
        <f>(B106-B94)/B94</f>
        <v/>
      </c>
    </row>
    <row r="107">
      <c r="A107" s="61" t="n">
        <v>27576</v>
      </c>
      <c r="B107" s="68">
        <f>VLOOKUP(Table3[[#This Row],[Date]],Database!A:E,4,)</f>
        <v/>
      </c>
      <c r="C107" s="14">
        <f>(B107-B106)/B106</f>
        <v/>
      </c>
      <c r="D107" s="14">
        <f>(B107-B95)/B95</f>
        <v/>
      </c>
    </row>
    <row r="108">
      <c r="A108" s="61" t="n">
        <v>27607</v>
      </c>
      <c r="B108" s="68">
        <f>VLOOKUP(Table3[[#This Row],[Date]],Database!A:E,4,)</f>
        <v/>
      </c>
      <c r="C108" s="14">
        <f>(B108-B107)/B107</f>
        <v/>
      </c>
      <c r="D108" s="14">
        <f>(B108-B96)/B96</f>
        <v/>
      </c>
    </row>
    <row r="109">
      <c r="A109" s="61" t="n">
        <v>27638</v>
      </c>
      <c r="B109" s="68">
        <f>VLOOKUP(Table3[[#This Row],[Date]],Database!A:E,4,)</f>
        <v/>
      </c>
      <c r="C109" s="14">
        <f>(B109-B108)/B108</f>
        <v/>
      </c>
      <c r="D109" s="14">
        <f>(B109-B97)/B97</f>
        <v/>
      </c>
    </row>
    <row r="110">
      <c r="A110" s="61" t="n">
        <v>27668</v>
      </c>
      <c r="B110" s="68">
        <f>VLOOKUP(Table3[[#This Row],[Date]],Database!A:E,4,)</f>
        <v/>
      </c>
      <c r="C110" s="14">
        <f>(B110-B109)/B109</f>
        <v/>
      </c>
      <c r="D110" s="14">
        <f>(B110-B98)/B98</f>
        <v/>
      </c>
    </row>
    <row r="111">
      <c r="A111" s="61" t="n">
        <v>27699</v>
      </c>
      <c r="B111" s="68">
        <f>VLOOKUP(Table3[[#This Row],[Date]],Database!A:E,4,)</f>
        <v/>
      </c>
      <c r="C111" s="14">
        <f>(B111-B110)/B110</f>
        <v/>
      </c>
      <c r="D111" s="14">
        <f>(B111-B99)/B99</f>
        <v/>
      </c>
    </row>
    <row r="112">
      <c r="A112" s="61" t="n">
        <v>27729</v>
      </c>
      <c r="B112" s="68">
        <f>VLOOKUP(Table3[[#This Row],[Date]],Database!A:E,4,)</f>
        <v/>
      </c>
      <c r="C112" s="14">
        <f>(B112-B111)/B111</f>
        <v/>
      </c>
      <c r="D112" s="14">
        <f>(B112-B100)/B100</f>
        <v/>
      </c>
    </row>
    <row r="113">
      <c r="A113" s="61" t="n">
        <v>27760</v>
      </c>
      <c r="B113" s="68">
        <f>VLOOKUP(Table3[[#This Row],[Date]],Database!A:E,4,)</f>
        <v/>
      </c>
      <c r="C113" s="14">
        <f>(B113-B112)/B112</f>
        <v/>
      </c>
      <c r="D113" s="14">
        <f>(B113-B101)/B101</f>
        <v/>
      </c>
    </row>
    <row r="114">
      <c r="A114" s="61" t="n">
        <v>27791</v>
      </c>
      <c r="B114" s="68">
        <f>VLOOKUP(Table3[[#This Row],[Date]],Database!A:E,4,)</f>
        <v/>
      </c>
      <c r="C114" s="14">
        <f>(B114-B113)/B113</f>
        <v/>
      </c>
      <c r="D114" s="14">
        <f>(B114-B102)/B102</f>
        <v/>
      </c>
    </row>
    <row r="115">
      <c r="A115" s="61" t="n">
        <v>27820</v>
      </c>
      <c r="B115" s="68">
        <f>VLOOKUP(Table3[[#This Row],[Date]],Database!A:E,4,)</f>
        <v/>
      </c>
      <c r="C115" s="14">
        <f>(B115-B114)/B114</f>
        <v/>
      </c>
      <c r="D115" s="14">
        <f>(B115-B103)/B103</f>
        <v/>
      </c>
    </row>
    <row r="116">
      <c r="A116" s="61" t="n">
        <v>27851</v>
      </c>
      <c r="B116" s="68">
        <f>VLOOKUP(Table3[[#This Row],[Date]],Database!A:E,4,)</f>
        <v/>
      </c>
      <c r="C116" s="14">
        <f>(B116-B115)/B115</f>
        <v/>
      </c>
      <c r="D116" s="14">
        <f>(B116-B104)/B104</f>
        <v/>
      </c>
    </row>
    <row r="117">
      <c r="A117" s="61" t="n">
        <v>27881</v>
      </c>
      <c r="B117" s="68">
        <f>VLOOKUP(Table3[[#This Row],[Date]],Database!A:E,4,)</f>
        <v/>
      </c>
      <c r="C117" s="14">
        <f>(B117-B116)/B116</f>
        <v/>
      </c>
      <c r="D117" s="14">
        <f>(B117-B105)/B105</f>
        <v/>
      </c>
    </row>
    <row r="118">
      <c r="A118" s="61" t="n">
        <v>27912</v>
      </c>
      <c r="B118" s="68">
        <f>VLOOKUP(Table3[[#This Row],[Date]],Database!A:E,4,)</f>
        <v/>
      </c>
      <c r="C118" s="14">
        <f>(B118-B117)/B117</f>
        <v/>
      </c>
      <c r="D118" s="14">
        <f>(B118-B106)/B106</f>
        <v/>
      </c>
    </row>
    <row r="119">
      <c r="A119" s="61" t="n">
        <v>27942</v>
      </c>
      <c r="B119" s="68">
        <f>VLOOKUP(Table3[[#This Row],[Date]],Database!A:E,4,)</f>
        <v/>
      </c>
      <c r="C119" s="14">
        <f>(B119-B118)/B118</f>
        <v/>
      </c>
      <c r="D119" s="14">
        <f>(B119-B107)/B107</f>
        <v/>
      </c>
    </row>
    <row r="120">
      <c r="A120" s="61" t="n">
        <v>27973</v>
      </c>
      <c r="B120" s="68">
        <f>VLOOKUP(Table3[[#This Row],[Date]],Database!A:E,4,)</f>
        <v/>
      </c>
      <c r="C120" s="14">
        <f>(B120-B119)/B119</f>
        <v/>
      </c>
      <c r="D120" s="14">
        <f>(B120-B108)/B108</f>
        <v/>
      </c>
    </row>
    <row r="121">
      <c r="A121" s="61" t="n">
        <v>28004</v>
      </c>
      <c r="B121" s="68">
        <f>VLOOKUP(Table3[[#This Row],[Date]],Database!A:E,4,)</f>
        <v/>
      </c>
      <c r="C121" s="14">
        <f>(B121-B120)/B120</f>
        <v/>
      </c>
      <c r="D121" s="14">
        <f>(B121-B109)/B109</f>
        <v/>
      </c>
    </row>
    <row r="122">
      <c r="A122" s="61" t="n">
        <v>28034</v>
      </c>
      <c r="B122" s="68">
        <f>VLOOKUP(Table3[[#This Row],[Date]],Database!A:E,4,)</f>
        <v/>
      </c>
      <c r="C122" s="14">
        <f>(B122-B121)/B121</f>
        <v/>
      </c>
      <c r="D122" s="14">
        <f>(B122-B110)/B110</f>
        <v/>
      </c>
    </row>
    <row r="123">
      <c r="A123" s="61" t="n">
        <v>28065</v>
      </c>
      <c r="B123" s="68">
        <f>VLOOKUP(Table3[[#This Row],[Date]],Database!A:E,4,)</f>
        <v/>
      </c>
      <c r="C123" s="14">
        <f>(B123-B122)/B122</f>
        <v/>
      </c>
      <c r="D123" s="14">
        <f>(B123-B111)/B111</f>
        <v/>
      </c>
    </row>
    <row r="124">
      <c r="A124" s="61" t="n">
        <v>28095</v>
      </c>
      <c r="B124" s="68">
        <f>VLOOKUP(Table3[[#This Row],[Date]],Database!A:E,4,)</f>
        <v/>
      </c>
      <c r="C124" s="14">
        <f>(B124-B123)/B123</f>
        <v/>
      </c>
      <c r="D124" s="14">
        <f>(B124-B112)/B112</f>
        <v/>
      </c>
    </row>
    <row r="125">
      <c r="A125" s="61" t="n">
        <v>28126</v>
      </c>
      <c r="B125" s="68">
        <f>VLOOKUP(Table3[[#This Row],[Date]],Database!A:E,4,)</f>
        <v/>
      </c>
      <c r="C125" s="14">
        <f>(B125-B124)/B124</f>
        <v/>
      </c>
      <c r="D125" s="14">
        <f>(B125-B113)/B113</f>
        <v/>
      </c>
    </row>
    <row r="126">
      <c r="A126" s="61" t="n">
        <v>28157</v>
      </c>
      <c r="B126" s="68">
        <f>VLOOKUP(Table3[[#This Row],[Date]],Database!A:E,4,)</f>
        <v/>
      </c>
      <c r="C126" s="14">
        <f>(B126-B125)/B125</f>
        <v/>
      </c>
      <c r="D126" s="14">
        <f>(B126-B114)/B114</f>
        <v/>
      </c>
    </row>
    <row r="127">
      <c r="A127" s="61" t="n">
        <v>28185</v>
      </c>
      <c r="B127" s="68">
        <f>VLOOKUP(Table3[[#This Row],[Date]],Database!A:E,4,)</f>
        <v/>
      </c>
      <c r="C127" s="14">
        <f>(B127-B126)/B126</f>
        <v/>
      </c>
      <c r="D127" s="14">
        <f>(B127-B115)/B115</f>
        <v/>
      </c>
    </row>
    <row r="128">
      <c r="A128" s="61" t="n">
        <v>28216</v>
      </c>
      <c r="B128" s="68">
        <f>VLOOKUP(Table3[[#This Row],[Date]],Database!A:E,4,)</f>
        <v/>
      </c>
      <c r="C128" s="14">
        <f>(B128-B127)/B127</f>
        <v/>
      </c>
      <c r="D128" s="14">
        <f>(B128-B116)/B116</f>
        <v/>
      </c>
    </row>
    <row r="129">
      <c r="A129" s="61" t="n">
        <v>28246</v>
      </c>
      <c r="B129" s="68">
        <f>VLOOKUP(Table3[[#This Row],[Date]],Database!A:E,4,)</f>
        <v/>
      </c>
      <c r="C129" s="14">
        <f>(B129-B128)/B128</f>
        <v/>
      </c>
      <c r="D129" s="14">
        <f>(B129-B117)/B117</f>
        <v/>
      </c>
    </row>
    <row r="130">
      <c r="A130" s="61" t="n">
        <v>28277</v>
      </c>
      <c r="B130" s="68">
        <f>VLOOKUP(Table3[[#This Row],[Date]],Database!A:E,4,)</f>
        <v/>
      </c>
      <c r="C130" s="14">
        <f>(B130-B129)/B129</f>
        <v/>
      </c>
      <c r="D130" s="14">
        <f>(B130-B118)/B118</f>
        <v/>
      </c>
    </row>
    <row r="131">
      <c r="A131" s="61" t="n">
        <v>28307</v>
      </c>
      <c r="B131" s="68">
        <f>VLOOKUP(Table3[[#This Row],[Date]],Database!A:E,4,)</f>
        <v/>
      </c>
      <c r="C131" s="14">
        <f>(B131-B130)/B130</f>
        <v/>
      </c>
      <c r="D131" s="14">
        <f>(B131-B119)/B119</f>
        <v/>
      </c>
    </row>
    <row r="132">
      <c r="A132" s="61" t="n">
        <v>28338</v>
      </c>
      <c r="B132" s="68">
        <f>VLOOKUP(Table3[[#This Row],[Date]],Database!A:E,4,)</f>
        <v/>
      </c>
      <c r="C132" s="14">
        <f>(B132-B131)/B131</f>
        <v/>
      </c>
      <c r="D132" s="14">
        <f>(B132-B120)/B120</f>
        <v/>
      </c>
    </row>
    <row r="133">
      <c r="A133" s="61" t="n">
        <v>28369</v>
      </c>
      <c r="B133" s="68">
        <f>VLOOKUP(Table3[[#This Row],[Date]],Database!A:E,4,)</f>
        <v/>
      </c>
      <c r="C133" s="14">
        <f>(B133-B132)/B132</f>
        <v/>
      </c>
      <c r="D133" s="14">
        <f>(B133-B121)/B121</f>
        <v/>
      </c>
    </row>
    <row r="134">
      <c r="A134" s="61" t="n">
        <v>28399</v>
      </c>
      <c r="B134" s="68">
        <f>VLOOKUP(Table3[[#This Row],[Date]],Database!A:E,4,)</f>
        <v/>
      </c>
      <c r="C134" s="14">
        <f>(B134-B133)/B133</f>
        <v/>
      </c>
      <c r="D134" s="14">
        <f>(B134-B122)/B122</f>
        <v/>
      </c>
    </row>
    <row r="135">
      <c r="A135" s="61" t="n">
        <v>28430</v>
      </c>
      <c r="B135" s="68">
        <f>VLOOKUP(Table3[[#This Row],[Date]],Database!A:E,4,)</f>
        <v/>
      </c>
      <c r="C135" s="14">
        <f>(B135-B134)/B134</f>
        <v/>
      </c>
      <c r="D135" s="14">
        <f>(B135-B123)/B123</f>
        <v/>
      </c>
    </row>
    <row r="136">
      <c r="A136" s="61" t="n">
        <v>28460</v>
      </c>
      <c r="B136" s="68">
        <f>VLOOKUP(Table3[[#This Row],[Date]],Database!A:E,4,)</f>
        <v/>
      </c>
      <c r="C136" s="14">
        <f>(B136-B135)/B135</f>
        <v/>
      </c>
      <c r="D136" s="14">
        <f>(B136-B124)/B124</f>
        <v/>
      </c>
    </row>
    <row r="137">
      <c r="A137" s="61" t="n">
        <v>28491</v>
      </c>
      <c r="B137" s="68">
        <f>VLOOKUP(Table3[[#This Row],[Date]],Database!A:E,4,)</f>
        <v/>
      </c>
      <c r="C137" s="14">
        <f>(B137-B136)/B136</f>
        <v/>
      </c>
      <c r="D137" s="14">
        <f>(B137-B125)/B125</f>
        <v/>
      </c>
    </row>
    <row r="138">
      <c r="A138" s="61" t="n">
        <v>28522</v>
      </c>
      <c r="B138" s="68">
        <f>VLOOKUP(Table3[[#This Row],[Date]],Database!A:E,4,)</f>
        <v/>
      </c>
      <c r="C138" s="14">
        <f>(B138-B137)/B137</f>
        <v/>
      </c>
      <c r="D138" s="14">
        <f>(B138-B126)/B126</f>
        <v/>
      </c>
    </row>
    <row r="139">
      <c r="A139" s="61" t="n">
        <v>28550</v>
      </c>
      <c r="B139" s="68">
        <f>VLOOKUP(Table3[[#This Row],[Date]],Database!A:E,4,)</f>
        <v/>
      </c>
      <c r="C139" s="14">
        <f>(B139-B138)/B138</f>
        <v/>
      </c>
      <c r="D139" s="14">
        <f>(B139-B127)/B127</f>
        <v/>
      </c>
    </row>
    <row r="140">
      <c r="A140" s="61" t="n">
        <v>28581</v>
      </c>
      <c r="B140" s="68">
        <f>VLOOKUP(Table3[[#This Row],[Date]],Database!A:E,4,)</f>
        <v/>
      </c>
      <c r="C140" s="14">
        <f>(B140-B139)/B139</f>
        <v/>
      </c>
      <c r="D140" s="14">
        <f>(B140-B128)/B128</f>
        <v/>
      </c>
    </row>
    <row r="141">
      <c r="A141" s="61" t="n">
        <v>28611</v>
      </c>
      <c r="B141" s="68">
        <f>VLOOKUP(Table3[[#This Row],[Date]],Database!A:E,4,)</f>
        <v/>
      </c>
      <c r="C141" s="14">
        <f>(B141-B140)/B140</f>
        <v/>
      </c>
      <c r="D141" s="14">
        <f>(B141-B129)/B129</f>
        <v/>
      </c>
    </row>
    <row r="142">
      <c r="A142" s="61" t="n">
        <v>28642</v>
      </c>
      <c r="B142" s="68">
        <f>VLOOKUP(Table3[[#This Row],[Date]],Database!A:E,4,)</f>
        <v/>
      </c>
      <c r="C142" s="14">
        <f>(B142-B141)/B141</f>
        <v/>
      </c>
      <c r="D142" s="14">
        <f>(B142-B130)/B130</f>
        <v/>
      </c>
    </row>
    <row r="143">
      <c r="A143" s="61" t="n">
        <v>28672</v>
      </c>
      <c r="B143" s="68">
        <f>VLOOKUP(Table3[[#This Row],[Date]],Database!A:E,4,)</f>
        <v/>
      </c>
      <c r="C143" s="14">
        <f>(B143-B142)/B142</f>
        <v/>
      </c>
      <c r="D143" s="14">
        <f>(B143-B131)/B131</f>
        <v/>
      </c>
    </row>
    <row r="144">
      <c r="A144" s="61" t="n">
        <v>28703</v>
      </c>
      <c r="B144" s="68">
        <f>VLOOKUP(Table3[[#This Row],[Date]],Database!A:E,4,)</f>
        <v/>
      </c>
      <c r="C144" s="14">
        <f>(B144-B143)/B143</f>
        <v/>
      </c>
      <c r="D144" s="14">
        <f>(B144-B132)/B132</f>
        <v/>
      </c>
    </row>
    <row r="145">
      <c r="A145" s="61" t="n">
        <v>28734</v>
      </c>
      <c r="B145" s="68">
        <f>VLOOKUP(Table3[[#This Row],[Date]],Database!A:E,4,)</f>
        <v/>
      </c>
      <c r="C145" s="14">
        <f>(B145-B144)/B144</f>
        <v/>
      </c>
      <c r="D145" s="14">
        <f>(B145-B133)/B133</f>
        <v/>
      </c>
    </row>
    <row r="146">
      <c r="A146" s="61" t="n">
        <v>28764</v>
      </c>
      <c r="B146" s="68">
        <f>VLOOKUP(Table3[[#This Row],[Date]],Database!A:E,4,)</f>
        <v/>
      </c>
      <c r="C146" s="14">
        <f>(B146-B145)/B145</f>
        <v/>
      </c>
      <c r="D146" s="14">
        <f>(B146-B134)/B134</f>
        <v/>
      </c>
    </row>
    <row r="147">
      <c r="A147" s="61" t="n">
        <v>28795</v>
      </c>
      <c r="B147" s="68">
        <f>VLOOKUP(Table3[[#This Row],[Date]],Database!A:E,4,)</f>
        <v/>
      </c>
      <c r="C147" s="14">
        <f>(B147-B146)/B146</f>
        <v/>
      </c>
      <c r="D147" s="14">
        <f>(B147-B135)/B135</f>
        <v/>
      </c>
    </row>
    <row r="148">
      <c r="A148" s="61" t="n">
        <v>28825</v>
      </c>
      <c r="B148" s="68">
        <f>VLOOKUP(Table3[[#This Row],[Date]],Database!A:E,4,)</f>
        <v/>
      </c>
      <c r="C148" s="14">
        <f>(B148-B147)/B147</f>
        <v/>
      </c>
      <c r="D148" s="14">
        <f>(B148-B136)/B136</f>
        <v/>
      </c>
    </row>
    <row r="149">
      <c r="A149" s="61" t="n">
        <v>28856</v>
      </c>
      <c r="B149" s="68">
        <f>VLOOKUP(Table3[[#This Row],[Date]],Database!A:E,4,)</f>
        <v/>
      </c>
      <c r="C149" s="14">
        <f>(B149-B148)/B148</f>
        <v/>
      </c>
      <c r="D149" s="14">
        <f>(B149-B137)/B137</f>
        <v/>
      </c>
    </row>
    <row r="150">
      <c r="A150" s="61" t="n">
        <v>28887</v>
      </c>
      <c r="B150" s="68">
        <f>VLOOKUP(Table3[[#This Row],[Date]],Database!A:E,4,)</f>
        <v/>
      </c>
      <c r="C150" s="14">
        <f>(B150-B149)/B149</f>
        <v/>
      </c>
      <c r="D150" s="14">
        <f>(B150-B138)/B138</f>
        <v/>
      </c>
    </row>
    <row r="151">
      <c r="A151" s="61" t="n">
        <v>28915</v>
      </c>
      <c r="B151" s="68">
        <f>VLOOKUP(Table3[[#This Row],[Date]],Database!A:E,4,)</f>
        <v/>
      </c>
      <c r="C151" s="14">
        <f>(B151-B150)/B150</f>
        <v/>
      </c>
      <c r="D151" s="14">
        <f>(B151-B139)/B139</f>
        <v/>
      </c>
    </row>
    <row r="152">
      <c r="A152" s="61" t="n">
        <v>28946</v>
      </c>
      <c r="B152" s="68">
        <f>VLOOKUP(Table3[[#This Row],[Date]],Database!A:E,4,)</f>
        <v/>
      </c>
      <c r="C152" s="14">
        <f>(B152-B151)/B151</f>
        <v/>
      </c>
      <c r="D152" s="14">
        <f>(B152-B140)/B140</f>
        <v/>
      </c>
    </row>
    <row r="153">
      <c r="A153" s="61" t="n">
        <v>28976</v>
      </c>
      <c r="B153" s="68">
        <f>VLOOKUP(Table3[[#This Row],[Date]],Database!A:E,4,)</f>
        <v/>
      </c>
      <c r="C153" s="14">
        <f>(B153-B152)/B152</f>
        <v/>
      </c>
      <c r="D153" s="14">
        <f>(B153-B141)/B141</f>
        <v/>
      </c>
    </row>
    <row r="154">
      <c r="A154" s="61" t="n">
        <v>29007</v>
      </c>
      <c r="B154" s="68">
        <f>VLOOKUP(Table3[[#This Row],[Date]],Database!A:E,4,)</f>
        <v/>
      </c>
      <c r="C154" s="14">
        <f>(B154-B153)/B153</f>
        <v/>
      </c>
      <c r="D154" s="14">
        <f>(B154-B142)/B142</f>
        <v/>
      </c>
    </row>
    <row r="155">
      <c r="A155" s="61" t="n">
        <v>29037</v>
      </c>
      <c r="B155" s="68">
        <f>VLOOKUP(Table3[[#This Row],[Date]],Database!A:E,4,)</f>
        <v/>
      </c>
      <c r="C155" s="14">
        <f>(B155-B154)/B154</f>
        <v/>
      </c>
      <c r="D155" s="14">
        <f>(B155-B143)/B143</f>
        <v/>
      </c>
    </row>
    <row r="156">
      <c r="A156" s="61" t="n">
        <v>29068</v>
      </c>
      <c r="B156" s="68">
        <f>VLOOKUP(Table3[[#This Row],[Date]],Database!A:E,4,)</f>
        <v/>
      </c>
      <c r="C156" s="14">
        <f>(B156-B155)/B155</f>
        <v/>
      </c>
      <c r="D156" s="14">
        <f>(B156-B144)/B144</f>
        <v/>
      </c>
    </row>
    <row r="157">
      <c r="A157" s="61" t="n">
        <v>29099</v>
      </c>
      <c r="B157" s="68">
        <f>VLOOKUP(Table3[[#This Row],[Date]],Database!A:E,4,)</f>
        <v/>
      </c>
      <c r="C157" s="14">
        <f>(B157-B156)/B156</f>
        <v/>
      </c>
      <c r="D157" s="14">
        <f>(B157-B145)/B145</f>
        <v/>
      </c>
    </row>
    <row r="158">
      <c r="A158" s="61" t="n">
        <v>29129</v>
      </c>
      <c r="B158" s="68">
        <f>VLOOKUP(Table3[[#This Row],[Date]],Database!A:E,4,)</f>
        <v/>
      </c>
      <c r="C158" s="14">
        <f>(B158-B157)/B157</f>
        <v/>
      </c>
      <c r="D158" s="14">
        <f>(B158-B146)/B146</f>
        <v/>
      </c>
    </row>
    <row r="159">
      <c r="A159" s="61" t="n">
        <v>29160</v>
      </c>
      <c r="B159" s="68">
        <f>VLOOKUP(Table3[[#This Row],[Date]],Database!A:E,4,)</f>
        <v/>
      </c>
      <c r="C159" s="14">
        <f>(B159-B158)/B158</f>
        <v/>
      </c>
      <c r="D159" s="14">
        <f>(B159-B147)/B147</f>
        <v/>
      </c>
    </row>
    <row r="160">
      <c r="A160" s="61" t="n">
        <v>29190</v>
      </c>
      <c r="B160" s="68">
        <f>VLOOKUP(Table3[[#This Row],[Date]],Database!A:E,4,)</f>
        <v/>
      </c>
      <c r="C160" s="14">
        <f>(B160-B159)/B159</f>
        <v/>
      </c>
      <c r="D160" s="14">
        <f>(B160-B148)/B148</f>
        <v/>
      </c>
    </row>
    <row r="161">
      <c r="A161" s="61" t="n">
        <v>29221</v>
      </c>
      <c r="B161" s="68">
        <f>VLOOKUP(Table3[[#This Row],[Date]],Database!A:E,4,)</f>
        <v/>
      </c>
      <c r="C161" s="14">
        <f>(B161-B160)/B160</f>
        <v/>
      </c>
      <c r="D161" s="14">
        <f>(B161-B149)/B149</f>
        <v/>
      </c>
    </row>
    <row r="162">
      <c r="A162" s="61" t="n">
        <v>29252</v>
      </c>
      <c r="B162" s="68">
        <f>VLOOKUP(Table3[[#This Row],[Date]],Database!A:E,4,)</f>
        <v/>
      </c>
      <c r="C162" s="14">
        <f>(B162-B161)/B161</f>
        <v/>
      </c>
      <c r="D162" s="14">
        <f>(B162-B150)/B150</f>
        <v/>
      </c>
    </row>
    <row r="163">
      <c r="A163" s="61" t="n">
        <v>29281</v>
      </c>
      <c r="B163" s="68">
        <f>VLOOKUP(Table3[[#This Row],[Date]],Database!A:E,4,)</f>
        <v/>
      </c>
      <c r="C163" s="14">
        <f>(B163-B162)/B162</f>
        <v/>
      </c>
      <c r="D163" s="14">
        <f>(B163-B151)/B151</f>
        <v/>
      </c>
    </row>
    <row r="164">
      <c r="A164" s="61" t="n">
        <v>29312</v>
      </c>
      <c r="B164" s="68">
        <f>VLOOKUP(Table3[[#This Row],[Date]],Database!A:E,4,)</f>
        <v/>
      </c>
      <c r="C164" s="14">
        <f>(B164-B163)/B163</f>
        <v/>
      </c>
      <c r="D164" s="14">
        <f>(B164-B152)/B152</f>
        <v/>
      </c>
    </row>
    <row r="165">
      <c r="A165" s="61" t="n">
        <v>29342</v>
      </c>
      <c r="B165" s="68">
        <f>VLOOKUP(Table3[[#This Row],[Date]],Database!A:E,4,)</f>
        <v/>
      </c>
      <c r="C165" s="14">
        <f>(B165-B164)/B164</f>
        <v/>
      </c>
      <c r="D165" s="14">
        <f>(B165-B153)/B153</f>
        <v/>
      </c>
    </row>
    <row r="166">
      <c r="A166" s="61" t="n">
        <v>29373</v>
      </c>
      <c r="B166" s="68">
        <f>VLOOKUP(Table3[[#This Row],[Date]],Database!A:E,4,)</f>
        <v/>
      </c>
      <c r="C166" s="14">
        <f>(B166-B165)/B165</f>
        <v/>
      </c>
      <c r="D166" s="14">
        <f>(B166-B154)/B154</f>
        <v/>
      </c>
    </row>
    <row r="167">
      <c r="A167" s="61" t="n">
        <v>29403</v>
      </c>
      <c r="B167" s="68">
        <f>VLOOKUP(Table3[[#This Row],[Date]],Database!A:E,4,)</f>
        <v/>
      </c>
      <c r="C167" s="14">
        <f>(B167-B166)/B166</f>
        <v/>
      </c>
      <c r="D167" s="14">
        <f>(B167-B155)/B155</f>
        <v/>
      </c>
    </row>
    <row r="168">
      <c r="A168" s="61" t="n">
        <v>29434</v>
      </c>
      <c r="B168" s="68">
        <f>VLOOKUP(Table3[[#This Row],[Date]],Database!A:E,4,)</f>
        <v/>
      </c>
      <c r="C168" s="14">
        <f>(B168-B167)/B167</f>
        <v/>
      </c>
      <c r="D168" s="14">
        <f>(B168-B156)/B156</f>
        <v/>
      </c>
    </row>
    <row r="169">
      <c r="A169" s="61" t="n">
        <v>29465</v>
      </c>
      <c r="B169" s="68">
        <f>VLOOKUP(Table3[[#This Row],[Date]],Database!A:E,4,)</f>
        <v/>
      </c>
      <c r="C169" s="14">
        <f>(B169-B168)/B168</f>
        <v/>
      </c>
      <c r="D169" s="14">
        <f>(B169-B157)/B157</f>
        <v/>
      </c>
    </row>
    <row r="170">
      <c r="A170" s="61" t="n">
        <v>29495</v>
      </c>
      <c r="B170" s="68">
        <f>VLOOKUP(Table3[[#This Row],[Date]],Database!A:E,4,)</f>
        <v/>
      </c>
      <c r="C170" s="14">
        <f>(B170-B169)/B169</f>
        <v/>
      </c>
      <c r="D170" s="14">
        <f>(B170-B158)/B158</f>
        <v/>
      </c>
    </row>
    <row r="171">
      <c r="A171" s="61" t="n">
        <v>29526</v>
      </c>
      <c r="B171" s="68">
        <f>VLOOKUP(Table3[[#This Row],[Date]],Database!A:E,4,)</f>
        <v/>
      </c>
      <c r="C171" s="14">
        <f>(B171-B170)/B170</f>
        <v/>
      </c>
      <c r="D171" s="14">
        <f>(B171-B159)/B159</f>
        <v/>
      </c>
    </row>
    <row r="172">
      <c r="A172" s="61" t="n">
        <v>29556</v>
      </c>
      <c r="B172" s="68">
        <f>VLOOKUP(Table3[[#This Row],[Date]],Database!A:E,4,)</f>
        <v/>
      </c>
      <c r="C172" s="14">
        <f>(B172-B171)/B171</f>
        <v/>
      </c>
      <c r="D172" s="14">
        <f>(B172-B160)/B160</f>
        <v/>
      </c>
    </row>
    <row r="173">
      <c r="A173" s="61" t="n">
        <v>29587</v>
      </c>
      <c r="B173" s="68">
        <f>VLOOKUP(Table3[[#This Row],[Date]],Database!A:E,4,)</f>
        <v/>
      </c>
      <c r="C173" s="14">
        <f>(B173-B172)/B172</f>
        <v/>
      </c>
      <c r="D173" s="14">
        <f>(B173-B161)/B161</f>
        <v/>
      </c>
    </row>
    <row r="174">
      <c r="A174" s="61" t="n">
        <v>29618</v>
      </c>
      <c r="B174" s="68">
        <f>VLOOKUP(Table3[[#This Row],[Date]],Database!A:E,4,)</f>
        <v/>
      </c>
      <c r="C174" s="14">
        <f>(B174-B173)/B173</f>
        <v/>
      </c>
      <c r="D174" s="14">
        <f>(B174-B162)/B162</f>
        <v/>
      </c>
    </row>
    <row r="175">
      <c r="A175" s="61" t="n">
        <v>29646</v>
      </c>
      <c r="B175" s="68">
        <f>VLOOKUP(Table3[[#This Row],[Date]],Database!A:E,4,)</f>
        <v/>
      </c>
      <c r="C175" s="14">
        <f>(B175-B174)/B174</f>
        <v/>
      </c>
      <c r="D175" s="14">
        <f>(B175-B163)/B163</f>
        <v/>
      </c>
    </row>
    <row r="176">
      <c r="A176" s="61" t="n">
        <v>29677</v>
      </c>
      <c r="B176" s="68">
        <f>VLOOKUP(Table3[[#This Row],[Date]],Database!A:E,4,)</f>
        <v/>
      </c>
      <c r="C176" s="14">
        <f>(B176-B175)/B175</f>
        <v/>
      </c>
      <c r="D176" s="14">
        <f>(B176-B164)/B164</f>
        <v/>
      </c>
    </row>
    <row r="177">
      <c r="A177" s="61" t="n">
        <v>29707</v>
      </c>
      <c r="B177" s="68">
        <f>VLOOKUP(Table3[[#This Row],[Date]],Database!A:E,4,)</f>
        <v/>
      </c>
      <c r="C177" s="14">
        <f>(B177-B176)/B176</f>
        <v/>
      </c>
      <c r="D177" s="14">
        <f>(B177-B165)/B165</f>
        <v/>
      </c>
    </row>
    <row r="178">
      <c r="A178" s="61" t="n">
        <v>29738</v>
      </c>
      <c r="B178" s="68">
        <f>VLOOKUP(Table3[[#This Row],[Date]],Database!A:E,4,)</f>
        <v/>
      </c>
      <c r="C178" s="14">
        <f>(B178-B177)/B177</f>
        <v/>
      </c>
      <c r="D178" s="14">
        <f>(B178-B166)/B166</f>
        <v/>
      </c>
    </row>
    <row r="179">
      <c r="A179" s="61" t="n">
        <v>29768</v>
      </c>
      <c r="B179" s="68">
        <f>VLOOKUP(Table3[[#This Row],[Date]],Database!A:E,4,)</f>
        <v/>
      </c>
      <c r="C179" s="14">
        <f>(B179-B178)/B178</f>
        <v/>
      </c>
      <c r="D179" s="14">
        <f>(B179-B167)/B167</f>
        <v/>
      </c>
    </row>
    <row r="180">
      <c r="A180" s="61" t="n">
        <v>29799</v>
      </c>
      <c r="B180" s="68">
        <f>VLOOKUP(Table3[[#This Row],[Date]],Database!A:E,4,)</f>
        <v/>
      </c>
      <c r="C180" s="14">
        <f>(B180-B179)/B179</f>
        <v/>
      </c>
      <c r="D180" s="14">
        <f>(B180-B168)/B168</f>
        <v/>
      </c>
    </row>
    <row r="181">
      <c r="A181" s="61" t="n">
        <v>29830</v>
      </c>
      <c r="B181" s="68">
        <f>VLOOKUP(Table3[[#This Row],[Date]],Database!A:E,4,)</f>
        <v/>
      </c>
      <c r="C181" s="14">
        <f>(B181-B180)/B180</f>
        <v/>
      </c>
      <c r="D181" s="14">
        <f>(B181-B169)/B169</f>
        <v/>
      </c>
    </row>
    <row r="182">
      <c r="A182" s="61" t="n">
        <v>29860</v>
      </c>
      <c r="B182" s="68">
        <f>VLOOKUP(Table3[[#This Row],[Date]],Database!A:E,4,)</f>
        <v/>
      </c>
      <c r="C182" s="14">
        <f>(B182-B181)/B181</f>
        <v/>
      </c>
      <c r="D182" s="14">
        <f>(B182-B170)/B170</f>
        <v/>
      </c>
    </row>
    <row r="183">
      <c r="A183" s="61" t="n">
        <v>29891</v>
      </c>
      <c r="B183" s="68">
        <f>VLOOKUP(Table3[[#This Row],[Date]],Database!A:E,4,)</f>
        <v/>
      </c>
      <c r="C183" s="14">
        <f>(B183-B182)/B182</f>
        <v/>
      </c>
      <c r="D183" s="14">
        <f>(B183-B171)/B171</f>
        <v/>
      </c>
    </row>
    <row r="184">
      <c r="A184" s="61" t="n">
        <v>29921</v>
      </c>
      <c r="B184" s="68">
        <f>VLOOKUP(Table3[[#This Row],[Date]],Database!A:E,4,)</f>
        <v/>
      </c>
      <c r="C184" s="14">
        <f>(B184-B183)/B183</f>
        <v/>
      </c>
      <c r="D184" s="14">
        <f>(B184-B172)/B172</f>
        <v/>
      </c>
    </row>
    <row r="185">
      <c r="A185" s="61" t="n">
        <v>29952</v>
      </c>
      <c r="B185" s="68">
        <f>VLOOKUP(Table3[[#This Row],[Date]],Database!A:E,4,)</f>
        <v/>
      </c>
      <c r="C185" s="14">
        <f>(B185-B184)/B184</f>
        <v/>
      </c>
      <c r="D185" s="14">
        <f>(B185-B173)/B173</f>
        <v/>
      </c>
    </row>
    <row r="186">
      <c r="A186" s="61" t="n">
        <v>29983</v>
      </c>
      <c r="B186" s="68">
        <f>VLOOKUP(Table3[[#This Row],[Date]],Database!A:E,4,)</f>
        <v/>
      </c>
      <c r="C186" s="14">
        <f>(B186-B185)/B185</f>
        <v/>
      </c>
      <c r="D186" s="14">
        <f>(B186-B174)/B174</f>
        <v/>
      </c>
    </row>
    <row r="187">
      <c r="A187" s="61" t="n">
        <v>30011</v>
      </c>
      <c r="B187" s="68">
        <f>VLOOKUP(Table3[[#This Row],[Date]],Database!A:E,4,)</f>
        <v/>
      </c>
      <c r="C187" s="14">
        <f>(B187-B186)/B186</f>
        <v/>
      </c>
      <c r="D187" s="14">
        <f>(B187-B175)/B175</f>
        <v/>
      </c>
    </row>
    <row r="188">
      <c r="A188" s="61" t="n">
        <v>30042</v>
      </c>
      <c r="B188" s="68">
        <f>VLOOKUP(Table3[[#This Row],[Date]],Database!A:E,4,)</f>
        <v/>
      </c>
      <c r="C188" s="14">
        <f>(B188-B187)/B187</f>
        <v/>
      </c>
      <c r="D188" s="14">
        <f>(B188-B176)/B176</f>
        <v/>
      </c>
    </row>
    <row r="189">
      <c r="A189" s="61" t="n">
        <v>30072</v>
      </c>
      <c r="B189" s="68">
        <f>VLOOKUP(Table3[[#This Row],[Date]],Database!A:E,4,)</f>
        <v/>
      </c>
      <c r="C189" s="14">
        <f>(B189-B188)/B188</f>
        <v/>
      </c>
      <c r="D189" s="14">
        <f>(B189-B177)/B177</f>
        <v/>
      </c>
    </row>
    <row r="190">
      <c r="A190" s="61" t="n">
        <v>30103</v>
      </c>
      <c r="B190" s="68">
        <f>VLOOKUP(Table3[[#This Row],[Date]],Database!A:E,4,)</f>
        <v/>
      </c>
      <c r="C190" s="14">
        <f>(B190-B189)/B189</f>
        <v/>
      </c>
      <c r="D190" s="14">
        <f>(B190-B178)/B178</f>
        <v/>
      </c>
    </row>
    <row r="191">
      <c r="A191" s="61" t="n">
        <v>30133</v>
      </c>
      <c r="B191" s="68">
        <f>VLOOKUP(Table3[[#This Row],[Date]],Database!A:E,4,)</f>
        <v/>
      </c>
      <c r="C191" s="14">
        <f>(B191-B190)/B190</f>
        <v/>
      </c>
      <c r="D191" s="14">
        <f>(B191-B179)/B179</f>
        <v/>
      </c>
    </row>
    <row r="192">
      <c r="A192" s="61" t="n">
        <v>30164</v>
      </c>
      <c r="B192" s="68">
        <f>VLOOKUP(Table3[[#This Row],[Date]],Database!A:E,4,)</f>
        <v/>
      </c>
      <c r="C192" s="14">
        <f>(B192-B191)/B191</f>
        <v/>
      </c>
      <c r="D192" s="14">
        <f>(B192-B180)/B180</f>
        <v/>
      </c>
    </row>
    <row r="193">
      <c r="A193" s="61" t="n">
        <v>30195</v>
      </c>
      <c r="B193" s="68">
        <f>VLOOKUP(Table3[[#This Row],[Date]],Database!A:E,4,)</f>
        <v/>
      </c>
      <c r="C193" s="14">
        <f>(B193-B192)/B192</f>
        <v/>
      </c>
      <c r="D193" s="14">
        <f>(B193-B181)/B181</f>
        <v/>
      </c>
    </row>
    <row r="194">
      <c r="A194" s="61" t="n">
        <v>30225</v>
      </c>
      <c r="B194" s="68">
        <f>VLOOKUP(Table3[[#This Row],[Date]],Database!A:E,4,)</f>
        <v/>
      </c>
      <c r="C194" s="14">
        <f>(B194-B193)/B193</f>
        <v/>
      </c>
      <c r="D194" s="14">
        <f>(B194-B182)/B182</f>
        <v/>
      </c>
    </row>
    <row r="195">
      <c r="A195" s="61" t="n">
        <v>30256</v>
      </c>
      <c r="B195" s="68">
        <f>VLOOKUP(Table3[[#This Row],[Date]],Database!A:E,4,)</f>
        <v/>
      </c>
      <c r="C195" s="14">
        <f>(B195-B194)/B194</f>
        <v/>
      </c>
      <c r="D195" s="14">
        <f>(B195-B183)/B183</f>
        <v/>
      </c>
    </row>
    <row r="196">
      <c r="A196" s="61" t="n">
        <v>30286</v>
      </c>
      <c r="B196" s="68">
        <f>VLOOKUP(Table3[[#This Row],[Date]],Database!A:E,4,)</f>
        <v/>
      </c>
      <c r="C196" s="14">
        <f>(B196-B195)/B195</f>
        <v/>
      </c>
      <c r="D196" s="14">
        <f>(B196-B184)/B184</f>
        <v/>
      </c>
    </row>
    <row r="197">
      <c r="A197" s="61" t="n">
        <v>30317</v>
      </c>
      <c r="B197" s="68">
        <f>VLOOKUP(Table3[[#This Row],[Date]],Database!A:E,4,)</f>
        <v/>
      </c>
      <c r="C197" s="14">
        <f>(B197-B196)/B196</f>
        <v/>
      </c>
      <c r="D197" s="14">
        <f>(B197-B185)/B185</f>
        <v/>
      </c>
    </row>
    <row r="198">
      <c r="A198" s="61" t="n">
        <v>30348</v>
      </c>
      <c r="B198" s="68">
        <f>VLOOKUP(Table3[[#This Row],[Date]],Database!A:E,4,)</f>
        <v/>
      </c>
      <c r="C198" s="14">
        <f>(B198-B197)/B197</f>
        <v/>
      </c>
      <c r="D198" s="14">
        <f>(B198-B186)/B186</f>
        <v/>
      </c>
    </row>
    <row r="199">
      <c r="A199" s="61" t="n">
        <v>30376</v>
      </c>
      <c r="B199" s="68">
        <f>VLOOKUP(Table3[[#This Row],[Date]],Database!A:E,4,)</f>
        <v/>
      </c>
      <c r="C199" s="14">
        <f>(B199-B198)/B198</f>
        <v/>
      </c>
      <c r="D199" s="14">
        <f>(B199-B187)/B187</f>
        <v/>
      </c>
    </row>
    <row r="200">
      <c r="A200" s="61" t="n">
        <v>30407</v>
      </c>
      <c r="B200" s="68">
        <f>VLOOKUP(Table3[[#This Row],[Date]],Database!A:E,4,)</f>
        <v/>
      </c>
      <c r="C200" s="14">
        <f>(B200-B199)/B199</f>
        <v/>
      </c>
      <c r="D200" s="14">
        <f>(B200-B188)/B188</f>
        <v/>
      </c>
    </row>
    <row r="201">
      <c r="A201" s="61" t="n">
        <v>30437</v>
      </c>
      <c r="B201" s="68">
        <f>VLOOKUP(Table3[[#This Row],[Date]],Database!A:E,4,)</f>
        <v/>
      </c>
      <c r="C201" s="14">
        <f>(B201-B200)/B200</f>
        <v/>
      </c>
      <c r="D201" s="14">
        <f>(B201-B189)/B189</f>
        <v/>
      </c>
    </row>
    <row r="202">
      <c r="A202" s="61" t="n">
        <v>30468</v>
      </c>
      <c r="B202" s="68">
        <f>VLOOKUP(Table3[[#This Row],[Date]],Database!A:E,4,)</f>
        <v/>
      </c>
      <c r="C202" s="14">
        <f>(B202-B201)/B201</f>
        <v/>
      </c>
      <c r="D202" s="14">
        <f>(B202-B190)/B190</f>
        <v/>
      </c>
    </row>
    <row r="203">
      <c r="A203" s="61" t="n">
        <v>30498</v>
      </c>
      <c r="B203" s="68">
        <f>VLOOKUP(Table3[[#This Row],[Date]],Database!A:E,4,)</f>
        <v/>
      </c>
      <c r="C203" s="14">
        <f>(B203-B202)/B202</f>
        <v/>
      </c>
      <c r="D203" s="14">
        <f>(B203-B191)/B191</f>
        <v/>
      </c>
    </row>
    <row r="204">
      <c r="A204" s="61" t="n">
        <v>30529</v>
      </c>
      <c r="B204" s="68">
        <f>VLOOKUP(Table3[[#This Row],[Date]],Database!A:E,4,)</f>
        <v/>
      </c>
      <c r="C204" s="14">
        <f>(B204-B203)/B203</f>
        <v/>
      </c>
      <c r="D204" s="14">
        <f>(B204-B192)/B192</f>
        <v/>
      </c>
    </row>
    <row r="205">
      <c r="A205" s="61" t="n">
        <v>30560</v>
      </c>
      <c r="B205" s="68">
        <f>VLOOKUP(Table3[[#This Row],[Date]],Database!A:E,4,)</f>
        <v/>
      </c>
      <c r="C205" s="14">
        <f>(B205-B204)/B204</f>
        <v/>
      </c>
      <c r="D205" s="14">
        <f>(B205-B193)/B193</f>
        <v/>
      </c>
    </row>
    <row r="206">
      <c r="A206" s="61" t="n">
        <v>30590</v>
      </c>
      <c r="B206" s="68">
        <f>VLOOKUP(Table3[[#This Row],[Date]],Database!A:E,4,)</f>
        <v/>
      </c>
      <c r="C206" s="14">
        <f>(B206-B205)/B205</f>
        <v/>
      </c>
      <c r="D206" s="14">
        <f>(B206-B194)/B194</f>
        <v/>
      </c>
    </row>
    <row r="207">
      <c r="A207" s="61" t="n">
        <v>30621</v>
      </c>
      <c r="B207" s="68">
        <f>VLOOKUP(Table3[[#This Row],[Date]],Database!A:E,4,)</f>
        <v/>
      </c>
      <c r="C207" s="14">
        <f>(B207-B206)/B206</f>
        <v/>
      </c>
      <c r="D207" s="14">
        <f>(B207-B195)/B195</f>
        <v/>
      </c>
    </row>
    <row r="208">
      <c r="A208" s="61" t="n">
        <v>30651</v>
      </c>
      <c r="B208" s="68">
        <f>VLOOKUP(Table3[[#This Row],[Date]],Database!A:E,4,)</f>
        <v/>
      </c>
      <c r="C208" s="14">
        <f>(B208-B207)/B207</f>
        <v/>
      </c>
      <c r="D208" s="14">
        <f>(B208-B196)/B196</f>
        <v/>
      </c>
    </row>
    <row r="209">
      <c r="A209" s="61" t="n">
        <v>30682</v>
      </c>
      <c r="B209" s="68">
        <f>VLOOKUP(Table3[[#This Row],[Date]],Database!A:E,4,)</f>
        <v/>
      </c>
      <c r="C209" s="14">
        <f>(B209-B208)/B208</f>
        <v/>
      </c>
      <c r="D209" s="14">
        <f>(B209-B197)/B197</f>
        <v/>
      </c>
    </row>
    <row r="210">
      <c r="A210" s="61" t="n">
        <v>30713</v>
      </c>
      <c r="B210" s="68">
        <f>VLOOKUP(Table3[[#This Row],[Date]],Database!A:E,4,)</f>
        <v/>
      </c>
      <c r="C210" s="14">
        <f>(B210-B209)/B209</f>
        <v/>
      </c>
      <c r="D210" s="14">
        <f>(B210-B198)/B198</f>
        <v/>
      </c>
    </row>
    <row r="211">
      <c r="A211" s="61" t="n">
        <v>30742</v>
      </c>
      <c r="B211" s="68">
        <f>VLOOKUP(Table3[[#This Row],[Date]],Database!A:E,4,)</f>
        <v/>
      </c>
      <c r="C211" s="14">
        <f>(B211-B210)/B210</f>
        <v/>
      </c>
      <c r="D211" s="14">
        <f>(B211-B199)/B199</f>
        <v/>
      </c>
    </row>
    <row r="212">
      <c r="A212" s="61" t="n">
        <v>30773</v>
      </c>
      <c r="B212" s="68">
        <f>VLOOKUP(Table3[[#This Row],[Date]],Database!A:E,4,)</f>
        <v/>
      </c>
      <c r="C212" s="14">
        <f>(B212-B211)/B211</f>
        <v/>
      </c>
      <c r="D212" s="14">
        <f>(B212-B200)/B200</f>
        <v/>
      </c>
    </row>
    <row r="213">
      <c r="A213" s="61" t="n">
        <v>30803</v>
      </c>
      <c r="B213" s="68">
        <f>VLOOKUP(Table3[[#This Row],[Date]],Database!A:E,4,)</f>
        <v/>
      </c>
      <c r="C213" s="14">
        <f>(B213-B212)/B212</f>
        <v/>
      </c>
      <c r="D213" s="14">
        <f>(B213-B201)/B201</f>
        <v/>
      </c>
    </row>
    <row r="214">
      <c r="A214" s="61" t="n">
        <v>30834</v>
      </c>
      <c r="B214" s="68">
        <f>VLOOKUP(Table3[[#This Row],[Date]],Database!A:E,4,)</f>
        <v/>
      </c>
      <c r="C214" s="14">
        <f>(B214-B213)/B213</f>
        <v/>
      </c>
      <c r="D214" s="14">
        <f>(B214-B202)/B202</f>
        <v/>
      </c>
    </row>
    <row r="215">
      <c r="A215" s="61" t="n">
        <v>30864</v>
      </c>
      <c r="B215" s="68">
        <f>VLOOKUP(Table3[[#This Row],[Date]],Database!A:E,4,)</f>
        <v/>
      </c>
      <c r="C215" s="14">
        <f>(B215-B214)/B214</f>
        <v/>
      </c>
      <c r="D215" s="14">
        <f>(B215-B203)/B203</f>
        <v/>
      </c>
    </row>
    <row r="216">
      <c r="A216" s="61" t="n">
        <v>30895</v>
      </c>
      <c r="B216" s="68">
        <f>VLOOKUP(Table3[[#This Row],[Date]],Database!A:E,4,)</f>
        <v/>
      </c>
      <c r="C216" s="14">
        <f>(B216-B215)/B215</f>
        <v/>
      </c>
      <c r="D216" s="14">
        <f>(B216-B204)/B204</f>
        <v/>
      </c>
    </row>
    <row r="217">
      <c r="A217" s="61" t="n">
        <v>30926</v>
      </c>
      <c r="B217" s="68">
        <f>VLOOKUP(Table3[[#This Row],[Date]],Database!A:E,4,)</f>
        <v/>
      </c>
      <c r="C217" s="14">
        <f>(B217-B216)/B216</f>
        <v/>
      </c>
      <c r="D217" s="14">
        <f>(B217-B205)/B205</f>
        <v/>
      </c>
    </row>
    <row r="218">
      <c r="A218" s="61" t="n">
        <v>30956</v>
      </c>
      <c r="B218" s="68">
        <f>VLOOKUP(Table3[[#This Row],[Date]],Database!A:E,4,)</f>
        <v/>
      </c>
      <c r="C218" s="14">
        <f>(B218-B217)/B217</f>
        <v/>
      </c>
      <c r="D218" s="14">
        <f>(B218-B206)/B206</f>
        <v/>
      </c>
    </row>
    <row r="219">
      <c r="A219" s="61" t="n">
        <v>30987</v>
      </c>
      <c r="B219" s="68">
        <f>VLOOKUP(Table3[[#This Row],[Date]],Database!A:E,4,)</f>
        <v/>
      </c>
      <c r="C219" s="14">
        <f>(B219-B218)/B218</f>
        <v/>
      </c>
      <c r="D219" s="14">
        <f>(B219-B207)/B207</f>
        <v/>
      </c>
    </row>
    <row r="220">
      <c r="A220" s="61" t="n">
        <v>31017</v>
      </c>
      <c r="B220" s="68">
        <f>VLOOKUP(Table3[[#This Row],[Date]],Database!A:E,4,)</f>
        <v/>
      </c>
      <c r="C220" s="14">
        <f>(B220-B219)/B219</f>
        <v/>
      </c>
      <c r="D220" s="14">
        <f>(B220-B208)/B208</f>
        <v/>
      </c>
    </row>
    <row r="221">
      <c r="A221" s="61" t="n">
        <v>31048</v>
      </c>
      <c r="B221" s="68">
        <f>VLOOKUP(Table3[[#This Row],[Date]],Database!A:E,4,)</f>
        <v/>
      </c>
      <c r="C221" s="14">
        <f>(B221-B220)/B220</f>
        <v/>
      </c>
      <c r="D221" s="14">
        <f>(B221-B209)/B209</f>
        <v/>
      </c>
    </row>
    <row r="222">
      <c r="A222" s="61" t="n">
        <v>31079</v>
      </c>
      <c r="B222" s="68">
        <f>VLOOKUP(Table3[[#This Row],[Date]],Database!A:E,4,)</f>
        <v/>
      </c>
      <c r="C222" s="14">
        <f>(B222-B221)/B221</f>
        <v/>
      </c>
      <c r="D222" s="14">
        <f>(B222-B210)/B210</f>
        <v/>
      </c>
    </row>
    <row r="223">
      <c r="A223" s="61" t="n">
        <v>31107</v>
      </c>
      <c r="B223" s="68">
        <f>VLOOKUP(Table3[[#This Row],[Date]],Database!A:E,4,)</f>
        <v/>
      </c>
      <c r="C223" s="14">
        <f>(B223-B222)/B222</f>
        <v/>
      </c>
      <c r="D223" s="14">
        <f>(B223-B211)/B211</f>
        <v/>
      </c>
    </row>
    <row r="224">
      <c r="A224" s="61" t="n">
        <v>31138</v>
      </c>
      <c r="B224" s="68">
        <f>VLOOKUP(Table3[[#This Row],[Date]],Database!A:E,4,)</f>
        <v/>
      </c>
      <c r="C224" s="14">
        <f>(B224-B223)/B223</f>
        <v/>
      </c>
      <c r="D224" s="14">
        <f>(B224-B212)/B212</f>
        <v/>
      </c>
    </row>
    <row r="225">
      <c r="A225" s="61" t="n">
        <v>31168</v>
      </c>
      <c r="B225" s="68">
        <f>VLOOKUP(Table3[[#This Row],[Date]],Database!A:E,4,)</f>
        <v/>
      </c>
      <c r="C225" s="14">
        <f>(B225-B224)/B224</f>
        <v/>
      </c>
      <c r="D225" s="14">
        <f>(B225-B213)/B213</f>
        <v/>
      </c>
    </row>
    <row r="226">
      <c r="A226" s="61" t="n">
        <v>31199</v>
      </c>
      <c r="B226" s="68">
        <f>VLOOKUP(Table3[[#This Row],[Date]],Database!A:E,4,)</f>
        <v/>
      </c>
      <c r="C226" s="14">
        <f>(B226-B225)/B225</f>
        <v/>
      </c>
      <c r="D226" s="14">
        <f>(B226-B214)/B214</f>
        <v/>
      </c>
    </row>
    <row r="227">
      <c r="A227" s="61" t="n">
        <v>31229</v>
      </c>
      <c r="B227" s="68">
        <f>VLOOKUP(Table3[[#This Row],[Date]],Database!A:E,4,)</f>
        <v/>
      </c>
      <c r="C227" s="14">
        <f>(B227-B226)/B226</f>
        <v/>
      </c>
      <c r="D227" s="14">
        <f>(B227-B215)/B215</f>
        <v/>
      </c>
    </row>
    <row r="228">
      <c r="A228" s="61" t="n">
        <v>31260</v>
      </c>
      <c r="B228" s="68">
        <f>VLOOKUP(Table3[[#This Row],[Date]],Database!A:E,4,)</f>
        <v/>
      </c>
      <c r="C228" s="14">
        <f>(B228-B227)/B227</f>
        <v/>
      </c>
      <c r="D228" s="14">
        <f>(B228-B216)/B216</f>
        <v/>
      </c>
    </row>
    <row r="229">
      <c r="A229" s="61" t="n">
        <v>31291</v>
      </c>
      <c r="B229" s="68">
        <f>VLOOKUP(Table3[[#This Row],[Date]],Database!A:E,4,)</f>
        <v/>
      </c>
      <c r="C229" s="14">
        <f>(B229-B228)/B228</f>
        <v/>
      </c>
      <c r="D229" s="14">
        <f>(B229-B217)/B217</f>
        <v/>
      </c>
    </row>
    <row r="230">
      <c r="A230" s="61" t="n">
        <v>31321</v>
      </c>
      <c r="B230" s="68">
        <f>VLOOKUP(Table3[[#This Row],[Date]],Database!A:E,4,)</f>
        <v/>
      </c>
      <c r="C230" s="14">
        <f>(B230-B229)/B229</f>
        <v/>
      </c>
      <c r="D230" s="14">
        <f>(B230-B218)/B218</f>
        <v/>
      </c>
    </row>
    <row r="231">
      <c r="A231" s="61" t="n">
        <v>31352</v>
      </c>
      <c r="B231" s="68">
        <f>VLOOKUP(Table3[[#This Row],[Date]],Database!A:E,4,)</f>
        <v/>
      </c>
      <c r="C231" s="14">
        <f>(B231-B230)/B230</f>
        <v/>
      </c>
      <c r="D231" s="14">
        <f>(B231-B219)/B219</f>
        <v/>
      </c>
    </row>
    <row r="232">
      <c r="A232" s="61" t="n">
        <v>31382</v>
      </c>
      <c r="B232" s="68">
        <f>VLOOKUP(Table3[[#This Row],[Date]],Database!A:E,4,)</f>
        <v/>
      </c>
      <c r="C232" s="14">
        <f>(B232-B231)/B231</f>
        <v/>
      </c>
      <c r="D232" s="14">
        <f>(B232-B220)/B220</f>
        <v/>
      </c>
    </row>
    <row r="233">
      <c r="A233" s="61" t="n">
        <v>31413</v>
      </c>
      <c r="B233" s="68">
        <f>VLOOKUP(Table3[[#This Row],[Date]],Database!A:E,4,)</f>
        <v/>
      </c>
      <c r="C233" s="14">
        <f>(B233-B232)/B232</f>
        <v/>
      </c>
      <c r="D233" s="14">
        <f>(B233-B221)/B221</f>
        <v/>
      </c>
    </row>
    <row r="234">
      <c r="A234" s="61" t="n">
        <v>31444</v>
      </c>
      <c r="B234" s="68">
        <f>VLOOKUP(Table3[[#This Row],[Date]],Database!A:E,4,)</f>
        <v/>
      </c>
      <c r="C234" s="14">
        <f>(B234-B233)/B233</f>
        <v/>
      </c>
      <c r="D234" s="14">
        <f>(B234-B222)/B222</f>
        <v/>
      </c>
    </row>
    <row r="235">
      <c r="A235" s="61" t="n">
        <v>31472</v>
      </c>
      <c r="B235" s="68">
        <f>VLOOKUP(Table3[[#This Row],[Date]],Database!A:E,4,)</f>
        <v/>
      </c>
      <c r="C235" s="14">
        <f>(B235-B234)/B234</f>
        <v/>
      </c>
      <c r="D235" s="14">
        <f>(B235-B223)/B223</f>
        <v/>
      </c>
    </row>
    <row r="236">
      <c r="A236" s="61" t="n">
        <v>31503</v>
      </c>
      <c r="B236" s="68">
        <f>VLOOKUP(Table3[[#This Row],[Date]],Database!A:E,4,)</f>
        <v/>
      </c>
      <c r="C236" s="14">
        <f>(B236-B235)/B235</f>
        <v/>
      </c>
      <c r="D236" s="14">
        <f>(B236-B224)/B224</f>
        <v/>
      </c>
    </row>
    <row r="237">
      <c r="A237" s="61" t="n">
        <v>31533</v>
      </c>
      <c r="B237" s="68">
        <f>VLOOKUP(Table3[[#This Row],[Date]],Database!A:E,4,)</f>
        <v/>
      </c>
      <c r="C237" s="14">
        <f>(B237-B236)/B236</f>
        <v/>
      </c>
      <c r="D237" s="14">
        <f>(B237-B225)/B225</f>
        <v/>
      </c>
    </row>
    <row r="238">
      <c r="A238" s="61" t="n">
        <v>31564</v>
      </c>
      <c r="B238" s="68">
        <f>VLOOKUP(Table3[[#This Row],[Date]],Database!A:E,4,)</f>
        <v/>
      </c>
      <c r="C238" s="14">
        <f>(B238-B237)/B237</f>
        <v/>
      </c>
      <c r="D238" s="14">
        <f>(B238-B226)/B226</f>
        <v/>
      </c>
    </row>
    <row r="239">
      <c r="A239" s="61" t="n">
        <v>31594</v>
      </c>
      <c r="B239" s="68">
        <f>VLOOKUP(Table3[[#This Row],[Date]],Database!A:E,4,)</f>
        <v/>
      </c>
      <c r="C239" s="14">
        <f>(B239-B238)/B238</f>
        <v/>
      </c>
      <c r="D239" s="14">
        <f>(B239-B227)/B227</f>
        <v/>
      </c>
    </row>
    <row r="240">
      <c r="A240" s="61" t="n">
        <v>31625</v>
      </c>
      <c r="B240" s="68">
        <f>VLOOKUP(Table3[[#This Row],[Date]],Database!A:E,4,)</f>
        <v/>
      </c>
      <c r="C240" s="14">
        <f>(B240-B239)/B239</f>
        <v/>
      </c>
      <c r="D240" s="14">
        <f>(B240-B228)/B228</f>
        <v/>
      </c>
    </row>
    <row r="241">
      <c r="A241" s="61" t="n">
        <v>31656</v>
      </c>
      <c r="B241" s="68">
        <f>VLOOKUP(Table3[[#This Row],[Date]],Database!A:E,4,)</f>
        <v/>
      </c>
      <c r="C241" s="14">
        <f>(B241-B240)/B240</f>
        <v/>
      </c>
      <c r="D241" s="14">
        <f>(B241-B229)/B229</f>
        <v/>
      </c>
    </row>
    <row r="242">
      <c r="A242" s="61" t="n">
        <v>31686</v>
      </c>
      <c r="B242" s="68">
        <f>VLOOKUP(Table3[[#This Row],[Date]],Database!A:E,4,)</f>
        <v/>
      </c>
      <c r="C242" s="14">
        <f>(B242-B241)/B241</f>
        <v/>
      </c>
      <c r="D242" s="14">
        <f>(B242-B230)/B230</f>
        <v/>
      </c>
    </row>
    <row r="243">
      <c r="A243" s="61" t="n">
        <v>31717</v>
      </c>
      <c r="B243" s="68">
        <f>VLOOKUP(Table3[[#This Row],[Date]],Database!A:E,4,)</f>
        <v/>
      </c>
      <c r="C243" s="14">
        <f>(B243-B242)/B242</f>
        <v/>
      </c>
      <c r="D243" s="14">
        <f>(B243-B231)/B231</f>
        <v/>
      </c>
    </row>
    <row r="244">
      <c r="A244" s="61" t="n">
        <v>31747</v>
      </c>
      <c r="B244" s="68">
        <f>VLOOKUP(Table3[[#This Row],[Date]],Database!A:E,4,)</f>
        <v/>
      </c>
      <c r="C244" s="14">
        <f>(B244-B243)/B243</f>
        <v/>
      </c>
      <c r="D244" s="14">
        <f>(B244-B232)/B232</f>
        <v/>
      </c>
    </row>
    <row r="245">
      <c r="A245" s="61" t="n">
        <v>31778</v>
      </c>
      <c r="B245" s="68">
        <f>VLOOKUP(Table3[[#This Row],[Date]],Database!A:E,4,)</f>
        <v/>
      </c>
      <c r="C245" s="14">
        <f>(B245-B244)/B244</f>
        <v/>
      </c>
      <c r="D245" s="14">
        <f>(B245-B233)/B233</f>
        <v/>
      </c>
    </row>
    <row r="246">
      <c r="A246" s="61" t="n">
        <v>31809</v>
      </c>
      <c r="B246" s="68">
        <f>VLOOKUP(Table3[[#This Row],[Date]],Database!A:E,4,)</f>
        <v/>
      </c>
      <c r="C246" s="14">
        <f>(B246-B245)/B245</f>
        <v/>
      </c>
      <c r="D246" s="14">
        <f>(B246-B234)/B234</f>
        <v/>
      </c>
    </row>
    <row r="247">
      <c r="A247" s="61" t="n">
        <v>31837</v>
      </c>
      <c r="B247" s="68">
        <f>VLOOKUP(Table3[[#This Row],[Date]],Database!A:E,4,)</f>
        <v/>
      </c>
      <c r="C247" s="14">
        <f>(B247-B246)/B246</f>
        <v/>
      </c>
      <c r="D247" s="14">
        <f>(B247-B235)/B235</f>
        <v/>
      </c>
    </row>
    <row r="248">
      <c r="A248" s="61" t="n">
        <v>31868</v>
      </c>
      <c r="B248" s="68">
        <f>VLOOKUP(Table3[[#This Row],[Date]],Database!A:E,4,)</f>
        <v/>
      </c>
      <c r="C248" s="14">
        <f>(B248-B247)/B247</f>
        <v/>
      </c>
      <c r="D248" s="14">
        <f>(B248-B236)/B236</f>
        <v/>
      </c>
    </row>
    <row r="249">
      <c r="A249" s="61" t="n">
        <v>31898</v>
      </c>
      <c r="B249" s="68">
        <f>VLOOKUP(Table3[[#This Row],[Date]],Database!A:E,4,)</f>
        <v/>
      </c>
      <c r="C249" s="14">
        <f>(B249-B248)/B248</f>
        <v/>
      </c>
      <c r="D249" s="14">
        <f>(B249-B237)/B237</f>
        <v/>
      </c>
    </row>
    <row r="250">
      <c r="A250" s="61" t="n">
        <v>31929</v>
      </c>
      <c r="B250" s="68">
        <f>VLOOKUP(Table3[[#This Row],[Date]],Database!A:E,4,)</f>
        <v/>
      </c>
      <c r="C250" s="14">
        <f>(B250-B249)/B249</f>
        <v/>
      </c>
      <c r="D250" s="14">
        <f>(B250-B238)/B238</f>
        <v/>
      </c>
    </row>
    <row r="251">
      <c r="A251" s="61" t="n">
        <v>31959</v>
      </c>
      <c r="B251" s="68">
        <f>VLOOKUP(Table3[[#This Row],[Date]],Database!A:E,4,)</f>
        <v/>
      </c>
      <c r="C251" s="14">
        <f>(B251-B250)/B250</f>
        <v/>
      </c>
      <c r="D251" s="14">
        <f>(B251-B239)/B239</f>
        <v/>
      </c>
    </row>
    <row r="252">
      <c r="A252" s="61" t="n">
        <v>31990</v>
      </c>
      <c r="B252" s="68">
        <f>VLOOKUP(Table3[[#This Row],[Date]],Database!A:E,4,)</f>
        <v/>
      </c>
      <c r="C252" s="14">
        <f>(B252-B251)/B251</f>
        <v/>
      </c>
      <c r="D252" s="14">
        <f>(B252-B240)/B240</f>
        <v/>
      </c>
    </row>
    <row r="253">
      <c r="A253" s="61" t="n">
        <v>32021</v>
      </c>
      <c r="B253" s="68">
        <f>VLOOKUP(Table3[[#This Row],[Date]],Database!A:E,4,)</f>
        <v/>
      </c>
      <c r="C253" s="14">
        <f>(B253-B252)/B252</f>
        <v/>
      </c>
      <c r="D253" s="14">
        <f>(B253-B241)/B241</f>
        <v/>
      </c>
    </row>
    <row r="254">
      <c r="A254" s="61" t="n">
        <v>32051</v>
      </c>
      <c r="B254" s="68">
        <f>VLOOKUP(Table3[[#This Row],[Date]],Database!A:E,4,)</f>
        <v/>
      </c>
      <c r="C254" s="14">
        <f>(B254-B253)/B253</f>
        <v/>
      </c>
      <c r="D254" s="14">
        <f>(B254-B242)/B242</f>
        <v/>
      </c>
    </row>
    <row r="255">
      <c r="A255" s="61" t="n">
        <v>32082</v>
      </c>
      <c r="B255" s="68">
        <f>VLOOKUP(Table3[[#This Row],[Date]],Database!A:E,4,)</f>
        <v/>
      </c>
      <c r="C255" s="14">
        <f>(B255-B254)/B254</f>
        <v/>
      </c>
      <c r="D255" s="14">
        <f>(B255-B243)/B243</f>
        <v/>
      </c>
    </row>
    <row r="256">
      <c r="A256" s="61" t="n">
        <v>32112</v>
      </c>
      <c r="B256" s="68">
        <f>VLOOKUP(Table3[[#This Row],[Date]],Database!A:E,4,)</f>
        <v/>
      </c>
      <c r="C256" s="14">
        <f>(B256-B255)/B255</f>
        <v/>
      </c>
      <c r="D256" s="14">
        <f>(B256-B244)/B244</f>
        <v/>
      </c>
    </row>
    <row r="257">
      <c r="A257" s="61" t="n">
        <v>32143</v>
      </c>
      <c r="B257" s="68">
        <f>VLOOKUP(Table3[[#This Row],[Date]],Database!A:E,4,)</f>
        <v/>
      </c>
      <c r="C257" s="14">
        <f>(B257-B256)/B256</f>
        <v/>
      </c>
      <c r="D257" s="14">
        <f>(B257-B245)/B245</f>
        <v/>
      </c>
    </row>
    <row r="258">
      <c r="A258" s="61" t="n">
        <v>32174</v>
      </c>
      <c r="B258" s="68">
        <f>VLOOKUP(Table3[[#This Row],[Date]],Database!A:E,4,)</f>
        <v/>
      </c>
      <c r="C258" s="14">
        <f>(B258-B257)/B257</f>
        <v/>
      </c>
      <c r="D258" s="14">
        <f>(B258-B246)/B246</f>
        <v/>
      </c>
    </row>
    <row r="259">
      <c r="A259" s="61" t="n">
        <v>32203</v>
      </c>
      <c r="B259" s="68">
        <f>VLOOKUP(Table3[[#This Row],[Date]],Database!A:E,4,)</f>
        <v/>
      </c>
      <c r="C259" s="14">
        <f>(B259-B258)/B258</f>
        <v/>
      </c>
      <c r="D259" s="14">
        <f>(B259-B247)/B247</f>
        <v/>
      </c>
    </row>
    <row r="260">
      <c r="A260" s="61" t="n">
        <v>32234</v>
      </c>
      <c r="B260" s="68">
        <f>VLOOKUP(Table3[[#This Row],[Date]],Database!A:E,4,)</f>
        <v/>
      </c>
      <c r="C260" s="14">
        <f>(B260-B259)/B259</f>
        <v/>
      </c>
      <c r="D260" s="14">
        <f>(B260-B248)/B248</f>
        <v/>
      </c>
    </row>
    <row r="261">
      <c r="A261" s="61" t="n">
        <v>32264</v>
      </c>
      <c r="B261" s="68">
        <f>VLOOKUP(Table3[[#This Row],[Date]],Database!A:E,4,)</f>
        <v/>
      </c>
      <c r="C261" s="14">
        <f>(B261-B260)/B260</f>
        <v/>
      </c>
      <c r="D261" s="14">
        <f>(B261-B249)/B249</f>
        <v/>
      </c>
    </row>
    <row r="262">
      <c r="A262" s="61" t="n">
        <v>32295</v>
      </c>
      <c r="B262" s="68">
        <f>VLOOKUP(Table3[[#This Row],[Date]],Database!A:E,4,)</f>
        <v/>
      </c>
      <c r="C262" s="14">
        <f>(B262-B261)/B261</f>
        <v/>
      </c>
      <c r="D262" s="14">
        <f>(B262-B250)/B250</f>
        <v/>
      </c>
    </row>
    <row r="263">
      <c r="A263" s="61" t="n">
        <v>32325</v>
      </c>
      <c r="B263" s="68">
        <f>VLOOKUP(Table3[[#This Row],[Date]],Database!A:E,4,)</f>
        <v/>
      </c>
      <c r="C263" s="14">
        <f>(B263-B262)/B262</f>
        <v/>
      </c>
      <c r="D263" s="14">
        <f>(B263-B251)/B251</f>
        <v/>
      </c>
    </row>
    <row r="264">
      <c r="A264" s="61" t="n">
        <v>32356</v>
      </c>
      <c r="B264" s="68">
        <f>VLOOKUP(Table3[[#This Row],[Date]],Database!A:E,4,)</f>
        <v/>
      </c>
      <c r="C264" s="14">
        <f>(B264-B263)/B263</f>
        <v/>
      </c>
      <c r="D264" s="14">
        <f>(B264-B252)/B252</f>
        <v/>
      </c>
    </row>
    <row r="265">
      <c r="A265" s="61" t="n">
        <v>32387</v>
      </c>
      <c r="B265" s="68">
        <f>VLOOKUP(Table3[[#This Row],[Date]],Database!A:E,4,)</f>
        <v/>
      </c>
      <c r="C265" s="14">
        <f>(B265-B264)/B264</f>
        <v/>
      </c>
      <c r="D265" s="14">
        <f>(B265-B253)/B253</f>
        <v/>
      </c>
    </row>
    <row r="266">
      <c r="A266" s="61" t="n">
        <v>32417</v>
      </c>
      <c r="B266" s="68">
        <f>VLOOKUP(Table3[[#This Row],[Date]],Database!A:E,4,)</f>
        <v/>
      </c>
      <c r="C266" s="14">
        <f>(B266-B265)/B265</f>
        <v/>
      </c>
      <c r="D266" s="14">
        <f>(B266-B254)/B254</f>
        <v/>
      </c>
    </row>
    <row r="267">
      <c r="A267" s="61" t="n">
        <v>32448</v>
      </c>
      <c r="B267" s="68">
        <f>VLOOKUP(Table3[[#This Row],[Date]],Database!A:E,4,)</f>
        <v/>
      </c>
      <c r="C267" s="14">
        <f>(B267-B266)/B266</f>
        <v/>
      </c>
      <c r="D267" s="14">
        <f>(B267-B255)/B255</f>
        <v/>
      </c>
    </row>
    <row r="268">
      <c r="A268" s="61" t="n">
        <v>32478</v>
      </c>
      <c r="B268" s="68">
        <f>VLOOKUP(Table3[[#This Row],[Date]],Database!A:E,4,)</f>
        <v/>
      </c>
      <c r="C268" s="14">
        <f>(B268-B267)/B267</f>
        <v/>
      </c>
      <c r="D268" s="14">
        <f>(B268-B256)/B256</f>
        <v/>
      </c>
    </row>
    <row r="269">
      <c r="A269" s="61" t="n">
        <v>32509</v>
      </c>
      <c r="B269" s="68">
        <f>VLOOKUP(Table3[[#This Row],[Date]],Database!A:E,4,)</f>
        <v/>
      </c>
      <c r="C269" s="14">
        <f>(B269-B268)/B268</f>
        <v/>
      </c>
      <c r="D269" s="14">
        <f>(B269-B257)/B257</f>
        <v/>
      </c>
    </row>
    <row r="270">
      <c r="A270" s="61" t="n">
        <v>32540</v>
      </c>
      <c r="B270" s="68">
        <f>VLOOKUP(Table3[[#This Row],[Date]],Database!A:E,4,)</f>
        <v/>
      </c>
      <c r="C270" s="14">
        <f>(B270-B269)/B269</f>
        <v/>
      </c>
      <c r="D270" s="14">
        <f>(B270-B258)/B258</f>
        <v/>
      </c>
    </row>
    <row r="271">
      <c r="A271" s="61" t="n">
        <v>32568</v>
      </c>
      <c r="B271" s="68">
        <f>VLOOKUP(Table3[[#This Row],[Date]],Database!A:E,4,)</f>
        <v/>
      </c>
      <c r="C271" s="14">
        <f>(B271-B270)/B270</f>
        <v/>
      </c>
      <c r="D271" s="14">
        <f>(B271-B259)/B259</f>
        <v/>
      </c>
    </row>
    <row r="272">
      <c r="A272" s="61" t="n">
        <v>32599</v>
      </c>
      <c r="B272" s="68">
        <f>VLOOKUP(Table3[[#This Row],[Date]],Database!A:E,4,)</f>
        <v/>
      </c>
      <c r="C272" s="14">
        <f>(B272-B271)/B271</f>
        <v/>
      </c>
      <c r="D272" s="14">
        <f>(B272-B260)/B260</f>
        <v/>
      </c>
    </row>
    <row r="273">
      <c r="A273" s="61" t="n">
        <v>32629</v>
      </c>
      <c r="B273" s="68">
        <f>VLOOKUP(Table3[[#This Row],[Date]],Database!A:E,4,)</f>
        <v/>
      </c>
      <c r="C273" s="14">
        <f>(B273-B272)/B272</f>
        <v/>
      </c>
      <c r="D273" s="14">
        <f>(B273-B261)/B261</f>
        <v/>
      </c>
    </row>
    <row r="274">
      <c r="A274" s="61" t="n">
        <v>32660</v>
      </c>
      <c r="B274" s="68">
        <f>VLOOKUP(Table3[[#This Row],[Date]],Database!A:E,4,)</f>
        <v/>
      </c>
      <c r="C274" s="14">
        <f>(B274-B273)/B273</f>
        <v/>
      </c>
      <c r="D274" s="14">
        <f>(B274-B262)/B262</f>
        <v/>
      </c>
    </row>
    <row r="275">
      <c r="A275" s="61" t="n">
        <v>32690</v>
      </c>
      <c r="B275" s="68">
        <f>VLOOKUP(Table3[[#This Row],[Date]],Database!A:E,4,)</f>
        <v/>
      </c>
      <c r="C275" s="14">
        <f>(B275-B274)/B274</f>
        <v/>
      </c>
      <c r="D275" s="14">
        <f>(B275-B263)/B263</f>
        <v/>
      </c>
    </row>
    <row r="276">
      <c r="A276" s="61" t="n">
        <v>32721</v>
      </c>
      <c r="B276" s="68">
        <f>VLOOKUP(Table3[[#This Row],[Date]],Database!A:E,4,)</f>
        <v/>
      </c>
      <c r="C276" s="14">
        <f>(B276-B275)/B275</f>
        <v/>
      </c>
      <c r="D276" s="14">
        <f>(B276-B264)/B264</f>
        <v/>
      </c>
    </row>
    <row r="277">
      <c r="A277" s="61" t="n">
        <v>32752</v>
      </c>
      <c r="B277" s="68">
        <f>VLOOKUP(Table3[[#This Row],[Date]],Database!A:E,4,)</f>
        <v/>
      </c>
      <c r="C277" s="14">
        <f>(B277-B276)/B276</f>
        <v/>
      </c>
      <c r="D277" s="14">
        <f>(B277-B265)/B265</f>
        <v/>
      </c>
    </row>
    <row r="278">
      <c r="A278" s="61" t="n">
        <v>32782</v>
      </c>
      <c r="B278" s="68">
        <f>VLOOKUP(Table3[[#This Row],[Date]],Database!A:E,4,)</f>
        <v/>
      </c>
      <c r="C278" s="14">
        <f>(B278-B277)/B277</f>
        <v/>
      </c>
      <c r="D278" s="14">
        <f>(B278-B266)/B266</f>
        <v/>
      </c>
    </row>
    <row r="279">
      <c r="A279" s="61" t="n">
        <v>32813</v>
      </c>
      <c r="B279" s="68">
        <f>VLOOKUP(Table3[[#This Row],[Date]],Database!A:E,4,)</f>
        <v/>
      </c>
      <c r="C279" s="14">
        <f>(B279-B278)/B278</f>
        <v/>
      </c>
      <c r="D279" s="14">
        <f>(B279-B267)/B267</f>
        <v/>
      </c>
    </row>
    <row r="280">
      <c r="A280" s="61" t="n">
        <v>32843</v>
      </c>
      <c r="B280" s="68">
        <f>VLOOKUP(Table3[[#This Row],[Date]],Database!A:E,4,)</f>
        <v/>
      </c>
      <c r="C280" s="14">
        <f>(B280-B279)/B279</f>
        <v/>
      </c>
      <c r="D280" s="14">
        <f>(B280-B268)/B268</f>
        <v/>
      </c>
    </row>
    <row r="281">
      <c r="A281" s="61" t="n">
        <v>32874</v>
      </c>
      <c r="B281" s="68">
        <f>VLOOKUP(Table3[[#This Row],[Date]],Database!A:E,4,)</f>
        <v/>
      </c>
      <c r="C281" s="14">
        <f>(B281-B280)/B280</f>
        <v/>
      </c>
      <c r="D281" s="14">
        <f>(B281-B269)/B269</f>
        <v/>
      </c>
    </row>
    <row r="282">
      <c r="A282" s="61" t="n">
        <v>32905</v>
      </c>
      <c r="B282" s="68">
        <f>VLOOKUP(Table3[[#This Row],[Date]],Database!A:E,4,)</f>
        <v/>
      </c>
      <c r="C282" s="14">
        <f>(B282-B281)/B281</f>
        <v/>
      </c>
      <c r="D282" s="14">
        <f>(B282-B270)/B270</f>
        <v/>
      </c>
    </row>
    <row r="283">
      <c r="A283" s="61" t="n">
        <v>32933</v>
      </c>
      <c r="B283" s="68">
        <f>VLOOKUP(Table3[[#This Row],[Date]],Database!A:E,4,)</f>
        <v/>
      </c>
      <c r="C283" s="14">
        <f>(B283-B282)/B282</f>
        <v/>
      </c>
      <c r="D283" s="14">
        <f>(B283-B271)/B271</f>
        <v/>
      </c>
    </row>
    <row r="284">
      <c r="A284" s="61" t="n">
        <v>32964</v>
      </c>
      <c r="B284" s="68">
        <f>VLOOKUP(Table3[[#This Row],[Date]],Database!A:E,4,)</f>
        <v/>
      </c>
      <c r="C284" s="14">
        <f>(B284-B283)/B283</f>
        <v/>
      </c>
      <c r="D284" s="14">
        <f>(B284-B272)/B272</f>
        <v/>
      </c>
    </row>
    <row r="285">
      <c r="A285" s="61" t="n">
        <v>32994</v>
      </c>
      <c r="B285" s="68">
        <f>VLOOKUP(Table3[[#This Row],[Date]],Database!A:E,4,)</f>
        <v/>
      </c>
      <c r="C285" s="14">
        <f>(B285-B284)/B284</f>
        <v/>
      </c>
      <c r="D285" s="14">
        <f>(B285-B273)/B273</f>
        <v/>
      </c>
    </row>
    <row r="286">
      <c r="A286" s="61" t="n">
        <v>33025</v>
      </c>
      <c r="B286" s="68">
        <f>VLOOKUP(Table3[[#This Row],[Date]],Database!A:E,4,)</f>
        <v/>
      </c>
      <c r="C286" s="14">
        <f>(B286-B285)/B285</f>
        <v/>
      </c>
      <c r="D286" s="14">
        <f>(B286-B274)/B274</f>
        <v/>
      </c>
    </row>
    <row r="287">
      <c r="A287" s="61" t="n">
        <v>33055</v>
      </c>
      <c r="B287" s="68">
        <f>VLOOKUP(Table3[[#This Row],[Date]],Database!A:E,4,)</f>
        <v/>
      </c>
      <c r="C287" s="14">
        <f>(B287-B286)/B286</f>
        <v/>
      </c>
      <c r="D287" s="14">
        <f>(B287-B275)/B275</f>
        <v/>
      </c>
    </row>
    <row r="288">
      <c r="A288" s="61" t="n">
        <v>33086</v>
      </c>
      <c r="B288" s="68">
        <f>VLOOKUP(Table3[[#This Row],[Date]],Database!A:E,4,)</f>
        <v/>
      </c>
      <c r="C288" s="14">
        <f>(B288-B287)/B287</f>
        <v/>
      </c>
      <c r="D288" s="14">
        <f>(B288-B276)/B276</f>
        <v/>
      </c>
    </row>
    <row r="289">
      <c r="A289" s="61" t="n">
        <v>33117</v>
      </c>
      <c r="B289" s="68">
        <f>VLOOKUP(Table3[[#This Row],[Date]],Database!A:E,4,)</f>
        <v/>
      </c>
      <c r="C289" s="14">
        <f>(B289-B288)/B288</f>
        <v/>
      </c>
      <c r="D289" s="14">
        <f>(B289-B277)/B277</f>
        <v/>
      </c>
    </row>
    <row r="290">
      <c r="A290" s="61" t="n">
        <v>33147</v>
      </c>
      <c r="B290" s="68">
        <f>VLOOKUP(Table3[[#This Row],[Date]],Database!A:E,4,)</f>
        <v/>
      </c>
      <c r="C290" s="14">
        <f>(B290-B289)/B289</f>
        <v/>
      </c>
      <c r="D290" s="14">
        <f>(B290-B278)/B278</f>
        <v/>
      </c>
    </row>
    <row r="291">
      <c r="A291" s="61" t="n">
        <v>33178</v>
      </c>
      <c r="B291" s="68">
        <f>VLOOKUP(Table3[[#This Row],[Date]],Database!A:E,4,)</f>
        <v/>
      </c>
      <c r="C291" s="14">
        <f>(B291-B290)/B290</f>
        <v/>
      </c>
      <c r="D291" s="14">
        <f>(B291-B279)/B279</f>
        <v/>
      </c>
    </row>
    <row r="292">
      <c r="A292" s="61" t="n">
        <v>33208</v>
      </c>
      <c r="B292" s="68">
        <f>VLOOKUP(Table3[[#This Row],[Date]],Database!A:E,4,)</f>
        <v/>
      </c>
      <c r="C292" s="14">
        <f>(B292-B291)/B291</f>
        <v/>
      </c>
      <c r="D292" s="14">
        <f>(B292-B280)/B280</f>
        <v/>
      </c>
    </row>
    <row r="293">
      <c r="A293" s="61" t="n">
        <v>33239</v>
      </c>
      <c r="B293" s="68">
        <f>VLOOKUP(Table3[[#This Row],[Date]],Database!A:E,4,)</f>
        <v/>
      </c>
      <c r="C293" s="14">
        <f>(B293-B292)/B292</f>
        <v/>
      </c>
      <c r="D293" s="14">
        <f>(B293-B281)/B281</f>
        <v/>
      </c>
    </row>
    <row r="294">
      <c r="A294" s="61" t="n">
        <v>33270</v>
      </c>
      <c r="B294" s="68">
        <f>VLOOKUP(Table3[[#This Row],[Date]],Database!A:E,4,)</f>
        <v/>
      </c>
      <c r="C294" s="14">
        <f>(B294-B293)/B293</f>
        <v/>
      </c>
      <c r="D294" s="14">
        <f>(B294-B282)/B282</f>
        <v/>
      </c>
    </row>
    <row r="295">
      <c r="A295" s="61" t="n">
        <v>33298</v>
      </c>
      <c r="B295" s="68">
        <f>VLOOKUP(Table3[[#This Row],[Date]],Database!A:E,4,)</f>
        <v/>
      </c>
      <c r="C295" s="14">
        <f>(B295-B294)/B294</f>
        <v/>
      </c>
      <c r="D295" s="14">
        <f>(B295-B283)/B283</f>
        <v/>
      </c>
    </row>
    <row r="296">
      <c r="A296" s="61" t="n">
        <v>33329</v>
      </c>
      <c r="B296" s="68">
        <f>VLOOKUP(Table3[[#This Row],[Date]],Database!A:E,4,)</f>
        <v/>
      </c>
      <c r="C296" s="14">
        <f>(B296-B295)/B295</f>
        <v/>
      </c>
      <c r="D296" s="14">
        <f>(B296-B284)/B284</f>
        <v/>
      </c>
    </row>
    <row r="297">
      <c r="A297" s="61" t="n">
        <v>33359</v>
      </c>
      <c r="B297" s="68">
        <f>VLOOKUP(Table3[[#This Row],[Date]],Database!A:E,4,)</f>
        <v/>
      </c>
      <c r="C297" s="14">
        <f>(B297-B296)/B296</f>
        <v/>
      </c>
      <c r="D297" s="14">
        <f>(B297-B285)/B285</f>
        <v/>
      </c>
    </row>
    <row r="298">
      <c r="A298" s="61" t="n">
        <v>33390</v>
      </c>
      <c r="B298" s="68">
        <f>VLOOKUP(Table3[[#This Row],[Date]],Database!A:E,4,)</f>
        <v/>
      </c>
      <c r="C298" s="14">
        <f>(B298-B297)/B297</f>
        <v/>
      </c>
      <c r="D298" s="14">
        <f>(B298-B286)/B286</f>
        <v/>
      </c>
    </row>
    <row r="299">
      <c r="A299" s="61" t="n">
        <v>33420</v>
      </c>
      <c r="B299" s="68">
        <f>VLOOKUP(Table3[[#This Row],[Date]],Database!A:E,4,)</f>
        <v/>
      </c>
      <c r="C299" s="14">
        <f>(B299-B298)/B298</f>
        <v/>
      </c>
      <c r="D299" s="14">
        <f>(B299-B287)/B287</f>
        <v/>
      </c>
    </row>
    <row r="300">
      <c r="A300" s="61" t="n">
        <v>33451</v>
      </c>
      <c r="B300" s="68">
        <f>VLOOKUP(Table3[[#This Row],[Date]],Database!A:E,4,)</f>
        <v/>
      </c>
      <c r="C300" s="14">
        <f>(B300-B299)/B299</f>
        <v/>
      </c>
      <c r="D300" s="14">
        <f>(B300-B288)/B288</f>
        <v/>
      </c>
    </row>
    <row r="301">
      <c r="A301" s="61" t="n">
        <v>33482</v>
      </c>
      <c r="B301" s="68">
        <f>VLOOKUP(Table3[[#This Row],[Date]],Database!A:E,4,)</f>
        <v/>
      </c>
      <c r="C301" s="14">
        <f>(B301-B300)/B300</f>
        <v/>
      </c>
      <c r="D301" s="14">
        <f>(B301-B289)/B289</f>
        <v/>
      </c>
    </row>
    <row r="302">
      <c r="A302" s="61" t="n">
        <v>33512</v>
      </c>
      <c r="B302" s="68">
        <f>VLOOKUP(Table3[[#This Row],[Date]],Database!A:E,4,)</f>
        <v/>
      </c>
      <c r="C302" s="14">
        <f>(B302-B301)/B301</f>
        <v/>
      </c>
      <c r="D302" s="14">
        <f>(B302-B290)/B290</f>
        <v/>
      </c>
    </row>
    <row r="303">
      <c r="A303" s="61" t="n">
        <v>33543</v>
      </c>
      <c r="B303" s="68">
        <f>VLOOKUP(Table3[[#This Row],[Date]],Database!A:E,4,)</f>
        <v/>
      </c>
      <c r="C303" s="14">
        <f>(B303-B302)/B302</f>
        <v/>
      </c>
      <c r="D303" s="14">
        <f>(B303-B291)/B291</f>
        <v/>
      </c>
    </row>
    <row r="304">
      <c r="A304" s="61" t="n">
        <v>33573</v>
      </c>
      <c r="B304" s="68">
        <f>VLOOKUP(Table3[[#This Row],[Date]],Database!A:E,4,)</f>
        <v/>
      </c>
      <c r="C304" s="14">
        <f>(B304-B303)/B303</f>
        <v/>
      </c>
      <c r="D304" s="14">
        <f>(B304-B292)/B292</f>
        <v/>
      </c>
    </row>
    <row r="305">
      <c r="A305" s="61" t="n">
        <v>33604</v>
      </c>
      <c r="B305" s="68">
        <f>VLOOKUP(Table3[[#This Row],[Date]],Database!A:E,4,)</f>
        <v/>
      </c>
      <c r="C305" s="14">
        <f>(B305-B304)/B304</f>
        <v/>
      </c>
      <c r="D305" s="14">
        <f>(B305-B293)/B293</f>
        <v/>
      </c>
    </row>
    <row r="306">
      <c r="A306" s="61" t="n">
        <v>33635</v>
      </c>
      <c r="B306" s="68">
        <f>VLOOKUP(Table3[[#This Row],[Date]],Database!A:E,4,)</f>
        <v/>
      </c>
      <c r="C306" s="14">
        <f>(B306-B305)/B305</f>
        <v/>
      </c>
      <c r="D306" s="14">
        <f>(B306-B294)/B294</f>
        <v/>
      </c>
    </row>
    <row r="307">
      <c r="A307" s="61" t="n">
        <v>33664</v>
      </c>
      <c r="B307" s="68">
        <f>VLOOKUP(Table3[[#This Row],[Date]],Database!A:E,4,)</f>
        <v/>
      </c>
      <c r="C307" s="14">
        <f>(B307-B306)/B306</f>
        <v/>
      </c>
      <c r="D307" s="14">
        <f>(B307-B295)/B295</f>
        <v/>
      </c>
    </row>
    <row r="308">
      <c r="A308" s="61" t="n">
        <v>33695</v>
      </c>
      <c r="B308" s="68">
        <f>VLOOKUP(Table3[[#This Row],[Date]],Database!A:E,4,)</f>
        <v/>
      </c>
      <c r="C308" s="14">
        <f>(B308-B307)/B307</f>
        <v/>
      </c>
      <c r="D308" s="14">
        <f>(B308-B296)/B296</f>
        <v/>
      </c>
    </row>
    <row r="309">
      <c r="A309" s="61" t="n">
        <v>33725</v>
      </c>
      <c r="B309" s="68">
        <f>VLOOKUP(Table3[[#This Row],[Date]],Database!A:E,4,)</f>
        <v/>
      </c>
      <c r="C309" s="14">
        <f>(B309-B308)/B308</f>
        <v/>
      </c>
      <c r="D309" s="14">
        <f>(B309-B297)/B297</f>
        <v/>
      </c>
    </row>
    <row r="310">
      <c r="A310" s="61" t="n">
        <v>33756</v>
      </c>
      <c r="B310" s="68">
        <f>VLOOKUP(Table3[[#This Row],[Date]],Database!A:E,4,)</f>
        <v/>
      </c>
      <c r="C310" s="14">
        <f>(B310-B309)/B309</f>
        <v/>
      </c>
      <c r="D310" s="14">
        <f>(B310-B298)/B298</f>
        <v/>
      </c>
    </row>
    <row r="311">
      <c r="A311" s="61" t="n">
        <v>33786</v>
      </c>
      <c r="B311" s="68">
        <f>VLOOKUP(Table3[[#This Row],[Date]],Database!A:E,4,)</f>
        <v/>
      </c>
      <c r="C311" s="14">
        <f>(B311-B310)/B310</f>
        <v/>
      </c>
      <c r="D311" s="14">
        <f>(B311-B299)/B299</f>
        <v/>
      </c>
    </row>
    <row r="312">
      <c r="A312" s="61" t="n">
        <v>33817</v>
      </c>
      <c r="B312" s="68">
        <f>VLOOKUP(Table3[[#This Row],[Date]],Database!A:E,4,)</f>
        <v/>
      </c>
      <c r="C312" s="14">
        <f>(B312-B311)/B311</f>
        <v/>
      </c>
      <c r="D312" s="14">
        <f>(B312-B300)/B300</f>
        <v/>
      </c>
    </row>
    <row r="313">
      <c r="A313" s="61" t="n">
        <v>33848</v>
      </c>
      <c r="B313" s="68">
        <f>VLOOKUP(Table3[[#This Row],[Date]],Database!A:E,4,)</f>
        <v/>
      </c>
      <c r="C313" s="14">
        <f>(B313-B312)/B312</f>
        <v/>
      </c>
      <c r="D313" s="14">
        <f>(B313-B301)/B301</f>
        <v/>
      </c>
    </row>
    <row r="314">
      <c r="A314" s="61" t="n">
        <v>33878</v>
      </c>
      <c r="B314" s="68">
        <f>VLOOKUP(Table3[[#This Row],[Date]],Database!A:E,4,)</f>
        <v/>
      </c>
      <c r="C314" s="14">
        <f>(B314-B313)/B313</f>
        <v/>
      </c>
      <c r="D314" s="14">
        <f>(B314-B302)/B302</f>
        <v/>
      </c>
    </row>
    <row r="315">
      <c r="A315" s="61" t="n">
        <v>33909</v>
      </c>
      <c r="B315" s="68">
        <f>VLOOKUP(Table3[[#This Row],[Date]],Database!A:E,4,)</f>
        <v/>
      </c>
      <c r="C315" s="14">
        <f>(B315-B314)/B314</f>
        <v/>
      </c>
      <c r="D315" s="14">
        <f>(B315-B303)/B303</f>
        <v/>
      </c>
    </row>
    <row r="316">
      <c r="A316" s="61" t="n">
        <v>33939</v>
      </c>
      <c r="B316" s="68">
        <f>VLOOKUP(Table3[[#This Row],[Date]],Database!A:E,4,)</f>
        <v/>
      </c>
      <c r="C316" s="14">
        <f>(B316-B315)/B315</f>
        <v/>
      </c>
      <c r="D316" s="14">
        <f>(B316-B304)/B304</f>
        <v/>
      </c>
    </row>
    <row r="317">
      <c r="A317" s="61" t="n">
        <v>33970</v>
      </c>
      <c r="B317" s="68">
        <f>VLOOKUP(Table3[[#This Row],[Date]],Database!A:E,4,)</f>
        <v/>
      </c>
      <c r="C317" s="14">
        <f>(B317-B316)/B316</f>
        <v/>
      </c>
      <c r="D317" s="14">
        <f>(B317-B305)/B305</f>
        <v/>
      </c>
    </row>
    <row r="318">
      <c r="A318" s="61" t="n">
        <v>34001</v>
      </c>
      <c r="B318" s="68">
        <f>VLOOKUP(Table3[[#This Row],[Date]],Database!A:E,4,)</f>
        <v/>
      </c>
      <c r="C318" s="14">
        <f>(B318-B317)/B317</f>
        <v/>
      </c>
      <c r="D318" s="14">
        <f>(B318-B306)/B306</f>
        <v/>
      </c>
    </row>
    <row r="319">
      <c r="A319" s="61" t="n">
        <v>34029</v>
      </c>
      <c r="B319" s="68">
        <f>VLOOKUP(Table3[[#This Row],[Date]],Database!A:E,4,)</f>
        <v/>
      </c>
      <c r="C319" s="14">
        <f>(B319-B318)/B318</f>
        <v/>
      </c>
      <c r="D319" s="14">
        <f>(B319-B307)/B307</f>
        <v/>
      </c>
    </row>
    <row r="320">
      <c r="A320" s="61" t="n">
        <v>34060</v>
      </c>
      <c r="B320" s="68">
        <f>VLOOKUP(Table3[[#This Row],[Date]],Database!A:E,4,)</f>
        <v/>
      </c>
      <c r="C320" s="14">
        <f>(B320-B319)/B319</f>
        <v/>
      </c>
      <c r="D320" s="14">
        <f>(B320-B308)/B308</f>
        <v/>
      </c>
    </row>
    <row r="321">
      <c r="A321" s="61" t="n">
        <v>34090</v>
      </c>
      <c r="B321" s="68">
        <f>VLOOKUP(Table3[[#This Row],[Date]],Database!A:E,4,)</f>
        <v/>
      </c>
      <c r="C321" s="14">
        <f>(B321-B320)/B320</f>
        <v/>
      </c>
      <c r="D321" s="14">
        <f>(B321-B309)/B309</f>
        <v/>
      </c>
    </row>
    <row r="322">
      <c r="A322" s="61" t="n">
        <v>34121</v>
      </c>
      <c r="B322" s="68">
        <f>VLOOKUP(Table3[[#This Row],[Date]],Database!A:E,4,)</f>
        <v/>
      </c>
      <c r="C322" s="14">
        <f>(B322-B321)/B321</f>
        <v/>
      </c>
      <c r="D322" s="14">
        <f>(B322-B310)/B310</f>
        <v/>
      </c>
    </row>
    <row r="323">
      <c r="A323" s="61" t="n">
        <v>34151</v>
      </c>
      <c r="B323" s="68">
        <f>VLOOKUP(Table3[[#This Row],[Date]],Database!A:E,4,)</f>
        <v/>
      </c>
      <c r="C323" s="14">
        <f>(B323-B322)/B322</f>
        <v/>
      </c>
      <c r="D323" s="14">
        <f>(B323-B311)/B311</f>
        <v/>
      </c>
    </row>
    <row r="324">
      <c r="A324" s="61" t="n">
        <v>34182</v>
      </c>
      <c r="B324" s="68">
        <f>VLOOKUP(Table3[[#This Row],[Date]],Database!A:E,4,)</f>
        <v/>
      </c>
      <c r="C324" s="14">
        <f>(B324-B323)/B323</f>
        <v/>
      </c>
      <c r="D324" s="14">
        <f>(B324-B312)/B312</f>
        <v/>
      </c>
    </row>
    <row r="325">
      <c r="A325" s="61" t="n">
        <v>34213</v>
      </c>
      <c r="B325" s="68">
        <f>VLOOKUP(Table3[[#This Row],[Date]],Database!A:E,4,)</f>
        <v/>
      </c>
      <c r="C325" s="14">
        <f>(B325-B324)/B324</f>
        <v/>
      </c>
      <c r="D325" s="14">
        <f>(B325-B313)/B313</f>
        <v/>
      </c>
    </row>
    <row r="326">
      <c r="A326" s="61" t="n">
        <v>34243</v>
      </c>
      <c r="B326" s="68">
        <f>VLOOKUP(Table3[[#This Row],[Date]],Database!A:E,4,)</f>
        <v/>
      </c>
      <c r="C326" s="14">
        <f>(B326-B325)/B325</f>
        <v/>
      </c>
      <c r="D326" s="14">
        <f>(B326-B314)/B314</f>
        <v/>
      </c>
    </row>
    <row r="327">
      <c r="A327" s="61" t="n">
        <v>34274</v>
      </c>
      <c r="B327" s="68">
        <f>VLOOKUP(Table3[[#This Row],[Date]],Database!A:E,4,)</f>
        <v/>
      </c>
      <c r="C327" s="14">
        <f>(B327-B326)/B326</f>
        <v/>
      </c>
      <c r="D327" s="14">
        <f>(B327-B315)/B315</f>
        <v/>
      </c>
    </row>
    <row r="328">
      <c r="A328" s="61" t="n">
        <v>34304</v>
      </c>
      <c r="B328" s="68">
        <f>VLOOKUP(Table3[[#This Row],[Date]],Database!A:E,4,)</f>
        <v/>
      </c>
      <c r="C328" s="14">
        <f>(B328-B327)/B327</f>
        <v/>
      </c>
      <c r="D328" s="14">
        <f>(B328-B316)/B316</f>
        <v/>
      </c>
    </row>
    <row r="329">
      <c r="A329" s="61" t="n">
        <v>34335</v>
      </c>
      <c r="B329" s="68">
        <f>VLOOKUP(Table3[[#This Row],[Date]],Database!A:E,4,)</f>
        <v/>
      </c>
      <c r="C329" s="14">
        <f>(B329-B328)/B328</f>
        <v/>
      </c>
      <c r="D329" s="14">
        <f>(B329-B317)/B317</f>
        <v/>
      </c>
    </row>
    <row r="330">
      <c r="A330" s="61" t="n">
        <v>34366</v>
      </c>
      <c r="B330" s="68">
        <f>VLOOKUP(Table3[[#This Row],[Date]],Database!A:E,4,)</f>
        <v/>
      </c>
      <c r="C330" s="14">
        <f>(B330-B329)/B329</f>
        <v/>
      </c>
      <c r="D330" s="14">
        <f>(B330-B318)/B318</f>
        <v/>
      </c>
    </row>
    <row r="331">
      <c r="A331" s="61" t="n">
        <v>34394</v>
      </c>
      <c r="B331" s="68">
        <f>VLOOKUP(Table3[[#This Row],[Date]],Database!A:E,4,)</f>
        <v/>
      </c>
      <c r="C331" s="14">
        <f>(B331-B330)/B330</f>
        <v/>
      </c>
      <c r="D331" s="14">
        <f>(B331-B319)/B319</f>
        <v/>
      </c>
    </row>
    <row r="332">
      <c r="A332" s="61" t="n">
        <v>34425</v>
      </c>
      <c r="B332" s="68">
        <f>VLOOKUP(Table3[[#This Row],[Date]],Database!A:E,4,)</f>
        <v/>
      </c>
      <c r="C332" s="14">
        <f>(B332-B331)/B331</f>
        <v/>
      </c>
      <c r="D332" s="14">
        <f>(B332-B320)/B320</f>
        <v/>
      </c>
    </row>
    <row r="333">
      <c r="A333" s="61" t="n">
        <v>34455</v>
      </c>
      <c r="B333" s="68">
        <f>VLOOKUP(Table3[[#This Row],[Date]],Database!A:E,4,)</f>
        <v/>
      </c>
      <c r="C333" s="14">
        <f>(B333-B332)/B332</f>
        <v/>
      </c>
      <c r="D333" s="14">
        <f>(B333-B321)/B321</f>
        <v/>
      </c>
    </row>
    <row r="334">
      <c r="A334" s="61" t="n">
        <v>34486</v>
      </c>
      <c r="B334" s="68">
        <f>VLOOKUP(Table3[[#This Row],[Date]],Database!A:E,4,)</f>
        <v/>
      </c>
      <c r="C334" s="14">
        <f>(B334-B333)/B333</f>
        <v/>
      </c>
      <c r="D334" s="14">
        <f>(B334-B322)/B322</f>
        <v/>
      </c>
    </row>
    <row r="335">
      <c r="A335" s="61" t="n">
        <v>34516</v>
      </c>
      <c r="B335" s="68">
        <f>VLOOKUP(Table3[[#This Row],[Date]],Database!A:E,4,)</f>
        <v/>
      </c>
      <c r="C335" s="14">
        <f>(B335-B334)/B334</f>
        <v/>
      </c>
      <c r="D335" s="14">
        <f>(B335-B323)/B323</f>
        <v/>
      </c>
    </row>
    <row r="336">
      <c r="A336" s="61" t="n">
        <v>34547</v>
      </c>
      <c r="B336" s="68">
        <f>VLOOKUP(Table3[[#This Row],[Date]],Database!A:E,4,)</f>
        <v/>
      </c>
      <c r="C336" s="14">
        <f>(B336-B335)/B335</f>
        <v/>
      </c>
      <c r="D336" s="14">
        <f>(B336-B324)/B324</f>
        <v/>
      </c>
    </row>
    <row r="337">
      <c r="A337" s="61" t="n">
        <v>34578</v>
      </c>
      <c r="B337" s="68">
        <f>VLOOKUP(Table3[[#This Row],[Date]],Database!A:E,4,)</f>
        <v/>
      </c>
      <c r="C337" s="14">
        <f>(B337-B336)/B336</f>
        <v/>
      </c>
      <c r="D337" s="14">
        <f>(B337-B325)/B325</f>
        <v/>
      </c>
    </row>
    <row r="338">
      <c r="A338" s="61" t="n">
        <v>34608</v>
      </c>
      <c r="B338" s="68">
        <f>VLOOKUP(Table3[[#This Row],[Date]],Database!A:E,4,)</f>
        <v/>
      </c>
      <c r="C338" s="14">
        <f>(B338-B337)/B337</f>
        <v/>
      </c>
      <c r="D338" s="14">
        <f>(B338-B326)/B326</f>
        <v/>
      </c>
    </row>
    <row r="339">
      <c r="A339" s="61" t="n">
        <v>34639</v>
      </c>
      <c r="B339" s="68">
        <f>VLOOKUP(Table3[[#This Row],[Date]],Database!A:E,4,)</f>
        <v/>
      </c>
      <c r="C339" s="14">
        <f>(B339-B338)/B338</f>
        <v/>
      </c>
      <c r="D339" s="14">
        <f>(B339-B327)/B327</f>
        <v/>
      </c>
    </row>
    <row r="340">
      <c r="A340" s="61" t="n">
        <v>34669</v>
      </c>
      <c r="B340" s="68">
        <f>VLOOKUP(Table3[[#This Row],[Date]],Database!A:E,4,)</f>
        <v/>
      </c>
      <c r="C340" s="14">
        <f>(B340-B339)/B339</f>
        <v/>
      </c>
      <c r="D340" s="14">
        <f>(B340-B328)/B328</f>
        <v/>
      </c>
    </row>
    <row r="341">
      <c r="A341" s="61" t="n">
        <v>34700</v>
      </c>
      <c r="B341" s="68">
        <f>VLOOKUP(Table3[[#This Row],[Date]],Database!A:E,4,)</f>
        <v/>
      </c>
      <c r="C341" s="14">
        <f>(B341-B340)/B340</f>
        <v/>
      </c>
      <c r="D341" s="14">
        <f>(B341-B329)/B329</f>
        <v/>
      </c>
    </row>
    <row r="342">
      <c r="A342" s="61" t="n">
        <v>34731</v>
      </c>
      <c r="B342" s="68">
        <f>VLOOKUP(Table3[[#This Row],[Date]],Database!A:E,4,)</f>
        <v/>
      </c>
      <c r="C342" s="14">
        <f>(B342-B341)/B341</f>
        <v/>
      </c>
      <c r="D342" s="14">
        <f>(B342-B330)/B330</f>
        <v/>
      </c>
    </row>
    <row r="343">
      <c r="A343" s="61" t="n">
        <v>34759</v>
      </c>
      <c r="B343" s="68">
        <f>VLOOKUP(Table3[[#This Row],[Date]],Database!A:E,4,)</f>
        <v/>
      </c>
      <c r="C343" s="14">
        <f>(B343-B342)/B342</f>
        <v/>
      </c>
      <c r="D343" s="14">
        <f>(B343-B331)/B331</f>
        <v/>
      </c>
    </row>
    <row r="344">
      <c r="A344" s="61" t="n">
        <v>34790</v>
      </c>
      <c r="B344" s="68">
        <f>VLOOKUP(Table3[[#This Row],[Date]],Database!A:E,4,)</f>
        <v/>
      </c>
      <c r="C344" s="14">
        <f>(B344-B343)/B343</f>
        <v/>
      </c>
      <c r="D344" s="14">
        <f>(B344-B332)/B332</f>
        <v/>
      </c>
    </row>
    <row r="345">
      <c r="A345" s="61" t="n">
        <v>34820</v>
      </c>
      <c r="B345" s="68">
        <f>VLOOKUP(Table3[[#This Row],[Date]],Database!A:E,4,)</f>
        <v/>
      </c>
      <c r="C345" s="14">
        <f>(B345-B344)/B344</f>
        <v/>
      </c>
      <c r="D345" s="14">
        <f>(B345-B333)/B333</f>
        <v/>
      </c>
    </row>
    <row r="346">
      <c r="A346" s="61" t="n">
        <v>34851</v>
      </c>
      <c r="B346" s="68">
        <f>VLOOKUP(Table3[[#This Row],[Date]],Database!A:E,4,)</f>
        <v/>
      </c>
      <c r="C346" s="14">
        <f>(B346-B345)/B345</f>
        <v/>
      </c>
      <c r="D346" s="14">
        <f>(B346-B334)/B334</f>
        <v/>
      </c>
    </row>
    <row r="347">
      <c r="A347" s="61" t="n">
        <v>34881</v>
      </c>
      <c r="B347" s="68">
        <f>VLOOKUP(Table3[[#This Row],[Date]],Database!A:E,4,)</f>
        <v/>
      </c>
      <c r="C347" s="14">
        <f>(B347-B346)/B346</f>
        <v/>
      </c>
      <c r="D347" s="14">
        <f>(B347-B335)/B335</f>
        <v/>
      </c>
    </row>
    <row r="348">
      <c r="A348" s="61" t="n">
        <v>34912</v>
      </c>
      <c r="B348" s="68">
        <f>VLOOKUP(Table3[[#This Row],[Date]],Database!A:E,4,)</f>
        <v/>
      </c>
      <c r="C348" s="14">
        <f>(B348-B347)/B347</f>
        <v/>
      </c>
      <c r="D348" s="14">
        <f>(B348-B336)/B336</f>
        <v/>
      </c>
    </row>
    <row r="349">
      <c r="A349" s="61" t="n">
        <v>34943</v>
      </c>
      <c r="B349" s="68">
        <f>VLOOKUP(Table3[[#This Row],[Date]],Database!A:E,4,)</f>
        <v/>
      </c>
      <c r="C349" s="14">
        <f>(B349-B348)/B348</f>
        <v/>
      </c>
      <c r="D349" s="14">
        <f>(B349-B337)/B337</f>
        <v/>
      </c>
    </row>
    <row r="350">
      <c r="A350" s="61" t="n">
        <v>34973</v>
      </c>
      <c r="B350" s="68">
        <f>VLOOKUP(Table3[[#This Row],[Date]],Database!A:E,4,)</f>
        <v/>
      </c>
      <c r="C350" s="14">
        <f>(B350-B349)/B349</f>
        <v/>
      </c>
      <c r="D350" s="14">
        <f>(B350-B338)/B338</f>
        <v/>
      </c>
    </row>
    <row r="351">
      <c r="A351" s="61" t="n">
        <v>35004</v>
      </c>
      <c r="B351" s="68">
        <f>VLOOKUP(Table3[[#This Row],[Date]],Database!A:E,4,)</f>
        <v/>
      </c>
      <c r="C351" s="14">
        <f>(B351-B350)/B350</f>
        <v/>
      </c>
      <c r="D351" s="14">
        <f>(B351-B339)/B339</f>
        <v/>
      </c>
    </row>
    <row r="352">
      <c r="A352" s="61" t="n">
        <v>35034</v>
      </c>
      <c r="B352" s="68">
        <f>VLOOKUP(Table3[[#This Row],[Date]],Database!A:E,4,)</f>
        <v/>
      </c>
      <c r="C352" s="14">
        <f>(B352-B351)/B351</f>
        <v/>
      </c>
      <c r="D352" s="14">
        <f>(B352-B340)/B340</f>
        <v/>
      </c>
    </row>
    <row r="353">
      <c r="A353" s="61" t="n">
        <v>35065</v>
      </c>
      <c r="B353" s="68">
        <f>VLOOKUP(Table3[[#This Row],[Date]],Database!A:E,4,)</f>
        <v/>
      </c>
      <c r="C353" s="14">
        <f>(B353-B352)/B352</f>
        <v/>
      </c>
      <c r="D353" s="14">
        <f>(B353-B341)/B341</f>
        <v/>
      </c>
    </row>
    <row r="354">
      <c r="A354" s="61" t="n">
        <v>35096</v>
      </c>
      <c r="B354" s="68">
        <f>VLOOKUP(Table3[[#This Row],[Date]],Database!A:E,4,)</f>
        <v/>
      </c>
      <c r="C354" s="14">
        <f>(B354-B353)/B353</f>
        <v/>
      </c>
      <c r="D354" s="14">
        <f>(B354-B342)/B342</f>
        <v/>
      </c>
    </row>
    <row r="355">
      <c r="A355" s="61" t="n">
        <v>35125</v>
      </c>
      <c r="B355" s="68">
        <f>VLOOKUP(Table3[[#This Row],[Date]],Database!A:E,4,)</f>
        <v/>
      </c>
      <c r="C355" s="14">
        <f>(B355-B354)/B354</f>
        <v/>
      </c>
      <c r="D355" s="14">
        <f>(B355-B343)/B343</f>
        <v/>
      </c>
    </row>
    <row r="356">
      <c r="A356" s="61" t="n">
        <v>35156</v>
      </c>
      <c r="B356" s="68">
        <f>VLOOKUP(Table3[[#This Row],[Date]],Database!A:E,4,)</f>
        <v/>
      </c>
      <c r="C356" s="14">
        <f>(B356-B355)/B355</f>
        <v/>
      </c>
      <c r="D356" s="14">
        <f>(B356-B344)/B344</f>
        <v/>
      </c>
    </row>
    <row r="357">
      <c r="A357" s="61" t="n">
        <v>35186</v>
      </c>
      <c r="B357" s="68">
        <f>VLOOKUP(Table3[[#This Row],[Date]],Database!A:E,4,)</f>
        <v/>
      </c>
      <c r="C357" s="14">
        <f>(B357-B356)/B356</f>
        <v/>
      </c>
      <c r="D357" s="14">
        <f>(B357-B345)/B345</f>
        <v/>
      </c>
    </row>
    <row r="358">
      <c r="A358" s="61" t="n">
        <v>35217</v>
      </c>
      <c r="B358" s="68">
        <f>VLOOKUP(Table3[[#This Row],[Date]],Database!A:E,4,)</f>
        <v/>
      </c>
      <c r="C358" s="14">
        <f>(B358-B357)/B357</f>
        <v/>
      </c>
      <c r="D358" s="14">
        <f>(B358-B346)/B346</f>
        <v/>
      </c>
    </row>
    <row r="359">
      <c r="A359" s="61" t="n">
        <v>35247</v>
      </c>
      <c r="B359" s="68">
        <f>VLOOKUP(Table3[[#This Row],[Date]],Database!A:E,4,)</f>
        <v/>
      </c>
      <c r="C359" s="14">
        <f>(B359-B358)/B358</f>
        <v/>
      </c>
      <c r="D359" s="14">
        <f>(B359-B347)/B347</f>
        <v/>
      </c>
    </row>
    <row r="360">
      <c r="A360" s="61" t="n">
        <v>35278</v>
      </c>
      <c r="B360" s="68">
        <f>VLOOKUP(Table3[[#This Row],[Date]],Database!A:E,4,)</f>
        <v/>
      </c>
      <c r="C360" s="14">
        <f>(B360-B359)/B359</f>
        <v/>
      </c>
      <c r="D360" s="14">
        <f>(B360-B348)/B348</f>
        <v/>
      </c>
    </row>
    <row r="361">
      <c r="A361" s="61" t="n">
        <v>35309</v>
      </c>
      <c r="B361" s="68">
        <f>VLOOKUP(Table3[[#This Row],[Date]],Database!A:E,4,)</f>
        <v/>
      </c>
      <c r="C361" s="14">
        <f>(B361-B360)/B360</f>
        <v/>
      </c>
      <c r="D361" s="14">
        <f>(B361-B349)/B349</f>
        <v/>
      </c>
    </row>
    <row r="362">
      <c r="A362" s="61" t="n">
        <v>35339</v>
      </c>
      <c r="B362" s="68">
        <f>VLOOKUP(Table3[[#This Row],[Date]],Database!A:E,4,)</f>
        <v/>
      </c>
      <c r="C362" s="14">
        <f>(B362-B361)/B361</f>
        <v/>
      </c>
      <c r="D362" s="14">
        <f>(B362-B350)/B350</f>
        <v/>
      </c>
    </row>
    <row r="363">
      <c r="A363" s="61" t="n">
        <v>35370</v>
      </c>
      <c r="B363" s="68">
        <f>VLOOKUP(Table3[[#This Row],[Date]],Database!A:E,4,)</f>
        <v/>
      </c>
      <c r="C363" s="14">
        <f>(B363-B362)/B362</f>
        <v/>
      </c>
      <c r="D363" s="14">
        <f>(B363-B351)/B351</f>
        <v/>
      </c>
    </row>
    <row r="364">
      <c r="A364" s="61" t="n">
        <v>35400</v>
      </c>
      <c r="B364" s="68">
        <f>VLOOKUP(Table3[[#This Row],[Date]],Database!A:E,4,)</f>
        <v/>
      </c>
      <c r="C364" s="14">
        <f>(B364-B363)/B363</f>
        <v/>
      </c>
      <c r="D364" s="14">
        <f>(B364-B352)/B352</f>
        <v/>
      </c>
    </row>
    <row r="365">
      <c r="A365" s="61" t="n">
        <v>35431</v>
      </c>
      <c r="B365" s="68">
        <f>VLOOKUP(Table3[[#This Row],[Date]],Database!A:E,4,)</f>
        <v/>
      </c>
      <c r="C365" s="14">
        <f>(B365-B364)/B364</f>
        <v/>
      </c>
      <c r="D365" s="14">
        <f>(B365-B353)/B353</f>
        <v/>
      </c>
    </row>
    <row r="366">
      <c r="A366" s="61" t="n">
        <v>35462</v>
      </c>
      <c r="B366" s="68">
        <f>VLOOKUP(Table3[[#This Row],[Date]],Database!A:E,4,)</f>
        <v/>
      </c>
      <c r="C366" s="14">
        <f>(B366-B365)/B365</f>
        <v/>
      </c>
      <c r="D366" s="14">
        <f>(B366-B354)/B354</f>
        <v/>
      </c>
    </row>
    <row r="367">
      <c r="A367" s="61" t="n">
        <v>35490</v>
      </c>
      <c r="B367" s="68">
        <f>VLOOKUP(Table3[[#This Row],[Date]],Database!A:E,4,)</f>
        <v/>
      </c>
      <c r="C367" s="14">
        <f>(B367-B366)/B366</f>
        <v/>
      </c>
      <c r="D367" s="14">
        <f>(B367-B355)/B355</f>
        <v/>
      </c>
    </row>
    <row r="368">
      <c r="A368" s="61" t="n">
        <v>35521</v>
      </c>
      <c r="B368" s="68">
        <f>VLOOKUP(Table3[[#This Row],[Date]],Database!A:E,4,)</f>
        <v/>
      </c>
      <c r="C368" s="14">
        <f>(B368-B367)/B367</f>
        <v/>
      </c>
      <c r="D368" s="14">
        <f>(B368-B356)/B356</f>
        <v/>
      </c>
    </row>
    <row r="369">
      <c r="A369" s="61" t="n">
        <v>35551</v>
      </c>
      <c r="B369" s="68">
        <f>VLOOKUP(Table3[[#This Row],[Date]],Database!A:E,4,)</f>
        <v/>
      </c>
      <c r="C369" s="14">
        <f>(B369-B368)/B368</f>
        <v/>
      </c>
      <c r="D369" s="14">
        <f>(B369-B357)/B357</f>
        <v/>
      </c>
    </row>
    <row r="370">
      <c r="A370" s="61" t="n">
        <v>35582</v>
      </c>
      <c r="B370" s="68">
        <f>VLOOKUP(Table3[[#This Row],[Date]],Database!A:E,4,)</f>
        <v/>
      </c>
      <c r="C370" s="14">
        <f>(B370-B369)/B369</f>
        <v/>
      </c>
      <c r="D370" s="14">
        <f>(B370-B358)/B358</f>
        <v/>
      </c>
    </row>
    <row r="371">
      <c r="A371" s="61" t="n">
        <v>35612</v>
      </c>
      <c r="B371" s="68">
        <f>VLOOKUP(Table3[[#This Row],[Date]],Database!A:E,4,)</f>
        <v/>
      </c>
      <c r="C371" s="14">
        <f>(B371-B370)/B370</f>
        <v/>
      </c>
      <c r="D371" s="14">
        <f>(B371-B359)/B359</f>
        <v/>
      </c>
    </row>
    <row r="372">
      <c r="A372" s="61" t="n">
        <v>35643</v>
      </c>
      <c r="B372" s="68">
        <f>VLOOKUP(Table3[[#This Row],[Date]],Database!A:E,4,)</f>
        <v/>
      </c>
      <c r="C372" s="14">
        <f>(B372-B371)/B371</f>
        <v/>
      </c>
      <c r="D372" s="14">
        <f>(B372-B360)/B360</f>
        <v/>
      </c>
    </row>
    <row r="373">
      <c r="A373" s="61" t="n">
        <v>35674</v>
      </c>
      <c r="B373" s="68">
        <f>VLOOKUP(Table3[[#This Row],[Date]],Database!A:E,4,)</f>
        <v/>
      </c>
      <c r="C373" s="14">
        <f>(B373-B372)/B372</f>
        <v/>
      </c>
      <c r="D373" s="14">
        <f>(B373-B361)/B361</f>
        <v/>
      </c>
    </row>
    <row r="374">
      <c r="A374" s="61" t="n">
        <v>35704</v>
      </c>
      <c r="B374" s="68">
        <f>VLOOKUP(Table3[[#This Row],[Date]],Database!A:E,4,)</f>
        <v/>
      </c>
      <c r="C374" s="14">
        <f>(B374-B373)/B373</f>
        <v/>
      </c>
      <c r="D374" s="14">
        <f>(B374-B362)/B362</f>
        <v/>
      </c>
    </row>
    <row r="375">
      <c r="A375" s="61" t="n">
        <v>35735</v>
      </c>
      <c r="B375" s="68">
        <f>VLOOKUP(Table3[[#This Row],[Date]],Database!A:E,4,)</f>
        <v/>
      </c>
      <c r="C375" s="14">
        <f>(B375-B374)/B374</f>
        <v/>
      </c>
      <c r="D375" s="14">
        <f>(B375-B363)/B363</f>
        <v/>
      </c>
    </row>
    <row r="376">
      <c r="A376" s="61" t="n">
        <v>35765</v>
      </c>
      <c r="B376" s="68">
        <f>VLOOKUP(Table3[[#This Row],[Date]],Database!A:E,4,)</f>
        <v/>
      </c>
      <c r="C376" s="14">
        <f>(B376-B375)/B375</f>
        <v/>
      </c>
      <c r="D376" s="14">
        <f>(B376-B364)/B364</f>
        <v/>
      </c>
    </row>
    <row r="377">
      <c r="A377" s="61" t="n">
        <v>35796</v>
      </c>
      <c r="B377" s="68">
        <f>VLOOKUP(Table3[[#This Row],[Date]],Database!A:E,4,)</f>
        <v/>
      </c>
      <c r="C377" s="14">
        <f>(B377-B376)/B376</f>
        <v/>
      </c>
      <c r="D377" s="14">
        <f>(B377-B365)/B365</f>
        <v/>
      </c>
    </row>
    <row r="378">
      <c r="A378" s="61" t="n">
        <v>35827</v>
      </c>
      <c r="B378" s="68">
        <f>VLOOKUP(Table3[[#This Row],[Date]],Database!A:E,4,)</f>
        <v/>
      </c>
      <c r="C378" s="14">
        <f>(B378-B377)/B377</f>
        <v/>
      </c>
      <c r="D378" s="14">
        <f>(B378-B366)/B366</f>
        <v/>
      </c>
    </row>
    <row r="379">
      <c r="A379" s="61" t="n">
        <v>35855</v>
      </c>
      <c r="B379" s="68">
        <f>VLOOKUP(Table3[[#This Row],[Date]],Database!A:E,4,)</f>
        <v/>
      </c>
      <c r="C379" s="14">
        <f>(B379-B378)/B378</f>
        <v/>
      </c>
      <c r="D379" s="14">
        <f>(B379-B367)/B367</f>
        <v/>
      </c>
    </row>
    <row r="380">
      <c r="A380" s="61" t="n">
        <v>35886</v>
      </c>
      <c r="B380" s="68">
        <f>VLOOKUP(Table3[[#This Row],[Date]],Database!A:E,4,)</f>
        <v/>
      </c>
      <c r="C380" s="14">
        <f>(B380-B379)/B379</f>
        <v/>
      </c>
      <c r="D380" s="14">
        <f>(B380-B368)/B368</f>
        <v/>
      </c>
    </row>
    <row r="381">
      <c r="A381" s="61" t="n">
        <v>35916</v>
      </c>
      <c r="B381" s="68">
        <f>VLOOKUP(Table3[[#This Row],[Date]],Database!A:E,4,)</f>
        <v/>
      </c>
      <c r="C381" s="14">
        <f>(B381-B380)/B380</f>
        <v/>
      </c>
      <c r="D381" s="14">
        <f>(B381-B369)/B369</f>
        <v/>
      </c>
    </row>
    <row r="382">
      <c r="A382" s="61" t="n">
        <v>35947</v>
      </c>
      <c r="B382" s="68">
        <f>VLOOKUP(Table3[[#This Row],[Date]],Database!A:E,4,)</f>
        <v/>
      </c>
      <c r="C382" s="14">
        <f>(B382-B381)/B381</f>
        <v/>
      </c>
      <c r="D382" s="14">
        <f>(B382-B370)/B370</f>
        <v/>
      </c>
    </row>
    <row r="383">
      <c r="A383" s="61" t="n">
        <v>35977</v>
      </c>
      <c r="B383" s="68">
        <f>VLOOKUP(Table3[[#This Row],[Date]],Database!A:E,4,)</f>
        <v/>
      </c>
      <c r="C383" s="14">
        <f>(B383-B382)/B382</f>
        <v/>
      </c>
      <c r="D383" s="14">
        <f>(B383-B371)/B371</f>
        <v/>
      </c>
    </row>
    <row r="384">
      <c r="A384" s="61" t="n">
        <v>36008</v>
      </c>
      <c r="B384" s="68">
        <f>VLOOKUP(Table3[[#This Row],[Date]],Database!A:E,4,)</f>
        <v/>
      </c>
      <c r="C384" s="14">
        <f>(B384-B383)/B383</f>
        <v/>
      </c>
      <c r="D384" s="14">
        <f>(B384-B372)/B372</f>
        <v/>
      </c>
    </row>
    <row r="385">
      <c r="A385" s="61" t="n">
        <v>36039</v>
      </c>
      <c r="B385" s="68">
        <f>VLOOKUP(Table3[[#This Row],[Date]],Database!A:E,4,)</f>
        <v/>
      </c>
      <c r="C385" s="14">
        <f>(B385-B384)/B384</f>
        <v/>
      </c>
      <c r="D385" s="14">
        <f>(B385-B373)/B373</f>
        <v/>
      </c>
    </row>
    <row r="386">
      <c r="A386" s="61" t="n">
        <v>36069</v>
      </c>
      <c r="B386" s="68">
        <f>VLOOKUP(Table3[[#This Row],[Date]],Database!A:E,4,)</f>
        <v/>
      </c>
      <c r="C386" s="14">
        <f>(B386-B385)/B385</f>
        <v/>
      </c>
      <c r="D386" s="14">
        <f>(B386-B374)/B374</f>
        <v/>
      </c>
    </row>
    <row r="387">
      <c r="A387" s="61" t="n">
        <v>36100</v>
      </c>
      <c r="B387" s="68">
        <f>VLOOKUP(Table3[[#This Row],[Date]],Database!A:E,4,)</f>
        <v/>
      </c>
      <c r="C387" s="14">
        <f>(B387-B386)/B386</f>
        <v/>
      </c>
      <c r="D387" s="14">
        <f>(B387-B375)/B375</f>
        <v/>
      </c>
    </row>
    <row r="388">
      <c r="A388" s="61" t="n">
        <v>36130</v>
      </c>
      <c r="B388" s="68">
        <f>VLOOKUP(Table3[[#This Row],[Date]],Database!A:E,4,)</f>
        <v/>
      </c>
      <c r="C388" s="14">
        <f>(B388-B387)/B387</f>
        <v/>
      </c>
      <c r="D388" s="14">
        <f>(B388-B376)/B376</f>
        <v/>
      </c>
    </row>
    <row r="389">
      <c r="A389" s="61" t="n">
        <v>36161</v>
      </c>
      <c r="B389" s="68">
        <f>VLOOKUP(Table3[[#This Row],[Date]],Database!A:E,4,)</f>
        <v/>
      </c>
      <c r="C389" s="14">
        <f>(B389-B388)/B388</f>
        <v/>
      </c>
      <c r="D389" s="14">
        <f>(B389-B377)/B377</f>
        <v/>
      </c>
    </row>
    <row r="390">
      <c r="A390" s="61" t="n">
        <v>36192</v>
      </c>
      <c r="B390" s="68">
        <f>VLOOKUP(Table3[[#This Row],[Date]],Database!A:E,4,)</f>
        <v/>
      </c>
      <c r="C390" s="14">
        <f>(B390-B389)/B389</f>
        <v/>
      </c>
      <c r="D390" s="14">
        <f>(B390-B378)/B378</f>
        <v/>
      </c>
    </row>
    <row r="391">
      <c r="A391" s="61" t="n">
        <v>36220</v>
      </c>
      <c r="B391" s="68">
        <f>VLOOKUP(Table3[[#This Row],[Date]],Database!A:E,4,)</f>
        <v/>
      </c>
      <c r="C391" s="14">
        <f>(B391-B390)/B390</f>
        <v/>
      </c>
      <c r="D391" s="14">
        <f>(B391-B379)/B379</f>
        <v/>
      </c>
    </row>
    <row r="392">
      <c r="A392" s="61" t="n">
        <v>36251</v>
      </c>
      <c r="B392" s="68">
        <f>VLOOKUP(Table3[[#This Row],[Date]],Database!A:E,4,)</f>
        <v/>
      </c>
      <c r="C392" s="14">
        <f>(B392-B391)/B391</f>
        <v/>
      </c>
      <c r="D392" s="14">
        <f>(B392-B380)/B380</f>
        <v/>
      </c>
    </row>
    <row r="393">
      <c r="A393" s="61" t="n">
        <v>36281</v>
      </c>
      <c r="B393" s="68">
        <f>VLOOKUP(Table3[[#This Row],[Date]],Database!A:E,4,)</f>
        <v/>
      </c>
      <c r="C393" s="14">
        <f>(B393-B392)/B392</f>
        <v/>
      </c>
      <c r="D393" s="14">
        <f>(B393-B381)/B381</f>
        <v/>
      </c>
    </row>
    <row r="394">
      <c r="A394" s="61" t="n">
        <v>36312</v>
      </c>
      <c r="B394" s="68">
        <f>VLOOKUP(Table3[[#This Row],[Date]],Database!A:E,4,)</f>
        <v/>
      </c>
      <c r="C394" s="14">
        <f>(B394-B393)/B393</f>
        <v/>
      </c>
      <c r="D394" s="14">
        <f>(B394-B382)/B382</f>
        <v/>
      </c>
    </row>
    <row r="395">
      <c r="A395" s="61" t="n">
        <v>36342</v>
      </c>
      <c r="B395" s="68">
        <f>VLOOKUP(Table3[[#This Row],[Date]],Database!A:E,4,)</f>
        <v/>
      </c>
      <c r="C395" s="14">
        <f>(B395-B394)/B394</f>
        <v/>
      </c>
      <c r="D395" s="14">
        <f>(B395-B383)/B383</f>
        <v/>
      </c>
    </row>
    <row r="396">
      <c r="A396" s="61" t="n">
        <v>36373</v>
      </c>
      <c r="B396" s="68">
        <f>VLOOKUP(Table3[[#This Row],[Date]],Database!A:E,4,)</f>
        <v/>
      </c>
      <c r="C396" s="14">
        <f>(B396-B395)/B395</f>
        <v/>
      </c>
      <c r="D396" s="14">
        <f>(B396-B384)/B384</f>
        <v/>
      </c>
    </row>
    <row r="397">
      <c r="A397" s="61" t="n">
        <v>36404</v>
      </c>
      <c r="B397" s="68">
        <f>VLOOKUP(Table3[[#This Row],[Date]],Database!A:E,4,)</f>
        <v/>
      </c>
      <c r="C397" s="14">
        <f>(B397-B396)/B396</f>
        <v/>
      </c>
      <c r="D397" s="14">
        <f>(B397-B385)/B385</f>
        <v/>
      </c>
    </row>
    <row r="398">
      <c r="A398" s="61" t="n">
        <v>36434</v>
      </c>
      <c r="B398" s="68">
        <f>VLOOKUP(Table3[[#This Row],[Date]],Database!A:E,4,)</f>
        <v/>
      </c>
      <c r="C398" s="14">
        <f>(B398-B397)/B397</f>
        <v/>
      </c>
      <c r="D398" s="14">
        <f>(B398-B386)/B386</f>
        <v/>
      </c>
    </row>
    <row r="399">
      <c r="A399" s="61" t="n">
        <v>36465</v>
      </c>
      <c r="B399" s="68">
        <f>VLOOKUP(Table3[[#This Row],[Date]],Database!A:E,4,)</f>
        <v/>
      </c>
      <c r="C399" s="14">
        <f>(B399-B398)/B398</f>
        <v/>
      </c>
      <c r="D399" s="14">
        <f>(B399-B387)/B387</f>
        <v/>
      </c>
    </row>
    <row r="400">
      <c r="A400" s="61" t="n">
        <v>36495</v>
      </c>
      <c r="B400" s="68">
        <f>VLOOKUP(Table3[[#This Row],[Date]],Database!A:E,4,)</f>
        <v/>
      </c>
      <c r="C400" s="14">
        <f>(B400-B399)/B399</f>
        <v/>
      </c>
      <c r="D400" s="14">
        <f>(B400-B388)/B388</f>
        <v/>
      </c>
    </row>
    <row r="401">
      <c r="A401" s="61" t="n">
        <v>36526</v>
      </c>
      <c r="B401" s="68">
        <f>VLOOKUP(Table3[[#This Row],[Date]],Database!A:E,4,)</f>
        <v/>
      </c>
      <c r="C401" s="14">
        <f>(B401-B400)/B400</f>
        <v/>
      </c>
      <c r="D401" s="14">
        <f>(B401-B389)/B389</f>
        <v/>
      </c>
    </row>
    <row r="402">
      <c r="A402" s="61" t="n">
        <v>36557</v>
      </c>
      <c r="B402" s="68">
        <f>VLOOKUP(Table3[[#This Row],[Date]],Database!A:E,4,)</f>
        <v/>
      </c>
      <c r="C402" s="14">
        <f>(B402-B401)/B401</f>
        <v/>
      </c>
      <c r="D402" s="14">
        <f>(B402-B390)/B390</f>
        <v/>
      </c>
    </row>
    <row r="403">
      <c r="A403" s="61" t="n">
        <v>36586</v>
      </c>
      <c r="B403" s="68">
        <f>VLOOKUP(Table3[[#This Row],[Date]],Database!A:E,4,)</f>
        <v/>
      </c>
      <c r="C403" s="14">
        <f>(B403-B402)/B402</f>
        <v/>
      </c>
      <c r="D403" s="14">
        <f>(B403-B391)/B391</f>
        <v/>
      </c>
    </row>
    <row r="404">
      <c r="A404" s="61" t="n">
        <v>36617</v>
      </c>
      <c r="B404" s="68">
        <f>VLOOKUP(Table3[[#This Row],[Date]],Database!A:E,4,)</f>
        <v/>
      </c>
      <c r="C404" s="14">
        <f>(B404-B403)/B403</f>
        <v/>
      </c>
      <c r="D404" s="14">
        <f>(B404-B392)/B392</f>
        <v/>
      </c>
    </row>
    <row r="405">
      <c r="A405" s="61" t="n">
        <v>36647</v>
      </c>
      <c r="B405" s="68">
        <f>VLOOKUP(Table3[[#This Row],[Date]],Database!A:E,4,)</f>
        <v/>
      </c>
      <c r="C405" s="14">
        <f>(B405-B404)/B404</f>
        <v/>
      </c>
      <c r="D405" s="14">
        <f>(B405-B393)/B393</f>
        <v/>
      </c>
    </row>
    <row r="406">
      <c r="A406" s="61" t="n">
        <v>36678</v>
      </c>
      <c r="B406" s="68">
        <f>VLOOKUP(Table3[[#This Row],[Date]],Database!A:E,4,)</f>
        <v/>
      </c>
      <c r="C406" s="14">
        <f>(B406-B405)/B405</f>
        <v/>
      </c>
      <c r="D406" s="14">
        <f>(B406-B394)/B394</f>
        <v/>
      </c>
    </row>
    <row r="407">
      <c r="A407" s="61" t="n">
        <v>36708</v>
      </c>
      <c r="B407" s="68">
        <f>VLOOKUP(Table3[[#This Row],[Date]],Database!A:E,4,)</f>
        <v/>
      </c>
      <c r="C407" s="14">
        <f>(B407-B406)/B406</f>
        <v/>
      </c>
      <c r="D407" s="14">
        <f>(B407-B395)/B395</f>
        <v/>
      </c>
    </row>
    <row r="408">
      <c r="A408" s="61" t="n">
        <v>36739</v>
      </c>
      <c r="B408" s="68">
        <f>VLOOKUP(Table3[[#This Row],[Date]],Database!A:E,4,)</f>
        <v/>
      </c>
      <c r="C408" s="14">
        <f>(B408-B407)/B407</f>
        <v/>
      </c>
      <c r="D408" s="14">
        <f>(B408-B396)/B396</f>
        <v/>
      </c>
    </row>
    <row r="409">
      <c r="A409" s="61" t="n">
        <v>36770</v>
      </c>
      <c r="B409" s="68">
        <f>VLOOKUP(Table3[[#This Row],[Date]],Database!A:E,4,)</f>
        <v/>
      </c>
      <c r="C409" s="14">
        <f>(B409-B408)/B408</f>
        <v/>
      </c>
      <c r="D409" s="14">
        <f>(B409-B397)/B397</f>
        <v/>
      </c>
    </row>
    <row r="410">
      <c r="A410" s="61" t="n">
        <v>36800</v>
      </c>
      <c r="B410" s="68">
        <f>VLOOKUP(Table3[[#This Row],[Date]],Database!A:E,4,)</f>
        <v/>
      </c>
      <c r="C410" s="14">
        <f>(B410-B409)/B409</f>
        <v/>
      </c>
      <c r="D410" s="14">
        <f>(B410-B398)/B398</f>
        <v/>
      </c>
    </row>
    <row r="411">
      <c r="A411" s="61" t="n">
        <v>36831</v>
      </c>
      <c r="B411" s="68">
        <f>VLOOKUP(Table3[[#This Row],[Date]],Database!A:E,4,)</f>
        <v/>
      </c>
      <c r="C411" s="14">
        <f>(B411-B410)/B410</f>
        <v/>
      </c>
      <c r="D411" s="14">
        <f>(B411-B399)/B399</f>
        <v/>
      </c>
    </row>
    <row r="412">
      <c r="A412" s="61" t="n">
        <v>36861</v>
      </c>
      <c r="B412" s="68">
        <f>VLOOKUP(Table3[[#This Row],[Date]],Database!A:E,4,)</f>
        <v/>
      </c>
      <c r="C412" s="14">
        <f>(B412-B411)/B411</f>
        <v/>
      </c>
      <c r="D412" s="14">
        <f>(B412-B400)/B400</f>
        <v/>
      </c>
    </row>
    <row r="413">
      <c r="A413" s="61" t="n">
        <v>36892</v>
      </c>
      <c r="B413" s="68">
        <f>VLOOKUP(Table3[[#This Row],[Date]],Database!A:E,4,)</f>
        <v/>
      </c>
      <c r="C413" s="14">
        <f>(B413-B412)/B412</f>
        <v/>
      </c>
      <c r="D413" s="14">
        <f>(B413-B401)/B401</f>
        <v/>
      </c>
    </row>
    <row r="414">
      <c r="A414" s="61" t="n">
        <v>36923</v>
      </c>
      <c r="B414" s="68">
        <f>VLOOKUP(Table3[[#This Row],[Date]],Database!A:E,4,)</f>
        <v/>
      </c>
      <c r="C414" s="14">
        <f>(B414-B413)/B413</f>
        <v/>
      </c>
      <c r="D414" s="14">
        <f>(B414-B402)/B402</f>
        <v/>
      </c>
    </row>
    <row r="415">
      <c r="A415" s="61" t="n">
        <v>36951</v>
      </c>
      <c r="B415" s="68">
        <f>VLOOKUP(Table3[[#This Row],[Date]],Database!A:E,4,)</f>
        <v/>
      </c>
      <c r="C415" s="14">
        <f>(B415-B414)/B414</f>
        <v/>
      </c>
      <c r="D415" s="14">
        <f>(B415-B403)/B403</f>
        <v/>
      </c>
    </row>
    <row r="416">
      <c r="A416" s="61" t="n">
        <v>36982</v>
      </c>
      <c r="B416" s="68">
        <f>VLOOKUP(Table3[[#This Row],[Date]],Database!A:E,4,)</f>
        <v/>
      </c>
      <c r="C416" s="14">
        <f>(B416-B415)/B415</f>
        <v/>
      </c>
      <c r="D416" s="14">
        <f>(B416-B404)/B404</f>
        <v/>
      </c>
    </row>
    <row r="417">
      <c r="A417" s="61" t="n">
        <v>37012</v>
      </c>
      <c r="B417" s="68">
        <f>VLOOKUP(Table3[[#This Row],[Date]],Database!A:E,4,)</f>
        <v/>
      </c>
      <c r="C417" s="14">
        <f>(B417-B416)/B416</f>
        <v/>
      </c>
      <c r="D417" s="14">
        <f>(B417-B405)/B405</f>
        <v/>
      </c>
    </row>
    <row r="418">
      <c r="A418" s="61" t="n">
        <v>37043</v>
      </c>
      <c r="B418" s="68">
        <f>VLOOKUP(Table3[[#This Row],[Date]],Database!A:E,4,)</f>
        <v/>
      </c>
      <c r="C418" s="14">
        <f>(B418-B417)/B417</f>
        <v/>
      </c>
      <c r="D418" s="14">
        <f>(B418-B406)/B406</f>
        <v/>
      </c>
    </row>
    <row r="419">
      <c r="A419" s="61" t="n">
        <v>37073</v>
      </c>
      <c r="B419" s="68">
        <f>VLOOKUP(Table3[[#This Row],[Date]],Database!A:E,4,)</f>
        <v/>
      </c>
      <c r="C419" s="14">
        <f>(B419-B418)/B418</f>
        <v/>
      </c>
      <c r="D419" s="14">
        <f>(B419-B407)/B407</f>
        <v/>
      </c>
    </row>
    <row r="420">
      <c r="A420" s="61" t="n">
        <v>37104</v>
      </c>
      <c r="B420" s="68">
        <f>VLOOKUP(Table3[[#This Row],[Date]],Database!A:E,4,)</f>
        <v/>
      </c>
      <c r="C420" s="14">
        <f>(B420-B419)/B419</f>
        <v/>
      </c>
      <c r="D420" s="14">
        <f>(B420-B408)/B408</f>
        <v/>
      </c>
    </row>
    <row r="421">
      <c r="A421" s="61" t="n">
        <v>37135</v>
      </c>
      <c r="B421" s="68">
        <f>VLOOKUP(Table3[[#This Row],[Date]],Database!A:E,4,)</f>
        <v/>
      </c>
      <c r="C421" s="14">
        <f>(B421-B420)/B420</f>
        <v/>
      </c>
      <c r="D421" s="14">
        <f>(B421-B409)/B409</f>
        <v/>
      </c>
    </row>
    <row r="422">
      <c r="A422" s="61" t="n">
        <v>37165</v>
      </c>
      <c r="B422" s="68">
        <f>VLOOKUP(Table3[[#This Row],[Date]],Database!A:E,4,)</f>
        <v/>
      </c>
      <c r="C422" s="14">
        <f>(B422-B421)/B421</f>
        <v/>
      </c>
      <c r="D422" s="14">
        <f>(B422-B410)/B410</f>
        <v/>
      </c>
    </row>
    <row r="423">
      <c r="A423" s="61" t="n">
        <v>37196</v>
      </c>
      <c r="B423" s="68">
        <f>VLOOKUP(Table3[[#This Row],[Date]],Database!A:E,4,)</f>
        <v/>
      </c>
      <c r="C423" s="14">
        <f>(B423-B422)/B422</f>
        <v/>
      </c>
      <c r="D423" s="14">
        <f>(B423-B411)/B411</f>
        <v/>
      </c>
    </row>
    <row r="424">
      <c r="A424" s="61" t="n">
        <v>37226</v>
      </c>
      <c r="B424" s="68">
        <f>VLOOKUP(Table3[[#This Row],[Date]],Database!A:E,4,)</f>
        <v/>
      </c>
      <c r="C424" s="14">
        <f>(B424-B423)/B423</f>
        <v/>
      </c>
      <c r="D424" s="14">
        <f>(B424-B412)/B412</f>
        <v/>
      </c>
    </row>
    <row r="425">
      <c r="A425" s="61" t="n">
        <v>37257</v>
      </c>
      <c r="B425" s="68">
        <f>VLOOKUP(Table3[[#This Row],[Date]],Database!A:E,4,)</f>
        <v/>
      </c>
      <c r="C425" s="14">
        <f>(B425-B424)/B424</f>
        <v/>
      </c>
      <c r="D425" s="14">
        <f>(B425-B413)/B413</f>
        <v/>
      </c>
    </row>
    <row r="426">
      <c r="A426" s="61" t="n">
        <v>37288</v>
      </c>
      <c r="B426" s="68">
        <f>VLOOKUP(Table3[[#This Row],[Date]],Database!A:E,4,)</f>
        <v/>
      </c>
      <c r="C426" s="14">
        <f>(B426-B425)/B425</f>
        <v/>
      </c>
      <c r="D426" s="14">
        <f>(B426-B414)/B414</f>
        <v/>
      </c>
    </row>
    <row r="427">
      <c r="A427" s="61" t="n">
        <v>37316</v>
      </c>
      <c r="B427" s="68">
        <f>VLOOKUP(Table3[[#This Row],[Date]],Database!A:E,4,)</f>
        <v/>
      </c>
      <c r="C427" s="14">
        <f>(B427-B426)/B426</f>
        <v/>
      </c>
      <c r="D427" s="14">
        <f>(B427-B415)/B415</f>
        <v/>
      </c>
    </row>
    <row r="428">
      <c r="A428" s="61" t="n">
        <v>37347</v>
      </c>
      <c r="B428" s="68">
        <f>VLOOKUP(Table3[[#This Row],[Date]],Database!A:E,4,)</f>
        <v/>
      </c>
      <c r="C428" s="14">
        <f>(B428-B427)/B427</f>
        <v/>
      </c>
      <c r="D428" s="14">
        <f>(B428-B416)/B416</f>
        <v/>
      </c>
    </row>
    <row r="429">
      <c r="A429" s="61" t="n">
        <v>37377</v>
      </c>
      <c r="B429" s="68">
        <f>VLOOKUP(Table3[[#This Row],[Date]],Database!A:E,4,)</f>
        <v/>
      </c>
      <c r="C429" s="14">
        <f>(B429-B428)/B428</f>
        <v/>
      </c>
      <c r="D429" s="14">
        <f>(B429-B417)/B417</f>
        <v/>
      </c>
    </row>
    <row r="430">
      <c r="A430" s="61" t="n">
        <v>37408</v>
      </c>
      <c r="B430" s="68">
        <f>VLOOKUP(Table3[[#This Row],[Date]],Database!A:E,4,)</f>
        <v/>
      </c>
      <c r="C430" s="14">
        <f>(B430-B429)/B429</f>
        <v/>
      </c>
      <c r="D430" s="14">
        <f>(B430-B418)/B418</f>
        <v/>
      </c>
    </row>
    <row r="431">
      <c r="A431" s="61" t="n">
        <v>37438</v>
      </c>
      <c r="B431" s="68">
        <f>VLOOKUP(Table3[[#This Row],[Date]],Database!A:E,4,)</f>
        <v/>
      </c>
      <c r="C431" s="14">
        <f>(B431-B430)/B430</f>
        <v/>
      </c>
      <c r="D431" s="14">
        <f>(B431-B419)/B419</f>
        <v/>
      </c>
    </row>
    <row r="432">
      <c r="A432" s="61" t="n">
        <v>37469</v>
      </c>
      <c r="B432" s="68">
        <f>VLOOKUP(Table3[[#This Row],[Date]],Database!A:E,4,)</f>
        <v/>
      </c>
      <c r="C432" s="14">
        <f>(B432-B431)/B431</f>
        <v/>
      </c>
      <c r="D432" s="14">
        <f>(B432-B420)/B420</f>
        <v/>
      </c>
    </row>
    <row r="433">
      <c r="A433" s="61" t="n">
        <v>37500</v>
      </c>
      <c r="B433" s="68">
        <f>VLOOKUP(Table3[[#This Row],[Date]],Database!A:E,4,)</f>
        <v/>
      </c>
      <c r="C433" s="14">
        <f>(B433-B432)/B432</f>
        <v/>
      </c>
      <c r="D433" s="14">
        <f>(B433-B421)/B421</f>
        <v/>
      </c>
    </row>
    <row r="434">
      <c r="A434" s="61" t="n">
        <v>37530</v>
      </c>
      <c r="B434" s="68">
        <f>VLOOKUP(Table3[[#This Row],[Date]],Database!A:E,4,)</f>
        <v/>
      </c>
      <c r="C434" s="14">
        <f>(B434-B433)/B433</f>
        <v/>
      </c>
      <c r="D434" s="14">
        <f>(B434-B422)/B422</f>
        <v/>
      </c>
    </row>
    <row r="435">
      <c r="A435" s="61" t="n">
        <v>37561</v>
      </c>
      <c r="B435" s="68">
        <f>VLOOKUP(Table3[[#This Row],[Date]],Database!A:E,4,)</f>
        <v/>
      </c>
      <c r="C435" s="14">
        <f>(B435-B434)/B434</f>
        <v/>
      </c>
      <c r="D435" s="14">
        <f>(B435-B423)/B423</f>
        <v/>
      </c>
    </row>
    <row r="436">
      <c r="A436" s="61" t="n">
        <v>37591</v>
      </c>
      <c r="B436" s="68">
        <f>VLOOKUP(Table3[[#This Row],[Date]],Database!A:E,4,)</f>
        <v/>
      </c>
      <c r="C436" s="14">
        <f>(B436-B435)/B435</f>
        <v/>
      </c>
      <c r="D436" s="14">
        <f>(B436-B424)/B424</f>
        <v/>
      </c>
    </row>
    <row r="437">
      <c r="A437" s="61" t="n">
        <v>37622</v>
      </c>
      <c r="B437" s="68">
        <f>VLOOKUP(Table3[[#This Row],[Date]],Database!A:E,4,)</f>
        <v/>
      </c>
      <c r="C437" s="14">
        <f>(B437-B436)/B436</f>
        <v/>
      </c>
      <c r="D437" s="14">
        <f>(B437-B425)/B425</f>
        <v/>
      </c>
    </row>
    <row r="438">
      <c r="A438" s="61" t="n">
        <v>37653</v>
      </c>
      <c r="B438" s="68">
        <f>VLOOKUP(Table3[[#This Row],[Date]],Database!A:E,4,)</f>
        <v/>
      </c>
      <c r="C438" s="14">
        <f>(B438-B437)/B437</f>
        <v/>
      </c>
      <c r="D438" s="14">
        <f>(B438-B426)/B426</f>
        <v/>
      </c>
    </row>
    <row r="439">
      <c r="A439" s="61" t="n">
        <v>37681</v>
      </c>
      <c r="B439" s="68">
        <f>VLOOKUP(Table3[[#This Row],[Date]],Database!A:E,4,)</f>
        <v/>
      </c>
      <c r="C439" s="14">
        <f>(B439-B438)/B438</f>
        <v/>
      </c>
      <c r="D439" s="14">
        <f>(B439-B427)/B427</f>
        <v/>
      </c>
    </row>
    <row r="440">
      <c r="A440" s="61" t="n">
        <v>37712</v>
      </c>
      <c r="B440" s="68">
        <f>VLOOKUP(Table3[[#This Row],[Date]],Database!A:E,4,)</f>
        <v/>
      </c>
      <c r="C440" s="14">
        <f>(B440-B439)/B439</f>
        <v/>
      </c>
      <c r="D440" s="14">
        <f>(B440-B428)/B428</f>
        <v/>
      </c>
    </row>
    <row r="441">
      <c r="A441" s="61" t="n">
        <v>37742</v>
      </c>
      <c r="B441" s="68">
        <f>VLOOKUP(Table3[[#This Row],[Date]],Database!A:E,4,)</f>
        <v/>
      </c>
      <c r="C441" s="14">
        <f>(B441-B440)/B440</f>
        <v/>
      </c>
      <c r="D441" s="14">
        <f>(B441-B429)/B429</f>
        <v/>
      </c>
    </row>
    <row r="442">
      <c r="A442" s="61" t="n">
        <v>37773</v>
      </c>
      <c r="B442" s="68">
        <f>VLOOKUP(Table3[[#This Row],[Date]],Database!A:E,4,)</f>
        <v/>
      </c>
      <c r="C442" s="14">
        <f>(B442-B441)/B441</f>
        <v/>
      </c>
      <c r="D442" s="14">
        <f>(B442-B430)/B430</f>
        <v/>
      </c>
    </row>
    <row r="443">
      <c r="A443" s="61" t="n">
        <v>37803</v>
      </c>
      <c r="B443" s="68">
        <f>VLOOKUP(Table3[[#This Row],[Date]],Database!A:E,4,)</f>
        <v/>
      </c>
      <c r="C443" s="14">
        <f>(B443-B442)/B442</f>
        <v/>
      </c>
      <c r="D443" s="14">
        <f>(B443-B431)/B431</f>
        <v/>
      </c>
    </row>
    <row r="444">
      <c r="A444" s="61" t="n">
        <v>37834</v>
      </c>
      <c r="B444" s="68">
        <f>VLOOKUP(Table3[[#This Row],[Date]],Database!A:E,4,)</f>
        <v/>
      </c>
      <c r="C444" s="14">
        <f>(B444-B443)/B443</f>
        <v/>
      </c>
      <c r="D444" s="14">
        <f>(B444-B432)/B432</f>
        <v/>
      </c>
    </row>
    <row r="445">
      <c r="A445" s="61" t="n">
        <v>37865</v>
      </c>
      <c r="B445" s="68">
        <f>VLOOKUP(Table3[[#This Row],[Date]],Database!A:E,4,)</f>
        <v/>
      </c>
      <c r="C445" s="14">
        <f>(B445-B444)/B444</f>
        <v/>
      </c>
      <c r="D445" s="14">
        <f>(B445-B433)/B433</f>
        <v/>
      </c>
    </row>
    <row r="446">
      <c r="A446" s="61" t="n">
        <v>37895</v>
      </c>
      <c r="B446" s="68">
        <f>VLOOKUP(Table3[[#This Row],[Date]],Database!A:E,4,)</f>
        <v/>
      </c>
      <c r="C446" s="14">
        <f>(B446-B445)/B445</f>
        <v/>
      </c>
      <c r="D446" s="14">
        <f>(B446-B434)/B434</f>
        <v/>
      </c>
    </row>
    <row r="447">
      <c r="A447" s="61" t="n">
        <v>37926</v>
      </c>
      <c r="B447" s="68">
        <f>VLOOKUP(Table3[[#This Row],[Date]],Database!A:E,4,)</f>
        <v/>
      </c>
      <c r="C447" s="14">
        <f>(B447-B446)/B446</f>
        <v/>
      </c>
      <c r="D447" s="14">
        <f>(B447-B435)/B435</f>
        <v/>
      </c>
    </row>
    <row r="448">
      <c r="A448" s="61" t="n">
        <v>37956</v>
      </c>
      <c r="B448" s="68">
        <f>VLOOKUP(Table3[[#This Row],[Date]],Database!A:E,4,)</f>
        <v/>
      </c>
      <c r="C448" s="14">
        <f>(B448-B447)/B447</f>
        <v/>
      </c>
      <c r="D448" s="14">
        <f>(B448-B436)/B436</f>
        <v/>
      </c>
    </row>
    <row r="449">
      <c r="A449" s="61" t="n">
        <v>37987</v>
      </c>
      <c r="B449" s="68">
        <f>VLOOKUP(Table3[[#This Row],[Date]],Database!A:E,4,)</f>
        <v/>
      </c>
      <c r="C449" s="14">
        <f>(B449-B448)/B448</f>
        <v/>
      </c>
      <c r="D449" s="14">
        <f>(B449-B437)/B437</f>
        <v/>
      </c>
    </row>
    <row r="450">
      <c r="A450" s="61" t="n">
        <v>38018</v>
      </c>
      <c r="B450" s="68">
        <f>VLOOKUP(Table3[[#This Row],[Date]],Database!A:E,4,)</f>
        <v/>
      </c>
      <c r="C450" s="14">
        <f>(B450-B449)/B449</f>
        <v/>
      </c>
      <c r="D450" s="14">
        <f>(B450-B438)/B438</f>
        <v/>
      </c>
    </row>
    <row r="451">
      <c r="A451" s="61" t="n">
        <v>38047</v>
      </c>
      <c r="B451" s="68">
        <f>VLOOKUP(Table3[[#This Row],[Date]],Database!A:E,4,)</f>
        <v/>
      </c>
      <c r="C451" s="14">
        <f>(B451-B450)/B450</f>
        <v/>
      </c>
      <c r="D451" s="14">
        <f>(B451-B439)/B439</f>
        <v/>
      </c>
    </row>
    <row r="452">
      <c r="A452" s="61" t="n">
        <v>38078</v>
      </c>
      <c r="B452" s="68">
        <f>VLOOKUP(Table3[[#This Row],[Date]],Database!A:E,4,)</f>
        <v/>
      </c>
      <c r="C452" s="14">
        <f>(B452-B451)/B451</f>
        <v/>
      </c>
      <c r="D452" s="14">
        <f>(B452-B440)/B440</f>
        <v/>
      </c>
    </row>
    <row r="453">
      <c r="A453" s="61" t="n">
        <v>38108</v>
      </c>
      <c r="B453" s="68">
        <f>VLOOKUP(Table3[[#This Row],[Date]],Database!A:E,4,)</f>
        <v/>
      </c>
      <c r="C453" s="14">
        <f>(B453-B452)/B452</f>
        <v/>
      </c>
      <c r="D453" s="14">
        <f>(B453-B441)/B441</f>
        <v/>
      </c>
    </row>
    <row r="454">
      <c r="A454" s="61" t="n">
        <v>38139</v>
      </c>
      <c r="B454" s="68">
        <f>VLOOKUP(Table3[[#This Row],[Date]],Database!A:E,4,)</f>
        <v/>
      </c>
      <c r="C454" s="14">
        <f>(B454-B453)/B453</f>
        <v/>
      </c>
      <c r="D454" s="14">
        <f>(B454-B442)/B442</f>
        <v/>
      </c>
    </row>
    <row r="455">
      <c r="A455" s="61" t="n">
        <v>38169</v>
      </c>
      <c r="B455" s="68">
        <f>VLOOKUP(Table3[[#This Row],[Date]],Database!A:E,4,)</f>
        <v/>
      </c>
      <c r="C455" s="14">
        <f>(B455-B454)/B454</f>
        <v/>
      </c>
      <c r="D455" s="14">
        <f>(B455-B443)/B443</f>
        <v/>
      </c>
    </row>
    <row r="456">
      <c r="A456" s="61" t="n">
        <v>38200</v>
      </c>
      <c r="B456" s="68">
        <f>VLOOKUP(Table3[[#This Row],[Date]],Database!A:E,4,)</f>
        <v/>
      </c>
      <c r="C456" s="14">
        <f>(B456-B455)/B455</f>
        <v/>
      </c>
      <c r="D456" s="14">
        <f>(B456-B444)/B444</f>
        <v/>
      </c>
    </row>
    <row r="457">
      <c r="A457" s="61" t="n">
        <v>38231</v>
      </c>
      <c r="B457" s="68">
        <f>VLOOKUP(Table3[[#This Row],[Date]],Database!A:E,4,)</f>
        <v/>
      </c>
      <c r="C457" s="14">
        <f>(B457-B456)/B456</f>
        <v/>
      </c>
      <c r="D457" s="14">
        <f>(B457-B445)/B445</f>
        <v/>
      </c>
    </row>
    <row r="458">
      <c r="A458" s="61" t="n">
        <v>38261</v>
      </c>
      <c r="B458" s="68">
        <f>VLOOKUP(Table3[[#This Row],[Date]],Database!A:E,4,)</f>
        <v/>
      </c>
      <c r="C458" s="14">
        <f>(B458-B457)/B457</f>
        <v/>
      </c>
      <c r="D458" s="14">
        <f>(B458-B446)/B446</f>
        <v/>
      </c>
    </row>
    <row r="459">
      <c r="A459" s="61" t="n">
        <v>38292</v>
      </c>
      <c r="B459" s="68">
        <f>VLOOKUP(Table3[[#This Row],[Date]],Database!A:E,4,)</f>
        <v/>
      </c>
      <c r="C459" s="14">
        <f>(B459-B458)/B458</f>
        <v/>
      </c>
      <c r="D459" s="14">
        <f>(B459-B447)/B447</f>
        <v/>
      </c>
    </row>
    <row r="460">
      <c r="A460" s="61" t="n">
        <v>38322</v>
      </c>
      <c r="B460" s="68">
        <f>VLOOKUP(Table3[[#This Row],[Date]],Database!A:E,4,)</f>
        <v/>
      </c>
      <c r="C460" s="14">
        <f>(B460-B459)/B459</f>
        <v/>
      </c>
      <c r="D460" s="14">
        <f>(B460-B448)/B448</f>
        <v/>
      </c>
    </row>
    <row r="461">
      <c r="A461" s="61" t="n">
        <v>38353</v>
      </c>
      <c r="B461" s="68">
        <f>VLOOKUP(Table3[[#This Row],[Date]],Database!A:E,4,)</f>
        <v/>
      </c>
      <c r="C461" s="14">
        <f>(B461-B460)/B460</f>
        <v/>
      </c>
      <c r="D461" s="14">
        <f>(B461-B449)/B449</f>
        <v/>
      </c>
    </row>
    <row r="462">
      <c r="A462" s="61" t="n">
        <v>38384</v>
      </c>
      <c r="B462" s="68">
        <f>VLOOKUP(Table3[[#This Row],[Date]],Database!A:E,4,)</f>
        <v/>
      </c>
      <c r="C462" s="14">
        <f>(B462-B461)/B461</f>
        <v/>
      </c>
      <c r="D462" s="14">
        <f>(B462-B450)/B450</f>
        <v/>
      </c>
    </row>
    <row r="463">
      <c r="A463" s="61" t="n">
        <v>38412</v>
      </c>
      <c r="B463" s="68">
        <f>VLOOKUP(Table3[[#This Row],[Date]],Database!A:E,4,)</f>
        <v/>
      </c>
      <c r="C463" s="14">
        <f>(B463-B462)/B462</f>
        <v/>
      </c>
      <c r="D463" s="14">
        <f>(B463-B451)/B451</f>
        <v/>
      </c>
    </row>
    <row r="464">
      <c r="A464" s="61" t="n">
        <v>38443</v>
      </c>
      <c r="B464" s="68">
        <f>VLOOKUP(Table3[[#This Row],[Date]],Database!A:E,4,)</f>
        <v/>
      </c>
      <c r="C464" s="14">
        <f>(B464-B463)/B463</f>
        <v/>
      </c>
      <c r="D464" s="14">
        <f>(B464-B452)/B452</f>
        <v/>
      </c>
    </row>
    <row r="465">
      <c r="A465" s="61" t="n">
        <v>38473</v>
      </c>
      <c r="B465" s="68">
        <f>VLOOKUP(Table3[[#This Row],[Date]],Database!A:E,4,)</f>
        <v/>
      </c>
      <c r="C465" s="14">
        <f>(B465-B464)/B464</f>
        <v/>
      </c>
      <c r="D465" s="14">
        <f>(B465-B453)/B453</f>
        <v/>
      </c>
    </row>
    <row r="466">
      <c r="A466" s="61" t="n">
        <v>38504</v>
      </c>
      <c r="B466" s="68">
        <f>VLOOKUP(Table3[[#This Row],[Date]],Database!A:E,4,)</f>
        <v/>
      </c>
      <c r="C466" s="14">
        <f>(B466-B465)/B465</f>
        <v/>
      </c>
      <c r="D466" s="14">
        <f>(B466-B454)/B454</f>
        <v/>
      </c>
    </row>
    <row r="467">
      <c r="A467" s="61" t="n">
        <v>38534</v>
      </c>
      <c r="B467" s="68">
        <f>VLOOKUP(Table3[[#This Row],[Date]],Database!A:E,4,)</f>
        <v/>
      </c>
      <c r="C467" s="14">
        <f>(B467-B466)/B466</f>
        <v/>
      </c>
      <c r="D467" s="14">
        <f>(B467-B455)/B455</f>
        <v/>
      </c>
    </row>
    <row r="468">
      <c r="A468" s="61" t="n">
        <v>38565</v>
      </c>
      <c r="B468" s="68">
        <f>VLOOKUP(Table3[[#This Row],[Date]],Database!A:E,4,)</f>
        <v/>
      </c>
      <c r="C468" s="14">
        <f>(B468-B467)/B467</f>
        <v/>
      </c>
      <c r="D468" s="14">
        <f>(B468-B456)/B456</f>
        <v/>
      </c>
    </row>
    <row r="469">
      <c r="A469" s="61" t="n">
        <v>38596</v>
      </c>
      <c r="B469" s="68">
        <f>VLOOKUP(Table3[[#This Row],[Date]],Database!A:E,4,)</f>
        <v/>
      </c>
      <c r="C469" s="14">
        <f>(B469-B468)/B468</f>
        <v/>
      </c>
      <c r="D469" s="14">
        <f>(B469-B457)/B457</f>
        <v/>
      </c>
    </row>
    <row r="470">
      <c r="A470" s="61" t="n">
        <v>38626</v>
      </c>
      <c r="B470" s="68">
        <f>VLOOKUP(Table3[[#This Row],[Date]],Database!A:E,4,)</f>
        <v/>
      </c>
      <c r="C470" s="14">
        <f>(B470-B469)/B469</f>
        <v/>
      </c>
      <c r="D470" s="14">
        <f>(B470-B458)/B458</f>
        <v/>
      </c>
    </row>
    <row r="471">
      <c r="A471" s="61" t="n">
        <v>38657</v>
      </c>
      <c r="B471" s="68">
        <f>VLOOKUP(Table3[[#This Row],[Date]],Database!A:E,4,)</f>
        <v/>
      </c>
      <c r="C471" s="14">
        <f>(B471-B470)/B470</f>
        <v/>
      </c>
      <c r="D471" s="14">
        <f>(B471-B459)/B459</f>
        <v/>
      </c>
    </row>
    <row r="472">
      <c r="A472" s="61" t="n">
        <v>38687</v>
      </c>
      <c r="B472" s="68">
        <f>VLOOKUP(Table3[[#This Row],[Date]],Database!A:E,4,)</f>
        <v/>
      </c>
      <c r="C472" s="14">
        <f>(B472-B471)/B471</f>
        <v/>
      </c>
      <c r="D472" s="14">
        <f>(B472-B460)/B460</f>
        <v/>
      </c>
    </row>
    <row r="473">
      <c r="A473" s="61" t="n">
        <v>38718</v>
      </c>
      <c r="B473" s="68">
        <f>VLOOKUP(Table3[[#This Row],[Date]],Database!A:E,4,)</f>
        <v/>
      </c>
      <c r="C473" s="14">
        <f>(B473-B472)/B472</f>
        <v/>
      </c>
      <c r="D473" s="14">
        <f>(B473-B461)/B461</f>
        <v/>
      </c>
    </row>
    <row r="474">
      <c r="A474" s="61" t="n">
        <v>38749</v>
      </c>
      <c r="B474" s="68">
        <f>VLOOKUP(Table3[[#This Row],[Date]],Database!A:E,4,)</f>
        <v/>
      </c>
      <c r="C474" s="14">
        <f>(B474-B473)/B473</f>
        <v/>
      </c>
      <c r="D474" s="14">
        <f>(B474-B462)/B462</f>
        <v/>
      </c>
    </row>
    <row r="475">
      <c r="A475" s="61" t="n">
        <v>38777</v>
      </c>
      <c r="B475" s="68">
        <f>VLOOKUP(Table3[[#This Row],[Date]],Database!A:E,4,)</f>
        <v/>
      </c>
      <c r="C475" s="14">
        <f>(B475-B474)/B474</f>
        <v/>
      </c>
      <c r="D475" s="14">
        <f>(B475-B463)/B463</f>
        <v/>
      </c>
    </row>
    <row r="476">
      <c r="A476" s="61" t="n">
        <v>38808</v>
      </c>
      <c r="B476" s="68">
        <f>VLOOKUP(Table3[[#This Row],[Date]],Database!A:E,4,)</f>
        <v/>
      </c>
      <c r="C476" s="14">
        <f>(B476-B475)/B475</f>
        <v/>
      </c>
      <c r="D476" s="14">
        <f>(B476-B464)/B464</f>
        <v/>
      </c>
    </row>
    <row r="477">
      <c r="A477" s="61" t="n">
        <v>38838</v>
      </c>
      <c r="B477" s="68">
        <f>VLOOKUP(Table3[[#This Row],[Date]],Database!A:E,4,)</f>
        <v/>
      </c>
      <c r="C477" s="14">
        <f>(B477-B476)/B476</f>
        <v/>
      </c>
      <c r="D477" s="14">
        <f>(B477-B465)/B465</f>
        <v/>
      </c>
    </row>
    <row r="478">
      <c r="A478" s="61" t="n">
        <v>38869</v>
      </c>
      <c r="B478" s="68">
        <f>VLOOKUP(Table3[[#This Row],[Date]],Database!A:E,4,)</f>
        <v/>
      </c>
      <c r="C478" s="14">
        <f>(B478-B477)/B477</f>
        <v/>
      </c>
      <c r="D478" s="14">
        <f>(B478-B466)/B466</f>
        <v/>
      </c>
    </row>
    <row r="479">
      <c r="A479" s="61" t="n">
        <v>38899</v>
      </c>
      <c r="B479" s="68">
        <f>VLOOKUP(Table3[[#This Row],[Date]],Database!A:E,4,)</f>
        <v/>
      </c>
      <c r="C479" s="14">
        <f>(B479-B478)/B478</f>
        <v/>
      </c>
      <c r="D479" s="14">
        <f>(B479-B467)/B467</f>
        <v/>
      </c>
    </row>
    <row r="480">
      <c r="A480" s="61" t="n">
        <v>38930</v>
      </c>
      <c r="B480" s="68">
        <f>VLOOKUP(Table3[[#This Row],[Date]],Database!A:E,4,)</f>
        <v/>
      </c>
      <c r="C480" s="14">
        <f>(B480-B479)/B479</f>
        <v/>
      </c>
      <c r="D480" s="14">
        <f>(B480-B468)/B468</f>
        <v/>
      </c>
    </row>
    <row r="481">
      <c r="A481" s="61" t="n">
        <v>38961</v>
      </c>
      <c r="B481" s="68">
        <f>VLOOKUP(Table3[[#This Row],[Date]],Database!A:E,4,)</f>
        <v/>
      </c>
      <c r="C481" s="14">
        <f>(B481-B480)/B480</f>
        <v/>
      </c>
      <c r="D481" s="14">
        <f>(B481-B469)/B469</f>
        <v/>
      </c>
    </row>
    <row r="482">
      <c r="A482" s="61" t="n">
        <v>38991</v>
      </c>
      <c r="B482" s="68">
        <f>VLOOKUP(Table3[[#This Row],[Date]],Database!A:E,4,)</f>
        <v/>
      </c>
      <c r="C482" s="14">
        <f>(B482-B481)/B481</f>
        <v/>
      </c>
      <c r="D482" s="14">
        <f>(B482-B470)/B470</f>
        <v/>
      </c>
    </row>
    <row r="483">
      <c r="A483" s="61" t="n">
        <v>39022</v>
      </c>
      <c r="B483" s="68">
        <f>VLOOKUP(Table3[[#This Row],[Date]],Database!A:E,4,)</f>
        <v/>
      </c>
      <c r="C483" s="14">
        <f>(B483-B482)/B482</f>
        <v/>
      </c>
      <c r="D483" s="14">
        <f>(B483-B471)/B471</f>
        <v/>
      </c>
    </row>
    <row r="484">
      <c r="A484" s="61" t="n">
        <v>39052</v>
      </c>
      <c r="B484" s="68">
        <f>VLOOKUP(Table3[[#This Row],[Date]],Database!A:E,4,)</f>
        <v/>
      </c>
      <c r="C484" s="14">
        <f>(B484-B483)/B483</f>
        <v/>
      </c>
      <c r="D484" s="14">
        <f>(B484-B472)/B472</f>
        <v/>
      </c>
    </row>
    <row r="485">
      <c r="A485" s="61" t="n">
        <v>39083</v>
      </c>
      <c r="B485" s="68">
        <f>VLOOKUP(Table3[[#This Row],[Date]],Database!A:E,4,)</f>
        <v/>
      </c>
      <c r="C485" s="14">
        <f>(B485-B484)/B484</f>
        <v/>
      </c>
      <c r="D485" s="14">
        <f>(B485-B473)/B473</f>
        <v/>
      </c>
    </row>
    <row r="486">
      <c r="A486" s="61" t="n">
        <v>39114</v>
      </c>
      <c r="B486" s="68">
        <f>VLOOKUP(Table3[[#This Row],[Date]],Database!A:E,4,)</f>
        <v/>
      </c>
      <c r="C486" s="14">
        <f>(B486-B485)/B485</f>
        <v/>
      </c>
      <c r="D486" s="14">
        <f>(B486-B474)/B474</f>
        <v/>
      </c>
    </row>
    <row r="487">
      <c r="A487" s="61" t="n">
        <v>39142</v>
      </c>
      <c r="B487" s="68">
        <f>VLOOKUP(Table3[[#This Row],[Date]],Database!A:E,4,)</f>
        <v/>
      </c>
      <c r="C487" s="14">
        <f>(B487-B486)/B486</f>
        <v/>
      </c>
      <c r="D487" s="14">
        <f>(B487-B475)/B475</f>
        <v/>
      </c>
    </row>
    <row r="488">
      <c r="A488" s="61" t="n">
        <v>39173</v>
      </c>
      <c r="B488" s="68">
        <f>VLOOKUP(Table3[[#This Row],[Date]],Database!A:E,4,)</f>
        <v/>
      </c>
      <c r="C488" s="14">
        <f>(B488-B487)/B487</f>
        <v/>
      </c>
      <c r="D488" s="14">
        <f>(B488-B476)/B476</f>
        <v/>
      </c>
    </row>
    <row r="489">
      <c r="A489" s="61" t="n">
        <v>39203</v>
      </c>
      <c r="B489" s="68">
        <f>VLOOKUP(Table3[[#This Row],[Date]],Database!A:E,4,)</f>
        <v/>
      </c>
      <c r="C489" s="14">
        <f>(B489-B488)/B488</f>
        <v/>
      </c>
      <c r="D489" s="14">
        <f>(B489-B477)/B477</f>
        <v/>
      </c>
    </row>
    <row r="490">
      <c r="A490" s="61" t="n">
        <v>39234</v>
      </c>
      <c r="B490" s="68">
        <f>VLOOKUP(Table3[[#This Row],[Date]],Database!A:E,4,)</f>
        <v/>
      </c>
      <c r="C490" s="14">
        <f>(B490-B489)/B489</f>
        <v/>
      </c>
      <c r="D490" s="14">
        <f>(B490-B478)/B478</f>
        <v/>
      </c>
    </row>
    <row r="491">
      <c r="A491" s="61" t="n">
        <v>39264</v>
      </c>
      <c r="B491" s="68">
        <f>VLOOKUP(Table3[[#This Row],[Date]],Database!A:E,4,)</f>
        <v/>
      </c>
      <c r="C491" s="14">
        <f>(B491-B490)/B490</f>
        <v/>
      </c>
      <c r="D491" s="14">
        <f>(B491-B479)/B479</f>
        <v/>
      </c>
    </row>
    <row r="492">
      <c r="A492" s="61" t="n">
        <v>39295</v>
      </c>
      <c r="B492" s="68">
        <f>VLOOKUP(Table3[[#This Row],[Date]],Database!A:E,4,)</f>
        <v/>
      </c>
      <c r="C492" s="14">
        <f>(B492-B491)/B491</f>
        <v/>
      </c>
      <c r="D492" s="14">
        <f>(B492-B480)/B480</f>
        <v/>
      </c>
    </row>
    <row r="493">
      <c r="A493" s="61" t="n">
        <v>39326</v>
      </c>
      <c r="B493" s="68">
        <f>VLOOKUP(Table3[[#This Row],[Date]],Database!A:E,4,)</f>
        <v/>
      </c>
      <c r="C493" s="14">
        <f>(B493-B492)/B492</f>
        <v/>
      </c>
      <c r="D493" s="14">
        <f>(B493-B481)/B481</f>
        <v/>
      </c>
    </row>
    <row r="494">
      <c r="A494" s="61" t="n">
        <v>39356</v>
      </c>
      <c r="B494" s="68">
        <f>VLOOKUP(Table3[[#This Row],[Date]],Database!A:E,4,)</f>
        <v/>
      </c>
      <c r="C494" s="14">
        <f>(B494-B493)/B493</f>
        <v/>
      </c>
      <c r="D494" s="14">
        <f>(B494-B482)/B482</f>
        <v/>
      </c>
    </row>
    <row r="495">
      <c r="A495" s="61" t="n">
        <v>39387</v>
      </c>
      <c r="B495" s="68">
        <f>VLOOKUP(Table3[[#This Row],[Date]],Database!A:E,4,)</f>
        <v/>
      </c>
      <c r="C495" s="14">
        <f>(B495-B494)/B494</f>
        <v/>
      </c>
      <c r="D495" s="14">
        <f>(B495-B483)/B483</f>
        <v/>
      </c>
    </row>
    <row r="496">
      <c r="A496" s="61" t="n">
        <v>39417</v>
      </c>
      <c r="B496" s="68">
        <f>VLOOKUP(Table3[[#This Row],[Date]],Database!A:E,4,)</f>
        <v/>
      </c>
      <c r="C496" s="14">
        <f>(B496-B495)/B495</f>
        <v/>
      </c>
      <c r="D496" s="14">
        <f>(B496-B484)/B484</f>
        <v/>
      </c>
    </row>
    <row r="497">
      <c r="A497" s="61" t="n">
        <v>39448</v>
      </c>
      <c r="B497" s="68">
        <f>VLOOKUP(Table3[[#This Row],[Date]],Database!A:E,4,)</f>
        <v/>
      </c>
      <c r="C497" s="14">
        <f>(B497-B496)/B496</f>
        <v/>
      </c>
      <c r="D497" s="14">
        <f>(B497-B485)/B485</f>
        <v/>
      </c>
    </row>
    <row r="498">
      <c r="A498" s="61" t="n">
        <v>39479</v>
      </c>
      <c r="B498" s="68">
        <f>VLOOKUP(Table3[[#This Row],[Date]],Database!A:E,4,)</f>
        <v/>
      </c>
      <c r="C498" s="14">
        <f>(B498-B497)/B497</f>
        <v/>
      </c>
      <c r="D498" s="14">
        <f>(B498-B486)/B486</f>
        <v/>
      </c>
    </row>
    <row r="499">
      <c r="A499" s="61" t="n">
        <v>39508</v>
      </c>
      <c r="B499" s="68">
        <f>VLOOKUP(Table3[[#This Row],[Date]],Database!A:E,4,)</f>
        <v/>
      </c>
      <c r="C499" s="14">
        <f>(B499-B498)/B498</f>
        <v/>
      </c>
      <c r="D499" s="14">
        <f>(B499-B487)/B487</f>
        <v/>
      </c>
    </row>
    <row r="500">
      <c r="A500" s="61" t="n">
        <v>39539</v>
      </c>
      <c r="B500" s="68">
        <f>VLOOKUP(Table3[[#This Row],[Date]],Database!A:E,4,)</f>
        <v/>
      </c>
      <c r="C500" s="14">
        <f>(B500-B499)/B499</f>
        <v/>
      </c>
      <c r="D500" s="14">
        <f>(B500-B488)/B488</f>
        <v/>
      </c>
    </row>
    <row r="501">
      <c r="A501" s="61" t="n">
        <v>39569</v>
      </c>
      <c r="B501" s="68">
        <f>VLOOKUP(Table3[[#This Row],[Date]],Database!A:E,4,)</f>
        <v/>
      </c>
      <c r="C501" s="14">
        <f>(B501-B500)/B500</f>
        <v/>
      </c>
      <c r="D501" s="14">
        <f>(B501-B489)/B489</f>
        <v/>
      </c>
    </row>
    <row r="502">
      <c r="A502" s="61" t="n">
        <v>39600</v>
      </c>
      <c r="B502" s="68">
        <f>VLOOKUP(Table3[[#This Row],[Date]],Database!A:E,4,)</f>
        <v/>
      </c>
      <c r="C502" s="14">
        <f>(B502-B501)/B501</f>
        <v/>
      </c>
      <c r="D502" s="14">
        <f>(B502-B490)/B490</f>
        <v/>
      </c>
    </row>
    <row r="503">
      <c r="A503" s="61" t="n">
        <v>39630</v>
      </c>
      <c r="B503" s="68">
        <f>VLOOKUP(Table3[[#This Row],[Date]],Database!A:E,4,)</f>
        <v/>
      </c>
      <c r="C503" s="14">
        <f>(B503-B502)/B502</f>
        <v/>
      </c>
      <c r="D503" s="14">
        <f>(B503-B491)/B491</f>
        <v/>
      </c>
    </row>
    <row r="504">
      <c r="A504" s="61" t="n">
        <v>39661</v>
      </c>
      <c r="B504" s="68">
        <f>VLOOKUP(Table3[[#This Row],[Date]],Database!A:E,4,)</f>
        <v/>
      </c>
      <c r="C504" s="14">
        <f>(B504-B503)/B503</f>
        <v/>
      </c>
      <c r="D504" s="14">
        <f>(B504-B492)/B492</f>
        <v/>
      </c>
    </row>
    <row r="505">
      <c r="A505" s="61" t="n">
        <v>39692</v>
      </c>
      <c r="B505" s="68">
        <f>VLOOKUP(Table3[[#This Row],[Date]],Database!A:E,4,)</f>
        <v/>
      </c>
      <c r="C505" s="14">
        <f>(B505-B504)/B504</f>
        <v/>
      </c>
      <c r="D505" s="14">
        <f>(B505-B493)/B493</f>
        <v/>
      </c>
    </row>
    <row r="506">
      <c r="A506" s="61" t="n">
        <v>39722</v>
      </c>
      <c r="B506" s="68">
        <f>VLOOKUP(Table3[[#This Row],[Date]],Database!A:E,4,)</f>
        <v/>
      </c>
      <c r="C506" s="14">
        <f>(B506-B505)/B505</f>
        <v/>
      </c>
      <c r="D506" s="14">
        <f>(B506-B494)/B494</f>
        <v/>
      </c>
    </row>
    <row r="507">
      <c r="A507" s="61" t="n">
        <v>39753</v>
      </c>
      <c r="B507" s="68">
        <f>VLOOKUP(Table3[[#This Row],[Date]],Database!A:E,4,)</f>
        <v/>
      </c>
      <c r="C507" s="14">
        <f>(B507-B506)/B506</f>
        <v/>
      </c>
      <c r="D507" s="14">
        <f>(B507-B495)/B495</f>
        <v/>
      </c>
    </row>
    <row r="508">
      <c r="A508" s="61" t="n">
        <v>39783</v>
      </c>
      <c r="B508" s="68">
        <f>VLOOKUP(Table3[[#This Row],[Date]],Database!A:E,4,)</f>
        <v/>
      </c>
      <c r="C508" s="14">
        <f>(B508-B507)/B507</f>
        <v/>
      </c>
      <c r="D508" s="14">
        <f>(B508-B496)/B496</f>
        <v/>
      </c>
    </row>
    <row r="509">
      <c r="A509" s="61" t="n">
        <v>39814</v>
      </c>
      <c r="B509" s="68">
        <f>VLOOKUP(Table3[[#This Row],[Date]],Database!A:E,4,)</f>
        <v/>
      </c>
      <c r="C509" s="14">
        <f>(B509-B508)/B508</f>
        <v/>
      </c>
      <c r="D509" s="14">
        <f>(B509-B497)/B497</f>
        <v/>
      </c>
    </row>
    <row r="510">
      <c r="A510" s="61" t="n">
        <v>39845</v>
      </c>
      <c r="B510" s="68">
        <f>VLOOKUP(Table3[[#This Row],[Date]],Database!A:E,4,)</f>
        <v/>
      </c>
      <c r="C510" s="14">
        <f>(B510-B509)/B509</f>
        <v/>
      </c>
      <c r="D510" s="14">
        <f>(B510-B498)/B498</f>
        <v/>
      </c>
    </row>
    <row r="511">
      <c r="A511" s="61" t="n">
        <v>39873</v>
      </c>
      <c r="B511" s="68">
        <f>VLOOKUP(Table3[[#This Row],[Date]],Database!A:E,4,)</f>
        <v/>
      </c>
      <c r="C511" s="14">
        <f>(B511-B510)/B510</f>
        <v/>
      </c>
      <c r="D511" s="14">
        <f>(B511-B499)/B499</f>
        <v/>
      </c>
    </row>
    <row r="512">
      <c r="A512" s="61" t="n">
        <v>39904</v>
      </c>
      <c r="B512" s="68">
        <f>VLOOKUP(Table3[[#This Row],[Date]],Database!A:E,4,)</f>
        <v/>
      </c>
      <c r="C512" s="14">
        <f>(B512-B511)/B511</f>
        <v/>
      </c>
      <c r="D512" s="14">
        <f>(B512-B500)/B500</f>
        <v/>
      </c>
    </row>
    <row r="513">
      <c r="A513" s="61" t="n">
        <v>39934</v>
      </c>
      <c r="B513" s="68">
        <f>VLOOKUP(Table3[[#This Row],[Date]],Database!A:E,4,)</f>
        <v/>
      </c>
      <c r="C513" s="14">
        <f>(B513-B512)/B512</f>
        <v/>
      </c>
      <c r="D513" s="14">
        <f>(B513-B501)/B501</f>
        <v/>
      </c>
    </row>
    <row r="514">
      <c r="A514" s="61" t="n">
        <v>39965</v>
      </c>
      <c r="B514" s="68">
        <f>VLOOKUP(Table3[[#This Row],[Date]],Database!A:E,4,)</f>
        <v/>
      </c>
      <c r="C514" s="14">
        <f>(B514-B513)/B513</f>
        <v/>
      </c>
      <c r="D514" s="14">
        <f>(B514-B502)/B502</f>
        <v/>
      </c>
    </row>
    <row r="515">
      <c r="A515" s="61" t="n">
        <v>39995</v>
      </c>
      <c r="B515" s="68">
        <f>VLOOKUP(Table3[[#This Row],[Date]],Database!A:E,4,)</f>
        <v/>
      </c>
      <c r="C515" s="14">
        <f>(B515-B514)/B514</f>
        <v/>
      </c>
      <c r="D515" s="14">
        <f>(B515-B503)/B503</f>
        <v/>
      </c>
    </row>
    <row r="516">
      <c r="A516" s="61" t="n">
        <v>40026</v>
      </c>
      <c r="B516" s="68">
        <f>VLOOKUP(Table3[[#This Row],[Date]],Database!A:E,4,)</f>
        <v/>
      </c>
      <c r="C516" s="14">
        <f>(B516-B515)/B515</f>
        <v/>
      </c>
      <c r="D516" s="14">
        <f>(B516-B504)/B504</f>
        <v/>
      </c>
    </row>
    <row r="517">
      <c r="A517" s="61" t="n">
        <v>40057</v>
      </c>
      <c r="B517" s="68">
        <f>VLOOKUP(Table3[[#This Row],[Date]],Database!A:E,4,)</f>
        <v/>
      </c>
      <c r="C517" s="14">
        <f>(B517-B516)/B516</f>
        <v/>
      </c>
      <c r="D517" s="14">
        <f>(B517-B505)/B505</f>
        <v/>
      </c>
    </row>
    <row r="518">
      <c r="A518" s="61" t="n">
        <v>40087</v>
      </c>
      <c r="B518" s="68">
        <f>VLOOKUP(Table3[[#This Row],[Date]],Database!A:E,4,)</f>
        <v/>
      </c>
      <c r="C518" s="14">
        <f>(B518-B517)/B517</f>
        <v/>
      </c>
      <c r="D518" s="14">
        <f>(B518-B506)/B506</f>
        <v/>
      </c>
    </row>
    <row r="519">
      <c r="A519" s="61" t="n">
        <v>40118</v>
      </c>
      <c r="B519" s="68">
        <f>VLOOKUP(Table3[[#This Row],[Date]],Database!A:E,4,)</f>
        <v/>
      </c>
      <c r="C519" s="14">
        <f>(B519-B518)/B518</f>
        <v/>
      </c>
      <c r="D519" s="14">
        <f>(B519-B507)/B507</f>
        <v/>
      </c>
    </row>
    <row r="520">
      <c r="A520" s="61" t="n">
        <v>40148</v>
      </c>
      <c r="B520" s="68">
        <f>VLOOKUP(Table3[[#This Row],[Date]],Database!A:E,4,)</f>
        <v/>
      </c>
      <c r="C520" s="14">
        <f>(B520-B519)/B519</f>
        <v/>
      </c>
      <c r="D520" s="14">
        <f>(B520-B508)/B508</f>
        <v/>
      </c>
    </row>
    <row r="521">
      <c r="A521" s="61" t="n">
        <v>40179</v>
      </c>
      <c r="B521" s="68">
        <f>VLOOKUP(Table3[[#This Row],[Date]],Database!A:E,4,)</f>
        <v/>
      </c>
      <c r="C521" s="14">
        <f>(B521-B520)/B520</f>
        <v/>
      </c>
      <c r="D521" s="14">
        <f>(B521-B509)/B509</f>
        <v/>
      </c>
    </row>
    <row r="522">
      <c r="A522" s="61" t="n">
        <v>40210</v>
      </c>
      <c r="B522" s="68">
        <f>VLOOKUP(Table3[[#This Row],[Date]],Database!A:E,4,)</f>
        <v/>
      </c>
      <c r="C522" s="14">
        <f>(B522-B521)/B521</f>
        <v/>
      </c>
      <c r="D522" s="14">
        <f>(B522-B510)/B510</f>
        <v/>
      </c>
    </row>
    <row r="523">
      <c r="A523" s="61" t="n">
        <v>40238</v>
      </c>
      <c r="B523" s="68">
        <f>VLOOKUP(Table3[[#This Row],[Date]],Database!A:E,4,)</f>
        <v/>
      </c>
      <c r="C523" s="14">
        <f>(B523-B522)/B522</f>
        <v/>
      </c>
      <c r="D523" s="14">
        <f>(B523-B511)/B511</f>
        <v/>
      </c>
    </row>
    <row r="524">
      <c r="A524" s="61" t="n">
        <v>40269</v>
      </c>
      <c r="B524" s="68">
        <f>VLOOKUP(Table3[[#This Row],[Date]],Database!A:E,4,)</f>
        <v/>
      </c>
      <c r="C524" s="14">
        <f>(B524-B523)/B523</f>
        <v/>
      </c>
      <c r="D524" s="14">
        <f>(B524-B512)/B512</f>
        <v/>
      </c>
    </row>
    <row r="525">
      <c r="A525" s="61" t="n">
        <v>40299</v>
      </c>
      <c r="B525" s="68">
        <f>VLOOKUP(Table3[[#This Row],[Date]],Database!A:E,4,)</f>
        <v/>
      </c>
      <c r="C525" s="14">
        <f>(B525-B524)/B524</f>
        <v/>
      </c>
      <c r="D525" s="14">
        <f>(B525-B513)/B513</f>
        <v/>
      </c>
    </row>
    <row r="526">
      <c r="A526" s="61" t="n">
        <v>40330</v>
      </c>
      <c r="B526" s="68">
        <f>VLOOKUP(Table3[[#This Row],[Date]],Database!A:E,4,)</f>
        <v/>
      </c>
      <c r="C526" s="14">
        <f>(B526-B525)/B525</f>
        <v/>
      </c>
      <c r="D526" s="14">
        <f>(B526-B514)/B514</f>
        <v/>
      </c>
    </row>
    <row r="527">
      <c r="A527" s="61" t="n">
        <v>40360</v>
      </c>
      <c r="B527" s="68">
        <f>VLOOKUP(Table3[[#This Row],[Date]],Database!A:E,4,)</f>
        <v/>
      </c>
      <c r="C527" s="14">
        <f>(B527-B526)/B526</f>
        <v/>
      </c>
      <c r="D527" s="14">
        <f>(B527-B515)/B515</f>
        <v/>
      </c>
    </row>
    <row r="528">
      <c r="A528" s="61" t="n">
        <v>40391</v>
      </c>
      <c r="B528" s="68">
        <f>VLOOKUP(Table3[[#This Row],[Date]],Database!A:E,4,)</f>
        <v/>
      </c>
      <c r="C528" s="14">
        <f>(B528-B527)/B527</f>
        <v/>
      </c>
      <c r="D528" s="14">
        <f>(B528-B516)/B516</f>
        <v/>
      </c>
    </row>
    <row r="529">
      <c r="A529" s="61" t="n">
        <v>40422</v>
      </c>
      <c r="B529" s="68">
        <f>VLOOKUP(Table3[[#This Row],[Date]],Database!A:E,4,)</f>
        <v/>
      </c>
      <c r="C529" s="14">
        <f>(B529-B528)/B528</f>
        <v/>
      </c>
      <c r="D529" s="14">
        <f>(B529-B517)/B517</f>
        <v/>
      </c>
    </row>
    <row r="530">
      <c r="A530" s="61" t="n">
        <v>40452</v>
      </c>
      <c r="B530" s="68">
        <f>VLOOKUP(Table3[[#This Row],[Date]],Database!A:E,4,)</f>
        <v/>
      </c>
      <c r="C530" s="14">
        <f>(B530-B529)/B529</f>
        <v/>
      </c>
      <c r="D530" s="14">
        <f>(B530-B518)/B518</f>
        <v/>
      </c>
    </row>
    <row r="531">
      <c r="A531" s="61" t="n">
        <v>40483</v>
      </c>
      <c r="B531" s="68">
        <f>VLOOKUP(Table3[[#This Row],[Date]],Database!A:E,4,)</f>
        <v/>
      </c>
      <c r="C531" s="14">
        <f>(B531-B530)/B530</f>
        <v/>
      </c>
      <c r="D531" s="14">
        <f>(B531-B519)/B519</f>
        <v/>
      </c>
    </row>
    <row r="532">
      <c r="A532" s="61" t="n">
        <v>40513</v>
      </c>
      <c r="B532" s="68">
        <f>VLOOKUP(Table3[[#This Row],[Date]],Database!A:E,4,)</f>
        <v/>
      </c>
      <c r="C532" s="14">
        <f>(B532-B531)/B531</f>
        <v/>
      </c>
      <c r="D532" s="14">
        <f>(B532-B520)/B520</f>
        <v/>
      </c>
    </row>
    <row r="533">
      <c r="A533" s="61" t="n">
        <v>40544</v>
      </c>
      <c r="B533" s="68">
        <f>VLOOKUP(Table3[[#This Row],[Date]],Database!A:E,4,)</f>
        <v/>
      </c>
      <c r="C533" s="14">
        <f>(B533-B532)/B532</f>
        <v/>
      </c>
      <c r="D533" s="14">
        <f>(B533-B521)/B521</f>
        <v/>
      </c>
    </row>
    <row r="534">
      <c r="A534" s="61" t="n">
        <v>40575</v>
      </c>
      <c r="B534" s="68">
        <f>VLOOKUP(Table3[[#This Row],[Date]],Database!A:E,4,)</f>
        <v/>
      </c>
      <c r="C534" s="14">
        <f>(B534-B533)/B533</f>
        <v/>
      </c>
      <c r="D534" s="14">
        <f>(B534-B522)/B522</f>
        <v/>
      </c>
    </row>
    <row r="535">
      <c r="A535" s="61" t="n">
        <v>40603</v>
      </c>
      <c r="B535" s="68">
        <f>VLOOKUP(Table3[[#This Row],[Date]],Database!A:E,4,)</f>
        <v/>
      </c>
      <c r="C535" s="14">
        <f>(B535-B534)/B534</f>
        <v/>
      </c>
      <c r="D535" s="14">
        <f>(B535-B523)/B523</f>
        <v/>
      </c>
    </row>
    <row r="536">
      <c r="A536" s="61" t="n">
        <v>40634</v>
      </c>
      <c r="B536" s="68">
        <f>VLOOKUP(Table3[[#This Row],[Date]],Database!A:E,4,)</f>
        <v/>
      </c>
      <c r="C536" s="14">
        <f>(B536-B535)/B535</f>
        <v/>
      </c>
      <c r="D536" s="14">
        <f>(B536-B524)/B524</f>
        <v/>
      </c>
    </row>
    <row r="537">
      <c r="A537" s="61" t="n">
        <v>40664</v>
      </c>
      <c r="B537" s="68">
        <f>VLOOKUP(Table3[[#This Row],[Date]],Database!A:E,4,)</f>
        <v/>
      </c>
      <c r="C537" s="14">
        <f>(B537-B536)/B536</f>
        <v/>
      </c>
      <c r="D537" s="14">
        <f>(B537-B525)/B525</f>
        <v/>
      </c>
    </row>
    <row r="538">
      <c r="A538" s="61" t="n">
        <v>40695</v>
      </c>
      <c r="B538" s="68">
        <f>VLOOKUP(Table3[[#This Row],[Date]],Database!A:E,4,)</f>
        <v/>
      </c>
      <c r="C538" s="14">
        <f>(B538-B537)/B537</f>
        <v/>
      </c>
      <c r="D538" s="14">
        <f>(B538-B526)/B526</f>
        <v/>
      </c>
    </row>
    <row r="539">
      <c r="A539" s="61" t="n">
        <v>40725</v>
      </c>
      <c r="B539" s="68">
        <f>VLOOKUP(Table3[[#This Row],[Date]],Database!A:E,4,)</f>
        <v/>
      </c>
      <c r="C539" s="14">
        <f>(B539-B538)/B538</f>
        <v/>
      </c>
      <c r="D539" s="14">
        <f>(B539-B527)/B527</f>
        <v/>
      </c>
    </row>
    <row r="540">
      <c r="A540" s="61" t="n">
        <v>40756</v>
      </c>
      <c r="B540" s="68">
        <f>VLOOKUP(Table3[[#This Row],[Date]],Database!A:E,4,)</f>
        <v/>
      </c>
      <c r="C540" s="14">
        <f>(B540-B539)/B539</f>
        <v/>
      </c>
      <c r="D540" s="14">
        <f>(B540-B528)/B528</f>
        <v/>
      </c>
    </row>
    <row r="541">
      <c r="A541" s="61" t="n">
        <v>40787</v>
      </c>
      <c r="B541" s="68">
        <f>VLOOKUP(Table3[[#This Row],[Date]],Database!A:E,4,)</f>
        <v/>
      </c>
      <c r="C541" s="14">
        <f>(B541-B540)/B540</f>
        <v/>
      </c>
      <c r="D541" s="14">
        <f>(B541-B529)/B529</f>
        <v/>
      </c>
    </row>
    <row r="542">
      <c r="A542" s="61" t="n">
        <v>40817</v>
      </c>
      <c r="B542" s="68">
        <f>VLOOKUP(Table3[[#This Row],[Date]],Database!A:E,4,)</f>
        <v/>
      </c>
      <c r="C542" s="14">
        <f>(B542-B541)/B541</f>
        <v/>
      </c>
      <c r="D542" s="14">
        <f>(B542-B530)/B530</f>
        <v/>
      </c>
    </row>
    <row r="543">
      <c r="A543" s="61" t="n">
        <v>40848</v>
      </c>
      <c r="B543" s="68">
        <f>VLOOKUP(Table3[[#This Row],[Date]],Database!A:E,4,)</f>
        <v/>
      </c>
      <c r="C543" s="14">
        <f>(B543-B542)/B542</f>
        <v/>
      </c>
      <c r="D543" s="14">
        <f>(B543-B531)/B531</f>
        <v/>
      </c>
    </row>
    <row r="544">
      <c r="A544" s="61" t="n">
        <v>40878</v>
      </c>
      <c r="B544" s="68">
        <f>VLOOKUP(Table3[[#This Row],[Date]],Database!A:E,4,)</f>
        <v/>
      </c>
      <c r="C544" s="14">
        <f>(B544-B543)/B543</f>
        <v/>
      </c>
      <c r="D544" s="14">
        <f>(B544-B532)/B532</f>
        <v/>
      </c>
    </row>
    <row r="545">
      <c r="A545" s="61" t="n">
        <v>40909</v>
      </c>
      <c r="B545" s="68">
        <f>VLOOKUP(Table3[[#This Row],[Date]],Database!A:E,4,)</f>
        <v/>
      </c>
      <c r="C545" s="14">
        <f>(B545-B544)/B544</f>
        <v/>
      </c>
      <c r="D545" s="14">
        <f>(B545-B533)/B533</f>
        <v/>
      </c>
    </row>
    <row r="546">
      <c r="A546" s="61" t="n">
        <v>40940</v>
      </c>
      <c r="B546" s="68">
        <f>VLOOKUP(Table3[[#This Row],[Date]],Database!A:E,4,)</f>
        <v/>
      </c>
      <c r="C546" s="14">
        <f>(B546-B545)/B545</f>
        <v/>
      </c>
      <c r="D546" s="14">
        <f>(B546-B534)/B534</f>
        <v/>
      </c>
    </row>
    <row r="547">
      <c r="A547" s="61" t="n">
        <v>40969</v>
      </c>
      <c r="B547" s="68">
        <f>VLOOKUP(Table3[[#This Row],[Date]],Database!A:E,4,)</f>
        <v/>
      </c>
      <c r="C547" s="14">
        <f>(B547-B546)/B546</f>
        <v/>
      </c>
      <c r="D547" s="14">
        <f>(B547-B535)/B535</f>
        <v/>
      </c>
    </row>
    <row r="548">
      <c r="A548" s="61" t="n">
        <v>41000</v>
      </c>
      <c r="B548" s="68">
        <f>VLOOKUP(Table3[[#This Row],[Date]],Database!A:E,4,)</f>
        <v/>
      </c>
      <c r="C548" s="14">
        <f>(B548-B547)/B547</f>
        <v/>
      </c>
      <c r="D548" s="14">
        <f>(B548-B536)/B536</f>
        <v/>
      </c>
    </row>
    <row r="549">
      <c r="A549" s="61" t="n">
        <v>41030</v>
      </c>
      <c r="B549" s="68">
        <f>VLOOKUP(Table3[[#This Row],[Date]],Database!A:E,4,)</f>
        <v/>
      </c>
      <c r="C549" s="14">
        <f>(B549-B548)/B548</f>
        <v/>
      </c>
      <c r="D549" s="14">
        <f>(B549-B537)/B537</f>
        <v/>
      </c>
    </row>
    <row r="550">
      <c r="A550" s="61" t="n">
        <v>41061</v>
      </c>
      <c r="B550" s="68">
        <f>VLOOKUP(Table3[[#This Row],[Date]],Database!A:E,4,)</f>
        <v/>
      </c>
      <c r="C550" s="14">
        <f>(B550-B549)/B549</f>
        <v/>
      </c>
      <c r="D550" s="14">
        <f>(B550-B538)/B538</f>
        <v/>
      </c>
    </row>
    <row r="551">
      <c r="A551" s="61" t="n">
        <v>41091</v>
      </c>
      <c r="B551" s="68">
        <f>VLOOKUP(Table3[[#This Row],[Date]],Database!A:E,4,)</f>
        <v/>
      </c>
      <c r="C551" s="14">
        <f>(B551-B550)/B550</f>
        <v/>
      </c>
      <c r="D551" s="14">
        <f>(B551-B539)/B539</f>
        <v/>
      </c>
    </row>
    <row r="552">
      <c r="A552" s="61" t="n">
        <v>41122</v>
      </c>
      <c r="B552" s="68">
        <f>VLOOKUP(Table3[[#This Row],[Date]],Database!A:E,4,)</f>
        <v/>
      </c>
      <c r="C552" s="14">
        <f>(B552-B551)/B551</f>
        <v/>
      </c>
      <c r="D552" s="14">
        <f>(B552-B540)/B540</f>
        <v/>
      </c>
    </row>
    <row r="553">
      <c r="A553" s="61" t="n">
        <v>41153</v>
      </c>
      <c r="B553" s="68">
        <f>VLOOKUP(Table3[[#This Row],[Date]],Database!A:E,4,)</f>
        <v/>
      </c>
      <c r="C553" s="14">
        <f>(B553-B552)/B552</f>
        <v/>
      </c>
      <c r="D553" s="14">
        <f>(B553-B541)/B541</f>
        <v/>
      </c>
    </row>
    <row r="554">
      <c r="A554" s="61" t="n">
        <v>41183</v>
      </c>
      <c r="B554" s="68">
        <f>VLOOKUP(Table3[[#This Row],[Date]],Database!A:E,4,)</f>
        <v/>
      </c>
      <c r="C554" s="14">
        <f>(B554-B553)/B553</f>
        <v/>
      </c>
      <c r="D554" s="14">
        <f>(B554-B542)/B542</f>
        <v/>
      </c>
    </row>
    <row r="555">
      <c r="A555" s="61" t="n">
        <v>41214</v>
      </c>
      <c r="B555" s="68">
        <f>VLOOKUP(Table3[[#This Row],[Date]],Database!A:E,4,)</f>
        <v/>
      </c>
      <c r="C555" s="14">
        <f>(B555-B554)/B554</f>
        <v/>
      </c>
      <c r="D555" s="14">
        <f>(B555-B543)/B543</f>
        <v/>
      </c>
    </row>
    <row r="556">
      <c r="A556" s="61" t="n">
        <v>41244</v>
      </c>
      <c r="B556" s="68">
        <f>VLOOKUP(Table3[[#This Row],[Date]],Database!A:E,4,)</f>
        <v/>
      </c>
      <c r="C556" s="14">
        <f>(B556-B555)/B555</f>
        <v/>
      </c>
      <c r="D556" s="14">
        <f>(B556-B544)/B544</f>
        <v/>
      </c>
    </row>
    <row r="557">
      <c r="A557" s="61" t="n">
        <v>41275</v>
      </c>
      <c r="B557" s="68">
        <f>VLOOKUP(Table3[[#This Row],[Date]],Database!A:E,4,)</f>
        <v/>
      </c>
      <c r="C557" s="14">
        <f>(B557-B556)/B556</f>
        <v/>
      </c>
      <c r="D557" s="14">
        <f>(B557-B545)/B545</f>
        <v/>
      </c>
    </row>
    <row r="558">
      <c r="A558" s="61" t="n">
        <v>41306</v>
      </c>
      <c r="B558" s="68">
        <f>VLOOKUP(Table3[[#This Row],[Date]],Database!A:E,4,)</f>
        <v/>
      </c>
      <c r="C558" s="14">
        <f>(B558-B557)/B557</f>
        <v/>
      </c>
      <c r="D558" s="14">
        <f>(B558-B546)/B546</f>
        <v/>
      </c>
    </row>
    <row r="559">
      <c r="A559" s="61" t="n">
        <v>41334</v>
      </c>
      <c r="B559" s="68">
        <f>VLOOKUP(Table3[[#This Row],[Date]],Database!A:E,4,)</f>
        <v/>
      </c>
      <c r="C559" s="14">
        <f>(B559-B558)/B558</f>
        <v/>
      </c>
      <c r="D559" s="14">
        <f>(B559-B547)/B547</f>
        <v/>
      </c>
    </row>
    <row r="560">
      <c r="A560" s="61" t="n">
        <v>41365</v>
      </c>
      <c r="B560" s="68">
        <f>VLOOKUP(Table3[[#This Row],[Date]],Database!A:E,4,)</f>
        <v/>
      </c>
      <c r="C560" s="14">
        <f>(B560-B559)/B559</f>
        <v/>
      </c>
      <c r="D560" s="14">
        <f>(B560-B548)/B548</f>
        <v/>
      </c>
    </row>
    <row r="561">
      <c r="A561" s="61" t="n">
        <v>41395</v>
      </c>
      <c r="B561" s="68">
        <f>VLOOKUP(Table3[[#This Row],[Date]],Database!A:E,4,)</f>
        <v/>
      </c>
      <c r="C561" s="14">
        <f>(B561-B560)/B560</f>
        <v/>
      </c>
      <c r="D561" s="14">
        <f>(B561-B549)/B549</f>
        <v/>
      </c>
    </row>
    <row r="562">
      <c r="A562" s="61" t="n">
        <v>41426</v>
      </c>
      <c r="B562" s="68">
        <f>VLOOKUP(Table3[[#This Row],[Date]],Database!A:E,4,)</f>
        <v/>
      </c>
      <c r="C562" s="14">
        <f>(B562-B561)/B561</f>
        <v/>
      </c>
      <c r="D562" s="14">
        <f>(B562-B550)/B550</f>
        <v/>
      </c>
    </row>
    <row r="563">
      <c r="A563" s="61" t="n">
        <v>41456</v>
      </c>
      <c r="B563" s="68">
        <f>VLOOKUP(Table3[[#This Row],[Date]],Database!A:E,4,)</f>
        <v/>
      </c>
      <c r="C563" s="14">
        <f>(B563-B562)/B562</f>
        <v/>
      </c>
      <c r="D563" s="14">
        <f>(B563-B551)/B551</f>
        <v/>
      </c>
    </row>
    <row r="564">
      <c r="A564" s="61" t="n">
        <v>41487</v>
      </c>
      <c r="B564" s="68">
        <f>VLOOKUP(Table3[[#This Row],[Date]],Database!A:E,4,)</f>
        <v/>
      </c>
      <c r="C564" s="14">
        <f>(B564-B563)/B563</f>
        <v/>
      </c>
      <c r="D564" s="14">
        <f>(B564-B552)/B552</f>
        <v/>
      </c>
    </row>
    <row r="565">
      <c r="A565" s="61" t="n">
        <v>41518</v>
      </c>
      <c r="B565" s="68">
        <f>VLOOKUP(Table3[[#This Row],[Date]],Database!A:E,4,)</f>
        <v/>
      </c>
      <c r="C565" s="14">
        <f>(B565-B564)/B564</f>
        <v/>
      </c>
      <c r="D565" s="14">
        <f>(B565-B553)/B553</f>
        <v/>
      </c>
    </row>
    <row r="566">
      <c r="A566" s="61" t="n">
        <v>41548</v>
      </c>
      <c r="B566" s="68">
        <f>VLOOKUP(Table3[[#This Row],[Date]],Database!A:E,4,)</f>
        <v/>
      </c>
      <c r="C566" s="14">
        <f>(B566-B565)/B565</f>
        <v/>
      </c>
      <c r="D566" s="14">
        <f>(B566-B554)/B554</f>
        <v/>
      </c>
    </row>
    <row r="567">
      <c r="A567" s="61" t="n">
        <v>41579</v>
      </c>
      <c r="B567" s="68">
        <f>VLOOKUP(Table3[[#This Row],[Date]],Database!A:E,4,)</f>
        <v/>
      </c>
      <c r="C567" s="14">
        <f>(B567-B566)/B566</f>
        <v/>
      </c>
      <c r="D567" s="14">
        <f>(B567-B555)/B555</f>
        <v/>
      </c>
    </row>
    <row r="568">
      <c r="A568" s="61" t="n">
        <v>41609</v>
      </c>
      <c r="B568" s="68">
        <f>VLOOKUP(Table3[[#This Row],[Date]],Database!A:E,4,)</f>
        <v/>
      </c>
      <c r="C568" s="14">
        <f>(B568-B567)/B567</f>
        <v/>
      </c>
      <c r="D568" s="14">
        <f>(B568-B556)/B556</f>
        <v/>
      </c>
    </row>
    <row r="569">
      <c r="A569" s="61" t="n">
        <v>41640</v>
      </c>
      <c r="B569" s="68">
        <f>VLOOKUP(Table3[[#This Row],[Date]],Database!A:E,4,)</f>
        <v/>
      </c>
      <c r="C569" s="14">
        <f>(B569-B568)/B568</f>
        <v/>
      </c>
      <c r="D569" s="14">
        <f>(B569-B557)/B557</f>
        <v/>
      </c>
    </row>
    <row r="570">
      <c r="A570" s="61" t="n">
        <v>41671</v>
      </c>
      <c r="B570" s="68">
        <f>VLOOKUP(Table3[[#This Row],[Date]],Database!A:E,4,)</f>
        <v/>
      </c>
      <c r="C570" s="14">
        <f>(B570-B569)/B569</f>
        <v/>
      </c>
      <c r="D570" s="14">
        <f>(B570-B558)/B558</f>
        <v/>
      </c>
    </row>
    <row r="571">
      <c r="A571" s="61" t="n">
        <v>41699</v>
      </c>
      <c r="B571" s="68">
        <f>VLOOKUP(Table3[[#This Row],[Date]],Database!A:E,4,)</f>
        <v/>
      </c>
      <c r="C571" s="14">
        <f>(B571-B570)/B570</f>
        <v/>
      </c>
      <c r="D571" s="14">
        <f>(B571-B559)/B559</f>
        <v/>
      </c>
    </row>
    <row r="572">
      <c r="A572" s="61" t="n">
        <v>41730</v>
      </c>
      <c r="B572" s="68">
        <f>VLOOKUP(Table3[[#This Row],[Date]],Database!A:E,4,)</f>
        <v/>
      </c>
      <c r="C572" s="14">
        <f>(B572-B571)/B571</f>
        <v/>
      </c>
      <c r="D572" s="14">
        <f>(B572-B560)/B560</f>
        <v/>
      </c>
    </row>
    <row r="573">
      <c r="A573" s="61" t="n">
        <v>41760</v>
      </c>
      <c r="B573" s="68">
        <f>VLOOKUP(Table3[[#This Row],[Date]],Database!A:E,4,)</f>
        <v/>
      </c>
      <c r="C573" s="14">
        <f>(B573-B572)/B572</f>
        <v/>
      </c>
      <c r="D573" s="14">
        <f>(B573-B561)/B561</f>
        <v/>
      </c>
    </row>
    <row r="574">
      <c r="A574" s="61" t="n">
        <v>41791</v>
      </c>
      <c r="B574" s="68">
        <f>VLOOKUP(Table3[[#This Row],[Date]],Database!A:E,4,)</f>
        <v/>
      </c>
      <c r="C574" s="14">
        <f>(B574-B573)/B573</f>
        <v/>
      </c>
      <c r="D574" s="14">
        <f>(B574-B562)/B562</f>
        <v/>
      </c>
    </row>
    <row r="575">
      <c r="A575" s="61" t="n">
        <v>41821</v>
      </c>
      <c r="B575" s="68">
        <f>VLOOKUP(Table3[[#This Row],[Date]],Database!A:E,4,)</f>
        <v/>
      </c>
      <c r="C575" s="14">
        <f>(B575-B574)/B574</f>
        <v/>
      </c>
      <c r="D575" s="14">
        <f>(B575-B563)/B563</f>
        <v/>
      </c>
    </row>
    <row r="576">
      <c r="A576" s="61" t="n">
        <v>41852</v>
      </c>
      <c r="B576" s="68">
        <f>VLOOKUP(Table3[[#This Row],[Date]],Database!A:E,4,)</f>
        <v/>
      </c>
      <c r="C576" s="14">
        <f>(B576-B575)/B575</f>
        <v/>
      </c>
      <c r="D576" s="14">
        <f>(B576-B564)/B564</f>
        <v/>
      </c>
    </row>
    <row r="577">
      <c r="A577" s="61" t="n">
        <v>41883</v>
      </c>
      <c r="B577" s="68">
        <f>VLOOKUP(Table3[[#This Row],[Date]],Database!A:E,4,)</f>
        <v/>
      </c>
      <c r="C577" s="14">
        <f>(B577-B576)/B576</f>
        <v/>
      </c>
      <c r="D577" s="14">
        <f>(B577-B565)/B565</f>
        <v/>
      </c>
    </row>
    <row r="578">
      <c r="A578" s="61" t="n">
        <v>41913</v>
      </c>
      <c r="B578" s="68">
        <f>VLOOKUP(Table3[[#This Row],[Date]],Database!A:E,4,)</f>
        <v/>
      </c>
      <c r="C578" s="14">
        <f>(B578-B577)/B577</f>
        <v/>
      </c>
      <c r="D578" s="14">
        <f>(B578-B566)/B566</f>
        <v/>
      </c>
    </row>
    <row r="579">
      <c r="A579" s="61" t="n">
        <v>41944</v>
      </c>
      <c r="B579" s="68">
        <f>VLOOKUP(Table3[[#This Row],[Date]],Database!A:E,4,)</f>
        <v/>
      </c>
      <c r="C579" s="14">
        <f>(B579-B578)/B578</f>
        <v/>
      </c>
      <c r="D579" s="14">
        <f>(B579-B567)/B567</f>
        <v/>
      </c>
    </row>
    <row r="580">
      <c r="A580" s="61" t="n">
        <v>41974</v>
      </c>
      <c r="B580" s="68">
        <f>VLOOKUP(Table3[[#This Row],[Date]],Database!A:E,4,)</f>
        <v/>
      </c>
      <c r="C580" s="14">
        <f>(B580-B579)/B579</f>
        <v/>
      </c>
      <c r="D580" s="14">
        <f>(B580-B568)/B568</f>
        <v/>
      </c>
    </row>
    <row r="581">
      <c r="A581" s="61" t="n">
        <v>42005</v>
      </c>
      <c r="B581" s="68">
        <f>VLOOKUP(Table3[[#This Row],[Date]],Database!A:E,4,)</f>
        <v/>
      </c>
      <c r="C581" s="14">
        <f>(B581-B580)/B580</f>
        <v/>
      </c>
      <c r="D581" s="14">
        <f>(B581-B569)/B569</f>
        <v/>
      </c>
    </row>
    <row r="582">
      <c r="A582" s="61" t="n">
        <v>42036</v>
      </c>
      <c r="B582" s="68">
        <f>VLOOKUP(Table3[[#This Row],[Date]],Database!A:E,4,)</f>
        <v/>
      </c>
      <c r="C582" s="14">
        <f>(B582-B581)/B581</f>
        <v/>
      </c>
      <c r="D582" s="14">
        <f>(B582-B570)/B570</f>
        <v/>
      </c>
    </row>
    <row r="583">
      <c r="A583" s="61" t="n">
        <v>42064</v>
      </c>
      <c r="B583" s="68">
        <f>VLOOKUP(Table3[[#This Row],[Date]],Database!A:E,4,)</f>
        <v/>
      </c>
      <c r="C583" s="14">
        <f>(B583-B582)/B582</f>
        <v/>
      </c>
      <c r="D583" s="14">
        <f>(B583-B571)/B571</f>
        <v/>
      </c>
    </row>
    <row r="584">
      <c r="A584" s="61" t="n">
        <v>42095</v>
      </c>
      <c r="B584" s="68">
        <f>VLOOKUP(Table3[[#This Row],[Date]],Database!A:E,4,)</f>
        <v/>
      </c>
      <c r="C584" s="14">
        <f>(B584-B583)/B583</f>
        <v/>
      </c>
      <c r="D584" s="14">
        <f>(B584-B572)/B572</f>
        <v/>
      </c>
    </row>
    <row r="585">
      <c r="A585" s="61" t="n">
        <v>42125</v>
      </c>
      <c r="B585" s="68">
        <f>VLOOKUP(Table3[[#This Row],[Date]],Database!A:E,4,)</f>
        <v/>
      </c>
      <c r="C585" s="14">
        <f>(B585-B584)/B584</f>
        <v/>
      </c>
      <c r="D585" s="14">
        <f>(B585-B573)/B573</f>
        <v/>
      </c>
    </row>
    <row r="586">
      <c r="A586" s="61" t="n">
        <v>42156</v>
      </c>
      <c r="B586" s="68">
        <f>VLOOKUP(Table3[[#This Row],[Date]],Database!A:E,4,)</f>
        <v/>
      </c>
      <c r="C586" s="14">
        <f>(B586-B585)/B585</f>
        <v/>
      </c>
      <c r="D586" s="14">
        <f>(B586-B574)/B574</f>
        <v/>
      </c>
    </row>
    <row r="587">
      <c r="A587" s="61" t="n">
        <v>42186</v>
      </c>
      <c r="B587" s="68">
        <f>VLOOKUP(Table3[[#This Row],[Date]],Database!A:E,4,)</f>
        <v/>
      </c>
      <c r="C587" s="14">
        <f>(B587-B586)/B586</f>
        <v/>
      </c>
      <c r="D587" s="14">
        <f>(B587-B575)/B575</f>
        <v/>
      </c>
    </row>
    <row r="588">
      <c r="A588" s="61" t="n">
        <v>42217</v>
      </c>
      <c r="B588" s="68">
        <f>VLOOKUP(Table3[[#This Row],[Date]],Database!A:E,4,)</f>
        <v/>
      </c>
      <c r="C588" s="14">
        <f>(B588-B587)/B587</f>
        <v/>
      </c>
      <c r="D588" s="14">
        <f>(B588-B576)/B576</f>
        <v/>
      </c>
    </row>
    <row r="589">
      <c r="A589" s="61" t="n">
        <v>42248</v>
      </c>
      <c r="B589" s="68">
        <f>VLOOKUP(Table3[[#This Row],[Date]],Database!A:E,4,)</f>
        <v/>
      </c>
      <c r="C589" s="14">
        <f>(B589-B588)/B588</f>
        <v/>
      </c>
      <c r="D589" s="14">
        <f>(B589-B577)/B577</f>
        <v/>
      </c>
    </row>
    <row r="590">
      <c r="A590" s="61" t="n">
        <v>42278</v>
      </c>
      <c r="B590" s="68">
        <f>VLOOKUP(Table3[[#This Row],[Date]],Database!A:E,4,)</f>
        <v/>
      </c>
      <c r="C590" s="14">
        <f>(B590-B589)/B589</f>
        <v/>
      </c>
      <c r="D590" s="14">
        <f>(B590-B578)/B578</f>
        <v/>
      </c>
    </row>
    <row r="591">
      <c r="A591" s="61" t="n">
        <v>42309</v>
      </c>
      <c r="B591" s="68">
        <f>VLOOKUP(Table3[[#This Row],[Date]],Database!A:E,4,)</f>
        <v/>
      </c>
      <c r="C591" s="14">
        <f>(B591-B590)/B590</f>
        <v/>
      </c>
      <c r="D591" s="14">
        <f>(B591-B579)/B579</f>
        <v/>
      </c>
    </row>
    <row r="592">
      <c r="A592" s="61" t="n">
        <v>42339</v>
      </c>
      <c r="B592" s="68">
        <f>VLOOKUP(Table3[[#This Row],[Date]],Database!A:E,4,)</f>
        <v/>
      </c>
      <c r="C592" s="14">
        <f>(B592-B591)/B591</f>
        <v/>
      </c>
      <c r="D592" s="14">
        <f>(B592-B580)/B580</f>
        <v/>
      </c>
    </row>
    <row r="593">
      <c r="A593" s="61" t="n">
        <v>42370</v>
      </c>
      <c r="B593" s="68">
        <f>VLOOKUP(Table3[[#This Row],[Date]],Database!A:E,4,)</f>
        <v/>
      </c>
      <c r="C593" s="14">
        <f>(B593-B592)/B592</f>
        <v/>
      </c>
      <c r="D593" s="14">
        <f>(B593-B581)/B581</f>
        <v/>
      </c>
    </row>
    <row r="594">
      <c r="A594" s="61" t="n">
        <v>42401</v>
      </c>
      <c r="B594" s="68">
        <f>VLOOKUP(Table3[[#This Row],[Date]],Database!A:E,4,)</f>
        <v/>
      </c>
      <c r="C594" s="14">
        <f>(B594-B593)/B593</f>
        <v/>
      </c>
      <c r="D594" s="14">
        <f>(B594-B582)/B582</f>
        <v/>
      </c>
    </row>
    <row r="595">
      <c r="A595" s="61" t="n">
        <v>42430</v>
      </c>
      <c r="B595" s="68">
        <f>VLOOKUP(Table3[[#This Row],[Date]],Database!A:E,4,)</f>
        <v/>
      </c>
      <c r="C595" s="14">
        <f>(B595-B594)/B594</f>
        <v/>
      </c>
      <c r="D595" s="14">
        <f>(B595-B583)/B583</f>
        <v/>
      </c>
    </row>
    <row r="596">
      <c r="A596" s="61" t="n">
        <v>42461</v>
      </c>
      <c r="B596" s="68">
        <f>VLOOKUP(Table3[[#This Row],[Date]],Database!A:E,4,)</f>
        <v/>
      </c>
      <c r="C596" s="14">
        <f>(B596-B595)/B595</f>
        <v/>
      </c>
      <c r="D596" s="14">
        <f>(B596-B584)/B584</f>
        <v/>
      </c>
    </row>
    <row r="597">
      <c r="A597" s="61" t="n">
        <v>42491</v>
      </c>
      <c r="B597" s="68">
        <f>VLOOKUP(Table3[[#This Row],[Date]],Database!A:E,4,)</f>
        <v/>
      </c>
      <c r="C597" s="14">
        <f>(B597-B596)/B596</f>
        <v/>
      </c>
      <c r="D597" s="14">
        <f>(B597-B585)/B585</f>
        <v/>
      </c>
    </row>
    <row r="598">
      <c r="A598" s="61" t="n">
        <v>42522</v>
      </c>
      <c r="B598" s="68">
        <f>VLOOKUP(Table3[[#This Row],[Date]],Database!A:E,4,)</f>
        <v/>
      </c>
      <c r="C598" s="14">
        <f>(B598-B597)/B597</f>
        <v/>
      </c>
      <c r="D598" s="14">
        <f>(B598-B586)/B586</f>
        <v/>
      </c>
    </row>
    <row r="599">
      <c r="A599" s="61" t="n">
        <v>42552</v>
      </c>
      <c r="B599" s="68">
        <f>VLOOKUP(Table3[[#This Row],[Date]],Database!A:E,4,)</f>
        <v/>
      </c>
      <c r="C599" s="14">
        <f>(B599-B598)/B598</f>
        <v/>
      </c>
      <c r="D599" s="14">
        <f>(B599-B587)/B587</f>
        <v/>
      </c>
    </row>
    <row r="600">
      <c r="A600" s="61" t="n">
        <v>42583</v>
      </c>
      <c r="B600" s="68">
        <f>VLOOKUP(Table3[[#This Row],[Date]],Database!A:E,4,)</f>
        <v/>
      </c>
      <c r="C600" s="14">
        <f>(B600-B599)/B599</f>
        <v/>
      </c>
      <c r="D600" s="14">
        <f>(B600-B588)/B588</f>
        <v/>
      </c>
    </row>
    <row r="601">
      <c r="A601" s="61" t="n">
        <v>42614</v>
      </c>
      <c r="B601" s="68">
        <f>VLOOKUP(Table3[[#This Row],[Date]],Database!A:E,4,)</f>
        <v/>
      </c>
      <c r="C601" s="14">
        <f>(B601-B600)/B600</f>
        <v/>
      </c>
      <c r="D601" s="14">
        <f>(B601-B589)/B589</f>
        <v/>
      </c>
    </row>
    <row r="602">
      <c r="A602" s="61" t="n">
        <v>42644</v>
      </c>
      <c r="B602" s="68">
        <f>VLOOKUP(Table3[[#This Row],[Date]],Database!A:E,4,)</f>
        <v/>
      </c>
      <c r="C602" s="14">
        <f>(B602-B601)/B601</f>
        <v/>
      </c>
      <c r="D602" s="14">
        <f>(B602-B590)/B590</f>
        <v/>
      </c>
    </row>
    <row r="603">
      <c r="A603" s="61" t="n">
        <v>42675</v>
      </c>
      <c r="B603" s="68">
        <f>VLOOKUP(Table3[[#This Row],[Date]],Database!A:E,4,)</f>
        <v/>
      </c>
      <c r="C603" s="14">
        <f>(B603-B602)/B602</f>
        <v/>
      </c>
      <c r="D603" s="14">
        <f>(B603-B591)/B591</f>
        <v/>
      </c>
    </row>
    <row r="604">
      <c r="A604" s="61" t="n">
        <v>42705</v>
      </c>
      <c r="B604" s="68">
        <f>VLOOKUP(Table3[[#This Row],[Date]],Database!A:E,4,)</f>
        <v/>
      </c>
      <c r="C604" s="14">
        <f>(B604-B603)/B603</f>
        <v/>
      </c>
      <c r="D604" s="14">
        <f>(B604-B592)/B592</f>
        <v/>
      </c>
    </row>
    <row r="605">
      <c r="A605" s="61" t="n">
        <v>42736</v>
      </c>
      <c r="B605" s="68">
        <f>VLOOKUP(Table3[[#This Row],[Date]],Database!A:E,4,)</f>
        <v/>
      </c>
      <c r="C605" s="14">
        <f>(B605-B604)/B604</f>
        <v/>
      </c>
      <c r="D605" s="14">
        <f>(B605-B593)/B593</f>
        <v/>
      </c>
    </row>
    <row r="606">
      <c r="A606" s="61" t="n">
        <v>42767</v>
      </c>
      <c r="B606" s="68">
        <f>VLOOKUP(Table3[[#This Row],[Date]],Database!A:E,4,)</f>
        <v/>
      </c>
      <c r="C606" s="14">
        <f>(B606-B605)/B605</f>
        <v/>
      </c>
      <c r="D606" s="14">
        <f>(B606-B594)/B594</f>
        <v/>
      </c>
    </row>
    <row r="607">
      <c r="A607" s="61" t="n">
        <v>42795</v>
      </c>
      <c r="B607" s="68">
        <f>VLOOKUP(Table3[[#This Row],[Date]],Database!A:E,4,)</f>
        <v/>
      </c>
      <c r="C607" s="14">
        <f>(B607-B606)/B606</f>
        <v/>
      </c>
      <c r="D607" s="14">
        <f>(B607-B595)/B595</f>
        <v/>
      </c>
    </row>
    <row r="608">
      <c r="A608" s="61" t="n">
        <v>42826</v>
      </c>
      <c r="B608" s="68">
        <f>VLOOKUP(Table3[[#This Row],[Date]],Database!A:E,4,)</f>
        <v/>
      </c>
      <c r="C608" s="14">
        <f>(B608-B607)/B607</f>
        <v/>
      </c>
      <c r="D608" s="14">
        <f>(B608-B596)/B596</f>
        <v/>
      </c>
    </row>
    <row r="609">
      <c r="A609" s="61" t="n">
        <v>42856</v>
      </c>
      <c r="B609" s="68">
        <f>VLOOKUP(Table3[[#This Row],[Date]],Database!A:E,4,)</f>
        <v/>
      </c>
      <c r="C609" s="14">
        <f>(B609-B608)/B608</f>
        <v/>
      </c>
      <c r="D609" s="14">
        <f>(B609-B597)/B597</f>
        <v/>
      </c>
    </row>
    <row r="610">
      <c r="A610" s="61" t="n">
        <v>42887</v>
      </c>
      <c r="B610" s="68">
        <f>VLOOKUP(Table3[[#This Row],[Date]],Database!A:E,4,)</f>
        <v/>
      </c>
      <c r="C610" s="14">
        <f>(B610-B609)/B609</f>
        <v/>
      </c>
      <c r="D610" s="14">
        <f>(B610-B598)/B598</f>
        <v/>
      </c>
    </row>
    <row r="611">
      <c r="A611" s="61" t="n">
        <v>42917</v>
      </c>
      <c r="B611" s="68">
        <f>VLOOKUP(Table3[[#This Row],[Date]],Database!A:E,4,)</f>
        <v/>
      </c>
      <c r="C611" s="14">
        <f>(B611-B610)/B610</f>
        <v/>
      </c>
      <c r="D611" s="14">
        <f>(B611-B599)/B599</f>
        <v/>
      </c>
    </row>
    <row r="612">
      <c r="A612" s="61" t="n">
        <v>42948</v>
      </c>
      <c r="B612" s="68">
        <f>VLOOKUP(Table3[[#This Row],[Date]],Database!A:E,4,)</f>
        <v/>
      </c>
      <c r="C612" s="14">
        <f>(B612-B611)/B611</f>
        <v/>
      </c>
      <c r="D612" s="14">
        <f>(B612-B600)/B600</f>
        <v/>
      </c>
    </row>
    <row r="613">
      <c r="A613" s="61" t="n">
        <v>42979</v>
      </c>
      <c r="B613" s="68">
        <f>VLOOKUP(Table3[[#This Row],[Date]],Database!A:E,4,)</f>
        <v/>
      </c>
      <c r="C613" s="14">
        <f>(B613-B612)/B612</f>
        <v/>
      </c>
      <c r="D613" s="14">
        <f>(B613-B601)/B601</f>
        <v/>
      </c>
    </row>
    <row r="614">
      <c r="A614" s="61" t="n">
        <v>43009</v>
      </c>
      <c r="B614" s="68">
        <f>VLOOKUP(Table3[[#This Row],[Date]],Database!A:E,4,)</f>
        <v/>
      </c>
      <c r="C614" s="14">
        <f>(B614-B613)/B613</f>
        <v/>
      </c>
      <c r="D614" s="14">
        <f>(B614-B602)/B602</f>
        <v/>
      </c>
    </row>
    <row r="615">
      <c r="A615" s="61" t="n">
        <v>43040</v>
      </c>
      <c r="B615" s="68">
        <f>VLOOKUP(Table3[[#This Row],[Date]],Database!A:E,4,)</f>
        <v/>
      </c>
      <c r="C615" s="14">
        <f>(B615-B614)/B614</f>
        <v/>
      </c>
      <c r="D615" s="14">
        <f>(B615-B603)/B603</f>
        <v/>
      </c>
    </row>
    <row r="616">
      <c r="A616" s="61" t="n">
        <v>43070</v>
      </c>
      <c r="B616" s="68">
        <f>VLOOKUP(Table3[[#This Row],[Date]],Database!A:E,4,)</f>
        <v/>
      </c>
      <c r="C616" s="14">
        <f>(B616-B615)/B615</f>
        <v/>
      </c>
      <c r="D616" s="14">
        <f>(B616-B604)/B604</f>
        <v/>
      </c>
    </row>
    <row r="617">
      <c r="A617" s="61" t="n">
        <v>43101</v>
      </c>
      <c r="B617" s="68">
        <f>VLOOKUP(Table3[[#This Row],[Date]],Database!A:E,4,)</f>
        <v/>
      </c>
      <c r="C617" s="14">
        <f>(B617-B616)/B616</f>
        <v/>
      </c>
      <c r="D617" s="14">
        <f>(B617-B605)/B605</f>
        <v/>
      </c>
    </row>
    <row r="618">
      <c r="A618" s="61" t="n">
        <v>43132</v>
      </c>
      <c r="B618" s="68">
        <f>VLOOKUP(Table3[[#This Row],[Date]],Database!A:E,4,)</f>
        <v/>
      </c>
      <c r="C618" s="14">
        <f>(B618-B617)/B617</f>
        <v/>
      </c>
      <c r="D618" s="14">
        <f>(B618-B606)/B606</f>
        <v/>
      </c>
    </row>
    <row r="619">
      <c r="A619" s="61" t="n">
        <v>43160</v>
      </c>
      <c r="B619" s="68">
        <f>VLOOKUP(Table3[[#This Row],[Date]],Database!A:E,4,)</f>
        <v/>
      </c>
      <c r="C619" s="14">
        <f>(B619-B618)/B618</f>
        <v/>
      </c>
      <c r="D619" s="14">
        <f>(B619-B607)/B607</f>
        <v/>
      </c>
    </row>
    <row r="620">
      <c r="A620" s="61" t="n">
        <v>43191</v>
      </c>
      <c r="B620" s="68">
        <f>VLOOKUP(Table3[[#This Row],[Date]],Database!A:E,4,)</f>
        <v/>
      </c>
      <c r="C620" s="14">
        <f>(B620-B619)/B619</f>
        <v/>
      </c>
      <c r="D620" s="14">
        <f>(B620-B608)/B608</f>
        <v/>
      </c>
    </row>
    <row r="621">
      <c r="A621" s="61" t="n">
        <v>43221</v>
      </c>
      <c r="B621" s="68">
        <f>VLOOKUP(Table3[[#This Row],[Date]],Database!A:E,4,)</f>
        <v/>
      </c>
      <c r="C621" s="14">
        <f>(B621-B620)/B620</f>
        <v/>
      </c>
      <c r="D621" s="14">
        <f>(B621-B609)/B609</f>
        <v/>
      </c>
    </row>
    <row r="622">
      <c r="A622" s="61" t="n">
        <v>43252</v>
      </c>
      <c r="B622" s="68">
        <f>VLOOKUP(Table3[[#This Row],[Date]],Database!A:E,4,)</f>
        <v/>
      </c>
      <c r="C622" s="14">
        <f>(B622-B621)/B621</f>
        <v/>
      </c>
      <c r="D622" s="14">
        <f>(B622-B610)/B610</f>
        <v/>
      </c>
    </row>
    <row r="623">
      <c r="A623" s="61" t="n">
        <v>43282</v>
      </c>
      <c r="B623" s="68">
        <f>VLOOKUP(Table3[[#This Row],[Date]],Database!A:E,4,)</f>
        <v/>
      </c>
      <c r="C623" s="14">
        <f>(B623-B622)/B622</f>
        <v/>
      </c>
      <c r="D623" s="14">
        <f>(B623-B611)/B611</f>
        <v/>
      </c>
    </row>
    <row r="624">
      <c r="A624" s="61" t="n">
        <v>43313</v>
      </c>
      <c r="B624" s="68">
        <f>VLOOKUP(Table3[[#This Row],[Date]],Database!A:E,4,)</f>
        <v/>
      </c>
      <c r="C624" s="14">
        <f>(B624-B623)/B623</f>
        <v/>
      </c>
      <c r="D624" s="14">
        <f>(B624-B612)/B612</f>
        <v/>
      </c>
    </row>
    <row r="625">
      <c r="A625" s="61" t="n">
        <v>43344</v>
      </c>
      <c r="B625" s="68">
        <f>VLOOKUP(Table3[[#This Row],[Date]],Database!A:E,4,)</f>
        <v/>
      </c>
      <c r="C625" s="14">
        <f>(B625-B624)/B624</f>
        <v/>
      </c>
      <c r="D625" s="14">
        <f>(B625-B613)/B613</f>
        <v/>
      </c>
    </row>
    <row r="626">
      <c r="A626" s="61" t="n">
        <v>43374</v>
      </c>
      <c r="B626" s="68">
        <f>VLOOKUP(Table3[[#This Row],[Date]],Database!A:E,4,)</f>
        <v/>
      </c>
      <c r="C626" s="14">
        <f>(B626-B625)/B625</f>
        <v/>
      </c>
      <c r="D626" s="14">
        <f>(B626-B614)/B614</f>
        <v/>
      </c>
    </row>
    <row r="627">
      <c r="A627" s="61" t="n">
        <v>43405</v>
      </c>
      <c r="B627" s="68">
        <f>VLOOKUP(Table3[[#This Row],[Date]],Database!A:E,4,)</f>
        <v/>
      </c>
      <c r="C627" s="14">
        <f>(B627-B626)/B626</f>
        <v/>
      </c>
      <c r="D627" s="14">
        <f>(B627-B615)/B615</f>
        <v/>
      </c>
    </row>
    <row r="628">
      <c r="A628" s="61" t="n">
        <v>43435</v>
      </c>
      <c r="B628" s="68">
        <f>VLOOKUP(Table3[[#This Row],[Date]],Database!A:E,4,)</f>
        <v/>
      </c>
      <c r="C628" s="14">
        <f>(B628-B627)/B627</f>
        <v/>
      </c>
      <c r="D628" s="14">
        <f>(B628-B616)/B616</f>
        <v/>
      </c>
    </row>
    <row r="629">
      <c r="A629" s="61" t="n">
        <v>43466</v>
      </c>
      <c r="B629" s="68">
        <f>VLOOKUP(Table3[[#This Row],[Date]],Database!A:E,4,)</f>
        <v/>
      </c>
      <c r="C629" s="14">
        <f>(B629-B628)/B628</f>
        <v/>
      </c>
      <c r="D629" s="14">
        <f>(B629-B617)/B617</f>
        <v/>
      </c>
    </row>
    <row r="630">
      <c r="A630" s="61" t="n">
        <v>43497</v>
      </c>
      <c r="B630" s="68">
        <f>VLOOKUP(Table3[[#This Row],[Date]],Database!A:E,4,)</f>
        <v/>
      </c>
      <c r="C630" s="14">
        <f>(B630-B629)/B629</f>
        <v/>
      </c>
      <c r="D630" s="14">
        <f>(B630-B618)/B618</f>
        <v/>
      </c>
    </row>
    <row r="631">
      <c r="A631" s="61" t="n">
        <v>43525</v>
      </c>
      <c r="B631" s="68">
        <f>VLOOKUP(Table3[[#This Row],[Date]],Database!A:E,4,)</f>
        <v/>
      </c>
      <c r="C631" s="14">
        <f>(B631-B630)/B630</f>
        <v/>
      </c>
      <c r="D631" s="14">
        <f>(B631-B619)/B619</f>
        <v/>
      </c>
    </row>
    <row r="632">
      <c r="A632" s="61" t="n">
        <v>43556</v>
      </c>
      <c r="B632" s="68">
        <f>VLOOKUP(Table3[[#This Row],[Date]],Database!A:E,4,)</f>
        <v/>
      </c>
      <c r="C632" s="14">
        <f>(B632-B631)/B631</f>
        <v/>
      </c>
      <c r="D632" s="14">
        <f>(B632-B620)/B620</f>
        <v/>
      </c>
    </row>
    <row r="633">
      <c r="A633" s="61" t="n">
        <v>43586</v>
      </c>
      <c r="B633" s="68">
        <f>VLOOKUP(Table3[[#This Row],[Date]],Database!A:E,4,)</f>
        <v/>
      </c>
      <c r="C633" s="14">
        <f>(B633-B632)/B632</f>
        <v/>
      </c>
      <c r="D633" s="14">
        <f>(B633-B621)/B621</f>
        <v/>
      </c>
    </row>
    <row r="634">
      <c r="A634" s="61" t="n">
        <v>43617</v>
      </c>
      <c r="B634" s="68">
        <f>VLOOKUP(Table3[[#This Row],[Date]],Database!A:E,4,)</f>
        <v/>
      </c>
      <c r="C634" s="14">
        <f>(B634-B633)/B633</f>
        <v/>
      </c>
      <c r="D634" s="14">
        <f>(B634-B622)/B622</f>
        <v/>
      </c>
    </row>
    <row r="635">
      <c r="A635" s="61" t="n">
        <v>43647</v>
      </c>
      <c r="B635" s="68">
        <f>VLOOKUP(Table3[[#This Row],[Date]],Database!A:E,4,)</f>
        <v/>
      </c>
      <c r="C635" s="14">
        <f>(B635-B634)/B634</f>
        <v/>
      </c>
      <c r="D635" s="14">
        <f>(B635-B623)/B623</f>
        <v/>
      </c>
    </row>
    <row r="636" customFormat="1" s="77">
      <c r="A636" s="61" t="n">
        <v>43678</v>
      </c>
      <c r="B636" s="68">
        <f>VLOOKUP(Table3[[#This Row],[Date]],Database!A:E,4,)</f>
        <v/>
      </c>
      <c r="C636" s="14">
        <f>(B636-B635)/B635</f>
        <v/>
      </c>
      <c r="D636" s="14">
        <f>(B636-B624)/B624</f>
        <v/>
      </c>
    </row>
    <row r="637" customFormat="1" s="77">
      <c r="A637" s="61" t="n">
        <v>43709</v>
      </c>
      <c r="B637" s="68">
        <f>VLOOKUP(Table3[[#This Row],[Date]],Database!A:E,4,)</f>
        <v/>
      </c>
      <c r="C637" s="14">
        <f>(B637-B636)/B636</f>
        <v/>
      </c>
      <c r="D637" s="14">
        <f>(B637-B625)/B625</f>
        <v/>
      </c>
    </row>
    <row r="638" customFormat="1" s="77">
      <c r="A638" s="61" t="n">
        <v>43739</v>
      </c>
      <c r="B638" s="68">
        <f>VLOOKUP(Table3[[#This Row],[Date]],Database!A:E,4,)</f>
        <v/>
      </c>
      <c r="C638" s="14">
        <f>(B638-B637)/B637</f>
        <v/>
      </c>
      <c r="D638" s="14">
        <f>(B638-B626)/B626</f>
        <v/>
      </c>
    </row>
    <row r="639" customFormat="1" s="77">
      <c r="A639" s="61" t="n">
        <v>43770</v>
      </c>
      <c r="B639" s="68">
        <f>VLOOKUP(Table3[[#This Row],[Date]],Database!A:E,4,)</f>
        <v/>
      </c>
      <c r="C639" s="14">
        <f>(B639-B638)/B638</f>
        <v/>
      </c>
      <c r="D639" s="14">
        <f>(B639-B627)/B627</f>
        <v/>
      </c>
    </row>
    <row r="640" customFormat="1" s="77">
      <c r="A640" s="61" t="n">
        <v>43800</v>
      </c>
      <c r="B640" s="68">
        <f>VLOOKUP(Table3[[#This Row],[Date]],Database!A:E,4,)</f>
        <v/>
      </c>
      <c r="C640" s="14">
        <f>(B640-B639)/B639</f>
        <v/>
      </c>
      <c r="D640" s="14">
        <f>(B640-B628)/B628</f>
        <v/>
      </c>
    </row>
    <row r="641" customFormat="1" s="77">
      <c r="A641" s="61" t="n">
        <v>43831</v>
      </c>
      <c r="B641" s="68">
        <f>VLOOKUP(Table3[[#This Row],[Date]],Database!A:E,4,)</f>
        <v/>
      </c>
      <c r="C641" s="14">
        <f>(B641-B640)/B640</f>
        <v/>
      </c>
      <c r="D641" s="14">
        <f>(B641-B629)/B629</f>
        <v/>
      </c>
    </row>
    <row r="642" customFormat="1" s="77">
      <c r="A642" s="61" t="n">
        <v>43862</v>
      </c>
      <c r="B642" s="68">
        <f>VLOOKUP(Table3[[#This Row],[Date]],Database!A:E,4,)</f>
        <v/>
      </c>
      <c r="C642" s="14">
        <f>(B642-B641)/B641</f>
        <v/>
      </c>
      <c r="D642" s="14">
        <f>(B642-B630)/B630</f>
        <v/>
      </c>
    </row>
    <row r="643" customFormat="1" s="77">
      <c r="A643" s="61" t="n">
        <v>43891</v>
      </c>
      <c r="B643" s="68">
        <f>VLOOKUP(Table3[[#This Row],[Date]],Database!A:E,4,)</f>
        <v/>
      </c>
      <c r="C643" s="14">
        <f>(B643-B642)/B642</f>
        <v/>
      </c>
      <c r="D643" s="14">
        <f>(B643-B631)/B631</f>
        <v/>
      </c>
    </row>
    <row r="644" customFormat="1" s="77">
      <c r="A644" s="61" t="n">
        <v>43922</v>
      </c>
      <c r="B644" s="68">
        <f>VLOOKUP(Table3[[#This Row],[Date]],Database!A:E,4,)</f>
        <v/>
      </c>
      <c r="C644" s="14">
        <f>(B644-B643)/B643</f>
        <v/>
      </c>
      <c r="D644" s="14">
        <f>(B644-B632)/B632</f>
        <v/>
      </c>
    </row>
    <row r="645" customFormat="1" s="77">
      <c r="A645" s="61" t="n">
        <v>43952</v>
      </c>
      <c r="B645" s="68">
        <f>VLOOKUP(Table3[[#This Row],[Date]],Database!A:E,4,)</f>
        <v/>
      </c>
      <c r="C645" s="14">
        <f>(B645-B644)/B644</f>
        <v/>
      </c>
      <c r="D645" s="14">
        <f>(B645-B633)/B633</f>
        <v/>
      </c>
    </row>
    <row r="646" customFormat="1" s="77">
      <c r="A646" s="61" t="n">
        <v>43983</v>
      </c>
      <c r="B646" s="68">
        <f>VLOOKUP(Table3[[#This Row],[Date]],Database!A:E,4,)</f>
        <v/>
      </c>
      <c r="C646" s="14">
        <f>(B646-B645)/B645</f>
        <v/>
      </c>
      <c r="D646" s="14">
        <f>(B646-B634)/B634</f>
        <v/>
      </c>
    </row>
    <row r="647" customFormat="1" s="77">
      <c r="A647" s="61" t="n">
        <v>44013</v>
      </c>
      <c r="B647" s="68">
        <f>VLOOKUP(Table3[[#This Row],[Date]],Database!A:E,4,)</f>
        <v/>
      </c>
      <c r="C647" s="14">
        <f>(B647-B646)/B646</f>
        <v/>
      </c>
      <c r="D647" s="14">
        <f>(B647-B635)/B635</f>
        <v/>
      </c>
    </row>
    <row r="648" customFormat="1" s="77">
      <c r="A648" s="61" t="n">
        <v>44044</v>
      </c>
      <c r="B648" s="68">
        <f>VLOOKUP(Table3[[#This Row],[Date]],Database!A:E,4,)</f>
        <v/>
      </c>
      <c r="C648" s="14">
        <f>(B648-B647)/B647</f>
        <v/>
      </c>
      <c r="D648" s="14">
        <f>(B648-B636)/B636</f>
        <v/>
      </c>
    </row>
    <row r="649" customFormat="1" s="77">
      <c r="A649" s="61" t="n">
        <v>44075</v>
      </c>
      <c r="B649" s="68">
        <f>VLOOKUP(Table3[[#This Row],[Date]],Database!A:E,4,)</f>
        <v/>
      </c>
      <c r="C649" s="14">
        <f>(B649-B648)/B648</f>
        <v/>
      </c>
      <c r="D649" s="14">
        <f>(B649-B637)/B637</f>
        <v/>
      </c>
    </row>
    <row r="650" customFormat="1" s="77">
      <c r="A650" s="61" t="n">
        <v>44105</v>
      </c>
      <c r="B650" s="68">
        <f>VLOOKUP(Table3[[#This Row],[Date]],Database!A:E,4,)</f>
        <v/>
      </c>
      <c r="C650" s="14">
        <f>(B650-B649)/B649</f>
        <v/>
      </c>
      <c r="D650" s="14">
        <f>(B650-B638)/B638</f>
        <v/>
      </c>
    </row>
    <row r="651" customFormat="1" s="77">
      <c r="A651" s="61" t="n">
        <v>44136</v>
      </c>
      <c r="B651" s="68">
        <f>VLOOKUP(Table3[[#This Row],[Date]],Database!A:E,4,)</f>
        <v/>
      </c>
      <c r="C651" s="14">
        <f>(B651-B650)/B650</f>
        <v/>
      </c>
      <c r="D651" s="14">
        <f>(B651-B639)/B639</f>
        <v/>
      </c>
    </row>
    <row r="652" customFormat="1" s="77">
      <c r="A652" s="61" t="n">
        <v>44166</v>
      </c>
      <c r="B652" s="68">
        <f>VLOOKUP(Table3[[#This Row],[Date]],Database!A:E,4,)</f>
        <v/>
      </c>
      <c r="C652" s="14">
        <f>(B652-B651)/B651</f>
        <v/>
      </c>
      <c r="D652" s="14">
        <f>(B652-B640)/B640</f>
        <v/>
      </c>
    </row>
    <row r="653" customFormat="1" s="77">
      <c r="A653" s="61" t="n">
        <v>44197</v>
      </c>
      <c r="B653" s="68">
        <f>VLOOKUP(Table3[[#This Row],[Date]],Database!A:E,4,)</f>
        <v/>
      </c>
      <c r="C653" s="14">
        <f>(B653-B652)/B652</f>
        <v/>
      </c>
      <c r="D653" s="14">
        <f>(B653-B641)/B641</f>
        <v/>
      </c>
    </row>
    <row r="654" customFormat="1" s="77">
      <c r="A654" s="61" t="n">
        <v>44228</v>
      </c>
      <c r="B654" s="68">
        <f>VLOOKUP(Table3[[#This Row],[Date]],Database!A:E,4,)</f>
        <v/>
      </c>
      <c r="C654" s="14">
        <f>(B654-B653)/B653</f>
        <v/>
      </c>
      <c r="D654" s="14">
        <f>(B654-B642)/B642</f>
        <v/>
      </c>
    </row>
    <row r="655" customFormat="1" s="77">
      <c r="A655" s="61" t="n">
        <v>44256</v>
      </c>
      <c r="B655" s="68">
        <f>VLOOKUP(Table3[[#This Row],[Date]],Database!A:E,4,)</f>
        <v/>
      </c>
      <c r="C655" s="14">
        <f>(B655-B654)/B654</f>
        <v/>
      </c>
      <c r="D655" s="14">
        <f>(B655-B643)/B643</f>
        <v/>
      </c>
    </row>
    <row r="656" customFormat="1" s="77">
      <c r="A656" s="61" t="n">
        <v>44287</v>
      </c>
      <c r="B656" s="68">
        <f>VLOOKUP(Table3[[#This Row],[Date]],Database!A:E,4,)</f>
        <v/>
      </c>
      <c r="C656" s="14">
        <f>(B656-B655)/B655</f>
        <v/>
      </c>
      <c r="D656" s="14">
        <f>(B656-B644)/B644</f>
        <v/>
      </c>
    </row>
    <row r="657" customFormat="1" s="77">
      <c r="A657" s="61" t="n">
        <v>44317</v>
      </c>
      <c r="B657" s="68">
        <f>VLOOKUP(Table3[[#This Row],[Date]],Database!A:E,4,)</f>
        <v/>
      </c>
      <c r="C657" s="14">
        <f>(B657-B656)/B656</f>
        <v/>
      </c>
      <c r="D657" s="14">
        <f>(B657-B645)/B645</f>
        <v/>
      </c>
    </row>
    <row r="658" customFormat="1" s="77">
      <c r="A658" s="61" t="n">
        <v>44348</v>
      </c>
      <c r="B658" s="68">
        <f>VLOOKUP(Table3[[#This Row],[Date]],Database!A:E,4,)</f>
        <v/>
      </c>
      <c r="C658" s="14">
        <f>(B658-B657)/B657</f>
        <v/>
      </c>
      <c r="D658" s="14">
        <f>(B658-B646)/B646</f>
        <v/>
      </c>
    </row>
    <row r="659" customFormat="1" s="77">
      <c r="A659" s="61" t="n">
        <v>44378</v>
      </c>
      <c r="B659" s="68">
        <f>VLOOKUP(Table3[[#This Row],[Date]],Database!A:E,4,)</f>
        <v/>
      </c>
      <c r="C659" s="14">
        <f>(B659-B658)/B658</f>
        <v/>
      </c>
      <c r="D659" s="14">
        <f>(B659-B647)/B647</f>
        <v/>
      </c>
    </row>
    <row r="660" customFormat="1" s="77">
      <c r="A660" s="61" t="n">
        <v>44409</v>
      </c>
      <c r="B660" s="68">
        <f>VLOOKUP(Table3[[#This Row],[Date]],Database!A:E,4,)</f>
        <v/>
      </c>
      <c r="C660" s="14">
        <f>(B660-B659)/B659</f>
        <v/>
      </c>
      <c r="D660" s="14">
        <f>(B660-B648)/B648</f>
        <v/>
      </c>
    </row>
    <row r="661" customFormat="1" s="77">
      <c r="A661" s="61" t="n">
        <v>44440</v>
      </c>
      <c r="B661" s="68">
        <f>VLOOKUP(Table3[[#This Row],[Date]],Database!A:E,4,)</f>
        <v/>
      </c>
      <c r="C661" s="14">
        <f>(B661-B660)/B660</f>
        <v/>
      </c>
      <c r="D661" s="14">
        <f>(B661-B649)/B649</f>
        <v/>
      </c>
    </row>
    <row r="662" customFormat="1" s="77">
      <c r="A662" s="61" t="n">
        <v>44470</v>
      </c>
      <c r="B662" s="68">
        <f>VLOOKUP(Table3[[#This Row],[Date]],Database!A:E,4,)</f>
        <v/>
      </c>
      <c r="C662" s="14">
        <f>(B662-B661)/B661</f>
        <v/>
      </c>
      <c r="D662" s="14">
        <f>(B662-B650)/B650</f>
        <v/>
      </c>
    </row>
    <row r="663" customFormat="1" s="77">
      <c r="A663" s="61" t="n">
        <v>44501</v>
      </c>
      <c r="B663" s="68">
        <f>VLOOKUP(Table3[[#This Row],[Date]],Database!A:E,4,)</f>
        <v/>
      </c>
      <c r="C663" s="14">
        <f>(B663-B662)/B662</f>
        <v/>
      </c>
      <c r="D663" s="14">
        <f>(B663-B651)/B651</f>
        <v/>
      </c>
    </row>
    <row r="664" customFormat="1" s="77">
      <c r="A664" s="61" t="n">
        <v>44531</v>
      </c>
      <c r="B664" s="68">
        <f>VLOOKUP(Table3[[#This Row],[Date]],Database!A:E,4,)</f>
        <v/>
      </c>
      <c r="C664" s="14">
        <f>(B664-B663)/B663</f>
        <v/>
      </c>
      <c r="D664" s="14">
        <f>(B664-B652)/B652</f>
        <v/>
      </c>
    </row>
    <row r="665" customFormat="1" s="77">
      <c r="A665" s="61" t="n">
        <v>44562</v>
      </c>
      <c r="B665" s="68">
        <f>VLOOKUP(Table3[[#This Row],[Date]],Database!A:E,4,)</f>
        <v/>
      </c>
      <c r="C665" s="14">
        <f>(B665-B664)/B664</f>
        <v/>
      </c>
      <c r="D665" s="14">
        <f>(B665-B653)/B653</f>
        <v/>
      </c>
    </row>
    <row r="666" customFormat="1" s="77">
      <c r="A666" s="61" t="n">
        <v>44593</v>
      </c>
      <c r="B666" s="68">
        <f>VLOOKUP(Table3[[#This Row],[Date]],Database!A:E,4,)</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 r="A877" s="2" t="n"/>
      <c r="B877" s="64" t="n"/>
      <c r="C877" s="2" t="n"/>
      <c r="D877" s="2" t="n"/>
    </row>
    <row r="878">
      <c r="A878" s="2" t="n"/>
      <c r="B878" s="64" t="n"/>
      <c r="C878" s="2" t="n"/>
      <c r="D878" s="2" t="n"/>
    </row>
    <row r="879">
      <c r="A879" s="2" t="n"/>
      <c r="B879" s="64" t="n"/>
      <c r="C879" s="2" t="n"/>
      <c r="D879" s="2" t="n"/>
    </row>
    <row r="880">
      <c r="A880" s="2" t="n"/>
      <c r="B880" s="64" t="n"/>
      <c r="C880" s="2" t="n"/>
      <c r="D880" s="2" t="n"/>
    </row>
    <row r="881">
      <c r="A881" s="2" t="n"/>
      <c r="B881" s="64" t="n"/>
      <c r="C881" s="2" t="n"/>
      <c r="D881" s="2" t="n"/>
    </row>
    <row r="882">
      <c r="A882" s="2" t="n"/>
      <c r="B882" s="64" t="n"/>
      <c r="C882" s="2" t="n"/>
      <c r="D882" s="2" t="n"/>
    </row>
    <row r="883">
      <c r="A883" s="2" t="n"/>
      <c r="B883" s="64" t="n"/>
      <c r="C883" s="2" t="n"/>
      <c r="D883" s="2" t="n"/>
    </row>
    <row r="884">
      <c r="A884" s="2" t="n"/>
      <c r="B884" s="64" t="n"/>
      <c r="C884" s="2" t="n"/>
      <c r="D884" s="2" t="n"/>
    </row>
    <row r="885">
      <c r="A885" s="2" t="n"/>
      <c r="B885" s="64" t="n"/>
      <c r="C885" s="2" t="n"/>
      <c r="D885" s="2" t="n"/>
    </row>
    <row r="886">
      <c r="A886" s="2" t="n"/>
      <c r="B886" s="64" t="n"/>
      <c r="C886" s="2" t="n"/>
      <c r="D886" s="2" t="n"/>
    </row>
    <row r="887">
      <c r="A887" s="2" t="n"/>
      <c r="B887" s="64" t="n"/>
      <c r="C887" s="2" t="n"/>
      <c r="D887" s="2" t="n"/>
    </row>
    <row r="888">
      <c r="A888" s="2" t="n"/>
      <c r="B888" s="64" t="n"/>
      <c r="C888" s="2" t="n"/>
      <c r="D888" s="2" t="n"/>
    </row>
    <row r="889">
      <c r="A889" s="2" t="n"/>
      <c r="B889" s="64" t="n"/>
      <c r="C889" s="2" t="n"/>
      <c r="D889" s="2" t="n"/>
    </row>
    <row r="890">
      <c r="A890" s="2" t="n"/>
      <c r="B890" s="64" t="n"/>
      <c r="C890" s="2" t="n"/>
      <c r="D890" s="2" t="n"/>
    </row>
    <row r="891">
      <c r="A891" s="2" t="n"/>
      <c r="B891" s="64" t="n"/>
      <c r="C891" s="2" t="n"/>
      <c r="D891" s="2" t="n"/>
    </row>
    <row r="892">
      <c r="A892" s="2" t="n"/>
      <c r="B892" s="64" t="n"/>
      <c r="C892" s="2" t="n"/>
      <c r="D892" s="2" t="n"/>
    </row>
    <row r="893">
      <c r="A893" s="2" t="n"/>
      <c r="B893" s="64" t="n"/>
      <c r="C893" s="2" t="n"/>
      <c r="D893" s="2" t="n"/>
    </row>
    <row r="894">
      <c r="A894" s="2" t="n"/>
      <c r="B894" s="64" t="n"/>
      <c r="C894" s="2" t="n"/>
      <c r="D894" s="2" t="n"/>
    </row>
    <row r="895">
      <c r="A895" s="2" t="n"/>
      <c r="B895" s="64" t="n"/>
      <c r="C895" s="2" t="n"/>
      <c r="D895" s="2" t="n"/>
    </row>
    <row r="896">
      <c r="A896" s="2" t="n"/>
      <c r="B896" s="64" t="n"/>
      <c r="C896" s="2" t="n"/>
      <c r="D896" s="2" t="n"/>
    </row>
    <row r="897">
      <c r="A897" s="2" t="n"/>
      <c r="B897" s="64" t="n"/>
      <c r="C897" s="2" t="n"/>
      <c r="D897" s="2" t="n"/>
    </row>
    <row r="898">
      <c r="A898" s="2" t="n"/>
      <c r="B898" s="64" t="n"/>
      <c r="C898" s="2" t="n"/>
      <c r="D898" s="2" t="n"/>
    </row>
    <row r="899">
      <c r="A899" s="2" t="n"/>
      <c r="B899" s="64" t="n"/>
      <c r="C899" s="2" t="n"/>
      <c r="D899" s="2" t="n"/>
    </row>
    <row r="900">
      <c r="A900" s="2" t="n"/>
      <c r="B900" s="64" t="n"/>
      <c r="C900" s="2" t="n"/>
      <c r="D900" s="2" t="n"/>
    </row>
    <row r="901">
      <c r="A901" s="2" t="n"/>
      <c r="B901" s="64" t="n"/>
      <c r="C901" s="2" t="n"/>
      <c r="D901" s="2" t="n"/>
    </row>
    <row r="902">
      <c r="A902" s="2" t="n"/>
      <c r="B902" s="64" t="n"/>
      <c r="C902" s="2" t="n"/>
      <c r="D902" s="2" t="n"/>
    </row>
    <row r="903">
      <c r="A903" s="2" t="n"/>
      <c r="B903" s="64" t="n"/>
      <c r="C903" s="2" t="n"/>
      <c r="D903" s="2" t="n"/>
    </row>
    <row r="904">
      <c r="A904" s="2" t="n"/>
      <c r="B904" s="64" t="n"/>
      <c r="C904" s="2" t="n"/>
      <c r="D904" s="2" t="n"/>
    </row>
    <row r="905">
      <c r="A905" s="2" t="n"/>
      <c r="B905" s="64" t="n"/>
      <c r="C905" s="2" t="n"/>
      <c r="D905" s="2" t="n"/>
    </row>
    <row r="906">
      <c r="A906" s="2" t="n"/>
      <c r="B906" s="64" t="n"/>
      <c r="C906" s="2" t="n"/>
      <c r="D906" s="2" t="n"/>
    </row>
    <row r="907">
      <c r="A907" s="2" t="n"/>
      <c r="B907" s="64" t="n"/>
      <c r="C907" s="2" t="n"/>
      <c r="D907" s="2" t="n"/>
    </row>
    <row r="908">
      <c r="A908" s="2" t="n"/>
      <c r="B908" s="64" t="n"/>
      <c r="C908" s="2" t="n"/>
      <c r="D908" s="2" t="n"/>
    </row>
  </sheetData>
  <conditionalFormatting sqref="D521:D666">
    <cfRule type="colorScale" priority="35">
      <colorScale>
        <cfvo type="min"/>
        <cfvo type="percentile" val="50"/>
        <cfvo type="max"/>
        <color rgb="FFF8696B"/>
        <color rgb="FFFFEB84"/>
        <color rgb="FF63BE7B"/>
      </colorScale>
    </cfRule>
  </conditionalFormatting>
  <conditionalFormatting sqref="C521:C66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59"/>
  <sheetViews>
    <sheetView topLeftCell="C1" zoomScale="110" zoomScaleNormal="110" workbookViewId="0">
      <pane ySplit="4" topLeftCell="A634" activePane="bottomLeft" state="frozen"/>
      <selection pane="bottomLeft" activeCell="S665" sqref="S665"/>
    </sheetView>
  </sheetViews>
  <sheetFormatPr baseColWidth="10" defaultColWidth="8.83203125" defaultRowHeight="15"/>
  <cols>
    <col width="8.6640625" customWidth="1" style="1" min="1" max="1"/>
    <col width="14.33203125" customWidth="1" style="62" min="2" max="2"/>
    <col width="20.1640625" customWidth="1" style="1" min="3" max="3"/>
    <col width="19.33203125" customWidth="1" style="1" min="4" max="4"/>
    <col width="9.1640625" customWidth="1" style="77" min="5" max="146"/>
  </cols>
  <sheetData>
    <row r="1" customFormat="1" s="77">
      <c r="A1" s="7" t="inlineStr">
        <is>
          <t>CPIENGSL</t>
        </is>
      </c>
      <c r="B1" s="70" t="inlineStr">
        <is>
          <t>Consumer Price Index for All Urban Consumers: Energy (CPIENGSL), Index 1982-84=100, Monthly, Seasonally Adjusted</t>
        </is>
      </c>
      <c r="C1" s="2" t="n"/>
      <c r="D1" s="2" t="n"/>
    </row>
    <row r="2" customFormat="1" s="77">
      <c r="A2" s="2" t="n"/>
      <c r="B2" s="64" t="n"/>
      <c r="C2" s="2" t="n"/>
      <c r="D2" s="2" t="n"/>
    </row>
    <row r="3" ht="16" customFormat="1" customHeight="1" s="77" thickBot="1">
      <c r="A3" s="2" t="n"/>
      <c r="B3" s="64" t="n"/>
      <c r="C3" s="2" t="n"/>
      <c r="D3" s="2" t="n"/>
    </row>
    <row r="4" ht="17" customHeight="1" s="60" thickBot="1">
      <c r="A4" s="19" t="inlineStr">
        <is>
          <t>Date</t>
        </is>
      </c>
      <c r="B4" s="65" t="inlineStr">
        <is>
          <t>Energy Index</t>
        </is>
      </c>
      <c r="C4" s="20" t="inlineStr">
        <is>
          <t>Energy Index m/m %</t>
        </is>
      </c>
      <c r="D4" s="21" t="inlineStr">
        <is>
          <t>Energy Index y/y %</t>
        </is>
      </c>
    </row>
    <row r="5">
      <c r="A5" s="66" t="n">
        <v>24473</v>
      </c>
      <c r="B5" s="67">
        <f>VLOOKUP(Table4[[#This Row],[Date]],Database!A:E,3,)</f>
        <v/>
      </c>
      <c r="C5" s="17" t="n"/>
      <c r="D5" s="18" t="n"/>
    </row>
    <row r="6">
      <c r="A6" s="61" t="n">
        <v>24504</v>
      </c>
      <c r="B6" s="68">
        <f>VLOOKUP(Table4[[#This Row],[Date]],Database!A:E,3,)</f>
        <v/>
      </c>
      <c r="C6" s="14">
        <f>(B6-B5)/B5</f>
        <v/>
      </c>
      <c r="D6" s="16" t="n"/>
    </row>
    <row r="7">
      <c r="A7" s="61" t="n">
        <v>24532</v>
      </c>
      <c r="B7" s="68">
        <f>VLOOKUP(Table4[[#This Row],[Date]],Database!A:E,3,)</f>
        <v/>
      </c>
      <c r="C7" s="14">
        <f>(B7-B6)/B6</f>
        <v/>
      </c>
      <c r="D7" s="16" t="n"/>
    </row>
    <row r="8">
      <c r="A8" s="61" t="n">
        <v>24563</v>
      </c>
      <c r="B8" s="68">
        <f>VLOOKUP(Table4[[#This Row],[Date]],Database!A:E,3,)</f>
        <v/>
      </c>
      <c r="C8" s="14">
        <f>(B8-B7)/B7</f>
        <v/>
      </c>
      <c r="D8" s="16" t="n"/>
    </row>
    <row r="9">
      <c r="A9" s="61" t="n">
        <v>24593</v>
      </c>
      <c r="B9" s="68">
        <f>VLOOKUP(Table4[[#This Row],[Date]],Database!A:E,3,)</f>
        <v/>
      </c>
      <c r="C9" s="14">
        <f>(B9-B8)/B8</f>
        <v/>
      </c>
      <c r="D9" s="16" t="n"/>
    </row>
    <row r="10">
      <c r="A10" s="61" t="n">
        <v>24624</v>
      </c>
      <c r="B10" s="68">
        <f>VLOOKUP(Table4[[#This Row],[Date]],Database!A:E,3,)</f>
        <v/>
      </c>
      <c r="C10" s="14">
        <f>(B10-B9)/B9</f>
        <v/>
      </c>
      <c r="D10" s="16" t="n"/>
    </row>
    <row r="11">
      <c r="A11" s="61" t="n">
        <v>24654</v>
      </c>
      <c r="B11" s="68">
        <f>VLOOKUP(Table4[[#This Row],[Date]],Database!A:E,3,)</f>
        <v/>
      </c>
      <c r="C11" s="14">
        <f>(B11-B10)/B10</f>
        <v/>
      </c>
      <c r="D11" s="16" t="n"/>
    </row>
    <row r="12">
      <c r="A12" s="61" t="n">
        <v>24685</v>
      </c>
      <c r="B12" s="68">
        <f>VLOOKUP(Table4[[#This Row],[Date]],Database!A:E,3,)</f>
        <v/>
      </c>
      <c r="C12" s="14">
        <f>(B12-B11)/B11</f>
        <v/>
      </c>
      <c r="D12" s="16" t="n"/>
    </row>
    <row r="13">
      <c r="A13" s="61" t="n">
        <v>24716</v>
      </c>
      <c r="B13" s="68">
        <f>VLOOKUP(Table4[[#This Row],[Date]],Database!A:E,3,)</f>
        <v/>
      </c>
      <c r="C13" s="14">
        <f>(B13-B12)/B12</f>
        <v/>
      </c>
      <c r="D13" s="16" t="n"/>
    </row>
    <row r="14">
      <c r="A14" s="61" t="n">
        <v>24746</v>
      </c>
      <c r="B14" s="68">
        <f>VLOOKUP(Table4[[#This Row],[Date]],Database!A:E,3,)</f>
        <v/>
      </c>
      <c r="C14" s="14">
        <f>(B14-B13)/B13</f>
        <v/>
      </c>
      <c r="D14" s="16" t="n"/>
    </row>
    <row r="15">
      <c r="A15" s="61" t="n">
        <v>24777</v>
      </c>
      <c r="B15" s="68">
        <f>VLOOKUP(Table4[[#This Row],[Date]],Database!A:E,3,)</f>
        <v/>
      </c>
      <c r="C15" s="14">
        <f>(B15-B14)/B14</f>
        <v/>
      </c>
      <c r="D15" s="16" t="n"/>
    </row>
    <row r="16">
      <c r="A16" s="61" t="n">
        <v>24807</v>
      </c>
      <c r="B16" s="68">
        <f>VLOOKUP(Table4[[#This Row],[Date]],Database!A:E,3,)</f>
        <v/>
      </c>
      <c r="C16" s="14">
        <f>(B16-B15)/B15</f>
        <v/>
      </c>
      <c r="D16" s="16" t="n"/>
    </row>
    <row r="17">
      <c r="A17" s="61" t="n">
        <v>24838</v>
      </c>
      <c r="B17" s="68">
        <f>VLOOKUP(Table4[[#This Row],[Date]],Database!A:E,3,)</f>
        <v/>
      </c>
      <c r="C17" s="14">
        <f>(B17-B16)/B16</f>
        <v/>
      </c>
      <c r="D17" s="14">
        <f>(B17-B5)/B5</f>
        <v/>
      </c>
    </row>
    <row r="18">
      <c r="A18" s="61" t="n">
        <v>24869</v>
      </c>
      <c r="B18" s="68">
        <f>VLOOKUP(Table4[[#This Row],[Date]],Database!A:E,3,)</f>
        <v/>
      </c>
      <c r="C18" s="14">
        <f>(B18-B17)/B17</f>
        <v/>
      </c>
      <c r="D18" s="14">
        <f>(B18-B6)/B6</f>
        <v/>
      </c>
    </row>
    <row r="19">
      <c r="A19" s="61" t="n">
        <v>24898</v>
      </c>
      <c r="B19" s="68">
        <f>VLOOKUP(Table4[[#This Row],[Date]],Database!A:E,3,)</f>
        <v/>
      </c>
      <c r="C19" s="14">
        <f>(B19-B18)/B18</f>
        <v/>
      </c>
      <c r="D19" s="14">
        <f>(B19-B7)/B7</f>
        <v/>
      </c>
    </row>
    <row r="20">
      <c r="A20" s="61" t="n">
        <v>24929</v>
      </c>
      <c r="B20" s="68">
        <f>VLOOKUP(Table4[[#This Row],[Date]],Database!A:E,3,)</f>
        <v/>
      </c>
      <c r="C20" s="14">
        <f>(B20-B19)/B19</f>
        <v/>
      </c>
      <c r="D20" s="14">
        <f>(B20-B8)/B8</f>
        <v/>
      </c>
    </row>
    <row r="21">
      <c r="A21" s="61" t="n">
        <v>24959</v>
      </c>
      <c r="B21" s="68">
        <f>VLOOKUP(Table4[[#This Row],[Date]],Database!A:E,3,)</f>
        <v/>
      </c>
      <c r="C21" s="14">
        <f>(B21-B20)/B20</f>
        <v/>
      </c>
      <c r="D21" s="14">
        <f>(B21-B9)/B9</f>
        <v/>
      </c>
    </row>
    <row r="22">
      <c r="A22" s="61" t="n">
        <v>24990</v>
      </c>
      <c r="B22" s="68">
        <f>VLOOKUP(Table4[[#This Row],[Date]],Database!A:E,3,)</f>
        <v/>
      </c>
      <c r="C22" s="14">
        <f>(B22-B21)/B21</f>
        <v/>
      </c>
      <c r="D22" s="14">
        <f>(B22-B10)/B10</f>
        <v/>
      </c>
    </row>
    <row r="23">
      <c r="A23" s="61" t="n">
        <v>25020</v>
      </c>
      <c r="B23" s="68">
        <f>VLOOKUP(Table4[[#This Row],[Date]],Database!A:E,3,)</f>
        <v/>
      </c>
      <c r="C23" s="14">
        <f>(B23-B22)/B22</f>
        <v/>
      </c>
      <c r="D23" s="14">
        <f>(B23-B11)/B11</f>
        <v/>
      </c>
    </row>
    <row r="24">
      <c r="A24" s="61" t="n">
        <v>25051</v>
      </c>
      <c r="B24" s="68">
        <f>VLOOKUP(Table4[[#This Row],[Date]],Database!A:E,3,)</f>
        <v/>
      </c>
      <c r="C24" s="14">
        <f>(B24-B23)/B23</f>
        <v/>
      </c>
      <c r="D24" s="14">
        <f>(B24-B12)/B12</f>
        <v/>
      </c>
    </row>
    <row r="25">
      <c r="A25" s="61" t="n">
        <v>25082</v>
      </c>
      <c r="B25" s="68">
        <f>VLOOKUP(Table4[[#This Row],[Date]],Database!A:E,3,)</f>
        <v/>
      </c>
      <c r="C25" s="14">
        <f>(B25-B24)/B24</f>
        <v/>
      </c>
      <c r="D25" s="14">
        <f>(B25-B13)/B13</f>
        <v/>
      </c>
    </row>
    <row r="26">
      <c r="A26" s="61" t="n">
        <v>25112</v>
      </c>
      <c r="B26" s="68">
        <f>VLOOKUP(Table4[[#This Row],[Date]],Database!A:E,3,)</f>
        <v/>
      </c>
      <c r="C26" s="14">
        <f>(B26-B25)/B25</f>
        <v/>
      </c>
      <c r="D26" s="14">
        <f>(B26-B14)/B14</f>
        <v/>
      </c>
    </row>
    <row r="27">
      <c r="A27" s="61" t="n">
        <v>25143</v>
      </c>
      <c r="B27" s="68">
        <f>VLOOKUP(Table4[[#This Row],[Date]],Database!A:E,3,)</f>
        <v/>
      </c>
      <c r="C27" s="14">
        <f>(B27-B26)/B26</f>
        <v/>
      </c>
      <c r="D27" s="14">
        <f>(B27-B15)/B15</f>
        <v/>
      </c>
    </row>
    <row r="28">
      <c r="A28" s="61" t="n">
        <v>25173</v>
      </c>
      <c r="B28" s="68">
        <f>VLOOKUP(Table4[[#This Row],[Date]],Database!A:E,3,)</f>
        <v/>
      </c>
      <c r="C28" s="14">
        <f>(B28-B27)/B27</f>
        <v/>
      </c>
      <c r="D28" s="14">
        <f>(B28-B16)/B16</f>
        <v/>
      </c>
    </row>
    <row r="29">
      <c r="A29" s="61" t="n">
        <v>25204</v>
      </c>
      <c r="B29" s="68">
        <f>VLOOKUP(Table4[[#This Row],[Date]],Database!A:E,3,)</f>
        <v/>
      </c>
      <c r="C29" s="14">
        <f>(B29-B28)/B28</f>
        <v/>
      </c>
      <c r="D29" s="14">
        <f>(B29-B17)/B17</f>
        <v/>
      </c>
    </row>
    <row r="30">
      <c r="A30" s="61" t="n">
        <v>25235</v>
      </c>
      <c r="B30" s="68">
        <f>VLOOKUP(Table4[[#This Row],[Date]],Database!A:E,3,)</f>
        <v/>
      </c>
      <c r="C30" s="14">
        <f>(B30-B29)/B29</f>
        <v/>
      </c>
      <c r="D30" s="14">
        <f>(B30-B18)/B18</f>
        <v/>
      </c>
    </row>
    <row r="31">
      <c r="A31" s="61" t="n">
        <v>25263</v>
      </c>
      <c r="B31" s="68">
        <f>VLOOKUP(Table4[[#This Row],[Date]],Database!A:E,3,)</f>
        <v/>
      </c>
      <c r="C31" s="14">
        <f>(B31-B30)/B30</f>
        <v/>
      </c>
      <c r="D31" s="14">
        <f>(B31-B19)/B19</f>
        <v/>
      </c>
    </row>
    <row r="32">
      <c r="A32" s="61" t="n">
        <v>25294</v>
      </c>
      <c r="B32" s="68">
        <f>VLOOKUP(Table4[[#This Row],[Date]],Database!A:E,3,)</f>
        <v/>
      </c>
      <c r="C32" s="14">
        <f>(B32-B31)/B31</f>
        <v/>
      </c>
      <c r="D32" s="14">
        <f>(B32-B20)/B20</f>
        <v/>
      </c>
    </row>
    <row r="33">
      <c r="A33" s="61" t="n">
        <v>25324</v>
      </c>
      <c r="B33" s="68">
        <f>VLOOKUP(Table4[[#This Row],[Date]],Database!A:E,3,)</f>
        <v/>
      </c>
      <c r="C33" s="14">
        <f>(B33-B32)/B32</f>
        <v/>
      </c>
      <c r="D33" s="14">
        <f>(B33-B21)/B21</f>
        <v/>
      </c>
    </row>
    <row r="34">
      <c r="A34" s="61" t="n">
        <v>25355</v>
      </c>
      <c r="B34" s="68">
        <f>VLOOKUP(Table4[[#This Row],[Date]],Database!A:E,3,)</f>
        <v/>
      </c>
      <c r="C34" s="14">
        <f>(B34-B33)/B33</f>
        <v/>
      </c>
      <c r="D34" s="14">
        <f>(B34-B22)/B22</f>
        <v/>
      </c>
    </row>
    <row r="35">
      <c r="A35" s="61" t="n">
        <v>25385</v>
      </c>
      <c r="B35" s="68">
        <f>VLOOKUP(Table4[[#This Row],[Date]],Database!A:E,3,)</f>
        <v/>
      </c>
      <c r="C35" s="14">
        <f>(B35-B34)/B34</f>
        <v/>
      </c>
      <c r="D35" s="14">
        <f>(B35-B23)/B23</f>
        <v/>
      </c>
    </row>
    <row r="36">
      <c r="A36" s="61" t="n">
        <v>25416</v>
      </c>
      <c r="B36" s="68">
        <f>VLOOKUP(Table4[[#This Row],[Date]],Database!A:E,3,)</f>
        <v/>
      </c>
      <c r="C36" s="14">
        <f>(B36-B35)/B35</f>
        <v/>
      </c>
      <c r="D36" s="14">
        <f>(B36-B24)/B24</f>
        <v/>
      </c>
    </row>
    <row r="37">
      <c r="A37" s="61" t="n">
        <v>25447</v>
      </c>
      <c r="B37" s="68">
        <f>VLOOKUP(Table4[[#This Row],[Date]],Database!A:E,3,)</f>
        <v/>
      </c>
      <c r="C37" s="14">
        <f>(B37-B36)/B36</f>
        <v/>
      </c>
      <c r="D37" s="14">
        <f>(B37-B25)/B25</f>
        <v/>
      </c>
    </row>
    <row r="38">
      <c r="A38" s="61" t="n">
        <v>25477</v>
      </c>
      <c r="B38" s="68">
        <f>VLOOKUP(Table4[[#This Row],[Date]],Database!A:E,3,)</f>
        <v/>
      </c>
      <c r="C38" s="14">
        <f>(B38-B37)/B37</f>
        <v/>
      </c>
      <c r="D38" s="14">
        <f>(B38-B26)/B26</f>
        <v/>
      </c>
    </row>
    <row r="39">
      <c r="A39" s="61" t="n">
        <v>25508</v>
      </c>
      <c r="B39" s="68">
        <f>VLOOKUP(Table4[[#This Row],[Date]],Database!A:E,3,)</f>
        <v/>
      </c>
      <c r="C39" s="14">
        <f>(B39-B38)/B38</f>
        <v/>
      </c>
      <c r="D39" s="14">
        <f>(B39-B27)/B27</f>
        <v/>
      </c>
    </row>
    <row r="40">
      <c r="A40" s="61" t="n">
        <v>25538</v>
      </c>
      <c r="B40" s="68">
        <f>VLOOKUP(Table4[[#This Row],[Date]],Database!A:E,3,)</f>
        <v/>
      </c>
      <c r="C40" s="14">
        <f>(B40-B39)/B39</f>
        <v/>
      </c>
      <c r="D40" s="14">
        <f>(B40-B28)/B28</f>
        <v/>
      </c>
    </row>
    <row r="41">
      <c r="A41" s="61" t="n">
        <v>25569</v>
      </c>
      <c r="B41" s="68">
        <f>VLOOKUP(Table4[[#This Row],[Date]],Database!A:E,3,)</f>
        <v/>
      </c>
      <c r="C41" s="14">
        <f>(B41-B40)/B40</f>
        <v/>
      </c>
      <c r="D41" s="14">
        <f>(B41-B29)/B29</f>
        <v/>
      </c>
    </row>
    <row r="42">
      <c r="A42" s="61" t="n">
        <v>25600</v>
      </c>
      <c r="B42" s="68">
        <f>VLOOKUP(Table4[[#This Row],[Date]],Database!A:E,3,)</f>
        <v/>
      </c>
      <c r="C42" s="14">
        <f>(B42-B41)/B41</f>
        <v/>
      </c>
      <c r="D42" s="14">
        <f>(B42-B30)/B30</f>
        <v/>
      </c>
    </row>
    <row r="43">
      <c r="A43" s="61" t="n">
        <v>25628</v>
      </c>
      <c r="B43" s="68">
        <f>VLOOKUP(Table4[[#This Row],[Date]],Database!A:E,3,)</f>
        <v/>
      </c>
      <c r="C43" s="14">
        <f>(B43-B42)/B42</f>
        <v/>
      </c>
      <c r="D43" s="14">
        <f>(B43-B31)/B31</f>
        <v/>
      </c>
    </row>
    <row r="44">
      <c r="A44" s="61" t="n">
        <v>25659</v>
      </c>
      <c r="B44" s="68">
        <f>VLOOKUP(Table4[[#This Row],[Date]],Database!A:E,3,)</f>
        <v/>
      </c>
      <c r="C44" s="14">
        <f>(B44-B43)/B43</f>
        <v/>
      </c>
      <c r="D44" s="14">
        <f>(B44-B32)/B32</f>
        <v/>
      </c>
    </row>
    <row r="45">
      <c r="A45" s="61" t="n">
        <v>25689</v>
      </c>
      <c r="B45" s="68">
        <f>VLOOKUP(Table4[[#This Row],[Date]],Database!A:E,3,)</f>
        <v/>
      </c>
      <c r="C45" s="14">
        <f>(B45-B44)/B44</f>
        <v/>
      </c>
      <c r="D45" s="14">
        <f>(B45-B33)/B33</f>
        <v/>
      </c>
    </row>
    <row r="46">
      <c r="A46" s="61" t="n">
        <v>25720</v>
      </c>
      <c r="B46" s="68">
        <f>VLOOKUP(Table4[[#This Row],[Date]],Database!A:E,3,)</f>
        <v/>
      </c>
      <c r="C46" s="14">
        <f>(B46-B45)/B45</f>
        <v/>
      </c>
      <c r="D46" s="14">
        <f>(B46-B34)/B34</f>
        <v/>
      </c>
    </row>
    <row r="47">
      <c r="A47" s="61" t="n">
        <v>25750</v>
      </c>
      <c r="B47" s="68">
        <f>VLOOKUP(Table4[[#This Row],[Date]],Database!A:E,3,)</f>
        <v/>
      </c>
      <c r="C47" s="14">
        <f>(B47-B46)/B46</f>
        <v/>
      </c>
      <c r="D47" s="14">
        <f>(B47-B35)/B35</f>
        <v/>
      </c>
    </row>
    <row r="48">
      <c r="A48" s="61" t="n">
        <v>25781</v>
      </c>
      <c r="B48" s="68">
        <f>VLOOKUP(Table4[[#This Row],[Date]],Database!A:E,3,)</f>
        <v/>
      </c>
      <c r="C48" s="14">
        <f>(B48-B47)/B47</f>
        <v/>
      </c>
      <c r="D48" s="14">
        <f>(B48-B36)/B36</f>
        <v/>
      </c>
    </row>
    <row r="49">
      <c r="A49" s="61" t="n">
        <v>25812</v>
      </c>
      <c r="B49" s="68">
        <f>VLOOKUP(Table4[[#This Row],[Date]],Database!A:E,3,)</f>
        <v/>
      </c>
      <c r="C49" s="14">
        <f>(B49-B48)/B48</f>
        <v/>
      </c>
      <c r="D49" s="14">
        <f>(B49-B37)/B37</f>
        <v/>
      </c>
    </row>
    <row r="50">
      <c r="A50" s="61" t="n">
        <v>25842</v>
      </c>
      <c r="B50" s="68">
        <f>VLOOKUP(Table4[[#This Row],[Date]],Database!A:E,3,)</f>
        <v/>
      </c>
      <c r="C50" s="14">
        <f>(B50-B49)/B49</f>
        <v/>
      </c>
      <c r="D50" s="14">
        <f>(B50-B38)/B38</f>
        <v/>
      </c>
    </row>
    <row r="51">
      <c r="A51" s="61" t="n">
        <v>25873</v>
      </c>
      <c r="B51" s="68">
        <f>VLOOKUP(Table4[[#This Row],[Date]],Database!A:E,3,)</f>
        <v/>
      </c>
      <c r="C51" s="14">
        <f>(B51-B50)/B50</f>
        <v/>
      </c>
      <c r="D51" s="14">
        <f>(B51-B39)/B39</f>
        <v/>
      </c>
    </row>
    <row r="52">
      <c r="A52" s="61" t="n">
        <v>25903</v>
      </c>
      <c r="B52" s="68">
        <f>VLOOKUP(Table4[[#This Row],[Date]],Database!A:E,3,)</f>
        <v/>
      </c>
      <c r="C52" s="14">
        <f>(B52-B51)/B51</f>
        <v/>
      </c>
      <c r="D52" s="14">
        <f>(B52-B40)/B40</f>
        <v/>
      </c>
    </row>
    <row r="53">
      <c r="A53" s="61" t="n">
        <v>25934</v>
      </c>
      <c r="B53" s="68">
        <f>VLOOKUP(Table4[[#This Row],[Date]],Database!A:E,3,)</f>
        <v/>
      </c>
      <c r="C53" s="14">
        <f>(B53-B52)/B52</f>
        <v/>
      </c>
      <c r="D53" s="14">
        <f>(B53-B41)/B41</f>
        <v/>
      </c>
    </row>
    <row r="54">
      <c r="A54" s="61" t="n">
        <v>25965</v>
      </c>
      <c r="B54" s="68">
        <f>VLOOKUP(Table4[[#This Row],[Date]],Database!A:E,3,)</f>
        <v/>
      </c>
      <c r="C54" s="14">
        <f>(B54-B53)/B53</f>
        <v/>
      </c>
      <c r="D54" s="14">
        <f>(B54-B42)/B42</f>
        <v/>
      </c>
    </row>
    <row r="55">
      <c r="A55" s="61" t="n">
        <v>25993</v>
      </c>
      <c r="B55" s="68">
        <f>VLOOKUP(Table4[[#This Row],[Date]],Database!A:E,3,)</f>
        <v/>
      </c>
      <c r="C55" s="14">
        <f>(B55-B54)/B54</f>
        <v/>
      </c>
      <c r="D55" s="14">
        <f>(B55-B43)/B43</f>
        <v/>
      </c>
    </row>
    <row r="56">
      <c r="A56" s="61" t="n">
        <v>26024</v>
      </c>
      <c r="B56" s="68">
        <f>VLOOKUP(Table4[[#This Row],[Date]],Database!A:E,3,)</f>
        <v/>
      </c>
      <c r="C56" s="14">
        <f>(B56-B55)/B55</f>
        <v/>
      </c>
      <c r="D56" s="14">
        <f>(B56-B44)/B44</f>
        <v/>
      </c>
    </row>
    <row r="57">
      <c r="A57" s="61" t="n">
        <v>26054</v>
      </c>
      <c r="B57" s="68">
        <f>VLOOKUP(Table4[[#This Row],[Date]],Database!A:E,3,)</f>
        <v/>
      </c>
      <c r="C57" s="14">
        <f>(B57-B56)/B56</f>
        <v/>
      </c>
      <c r="D57" s="14">
        <f>(B57-B45)/B45</f>
        <v/>
      </c>
    </row>
    <row r="58">
      <c r="A58" s="61" t="n">
        <v>26085</v>
      </c>
      <c r="B58" s="68">
        <f>VLOOKUP(Table4[[#This Row],[Date]],Database!A:E,3,)</f>
        <v/>
      </c>
      <c r="C58" s="14">
        <f>(B58-B57)/B57</f>
        <v/>
      </c>
      <c r="D58" s="14">
        <f>(B58-B46)/B46</f>
        <v/>
      </c>
    </row>
    <row r="59">
      <c r="A59" s="61" t="n">
        <v>26115</v>
      </c>
      <c r="B59" s="68">
        <f>VLOOKUP(Table4[[#This Row],[Date]],Database!A:E,3,)</f>
        <v/>
      </c>
      <c r="C59" s="14">
        <f>(B59-B58)/B58</f>
        <v/>
      </c>
      <c r="D59" s="14">
        <f>(B59-B47)/B47</f>
        <v/>
      </c>
    </row>
    <row r="60">
      <c r="A60" s="61" t="n">
        <v>26146</v>
      </c>
      <c r="B60" s="68">
        <f>VLOOKUP(Table4[[#This Row],[Date]],Database!A:E,3,)</f>
        <v/>
      </c>
      <c r="C60" s="14">
        <f>(B60-B59)/B59</f>
        <v/>
      </c>
      <c r="D60" s="14">
        <f>(B60-B48)/B48</f>
        <v/>
      </c>
    </row>
    <row r="61">
      <c r="A61" s="61" t="n">
        <v>26177</v>
      </c>
      <c r="B61" s="68">
        <f>VLOOKUP(Table4[[#This Row],[Date]],Database!A:E,3,)</f>
        <v/>
      </c>
      <c r="C61" s="14">
        <f>(B61-B60)/B60</f>
        <v/>
      </c>
      <c r="D61" s="14">
        <f>(B61-B49)/B49</f>
        <v/>
      </c>
    </row>
    <row r="62">
      <c r="A62" s="61" t="n">
        <v>26207</v>
      </c>
      <c r="B62" s="68">
        <f>VLOOKUP(Table4[[#This Row],[Date]],Database!A:E,3,)</f>
        <v/>
      </c>
      <c r="C62" s="14">
        <f>(B62-B61)/B61</f>
        <v/>
      </c>
      <c r="D62" s="14">
        <f>(B62-B50)/B50</f>
        <v/>
      </c>
    </row>
    <row r="63">
      <c r="A63" s="61" t="n">
        <v>26238</v>
      </c>
      <c r="B63" s="68">
        <f>VLOOKUP(Table4[[#This Row],[Date]],Database!A:E,3,)</f>
        <v/>
      </c>
      <c r="C63" s="14">
        <f>(B63-B62)/B62</f>
        <v/>
      </c>
      <c r="D63" s="14">
        <f>(B63-B51)/B51</f>
        <v/>
      </c>
    </row>
    <row r="64">
      <c r="A64" s="61" t="n">
        <v>26268</v>
      </c>
      <c r="B64" s="68">
        <f>VLOOKUP(Table4[[#This Row],[Date]],Database!A:E,3,)</f>
        <v/>
      </c>
      <c r="C64" s="14">
        <f>(B64-B63)/B63</f>
        <v/>
      </c>
      <c r="D64" s="14">
        <f>(B64-B52)/B52</f>
        <v/>
      </c>
    </row>
    <row r="65">
      <c r="A65" s="61" t="n">
        <v>26299</v>
      </c>
      <c r="B65" s="68">
        <f>VLOOKUP(Table4[[#This Row],[Date]],Database!A:E,3,)</f>
        <v/>
      </c>
      <c r="C65" s="14">
        <f>(B65-B64)/B64</f>
        <v/>
      </c>
      <c r="D65" s="14">
        <f>(B65-B53)/B53</f>
        <v/>
      </c>
    </row>
    <row r="66">
      <c r="A66" s="61" t="n">
        <v>26330</v>
      </c>
      <c r="B66" s="68">
        <f>VLOOKUP(Table4[[#This Row],[Date]],Database!A:E,3,)</f>
        <v/>
      </c>
      <c r="C66" s="14">
        <f>(B66-B65)/B65</f>
        <v/>
      </c>
      <c r="D66" s="14">
        <f>(B66-B54)/B54</f>
        <v/>
      </c>
    </row>
    <row r="67">
      <c r="A67" s="61" t="n">
        <v>26359</v>
      </c>
      <c r="B67" s="68">
        <f>VLOOKUP(Table4[[#This Row],[Date]],Database!A:E,3,)</f>
        <v/>
      </c>
      <c r="C67" s="14">
        <f>(B67-B66)/B66</f>
        <v/>
      </c>
      <c r="D67" s="14">
        <f>(B67-B55)/B55</f>
        <v/>
      </c>
    </row>
    <row r="68">
      <c r="A68" s="61" t="n">
        <v>26390</v>
      </c>
      <c r="B68" s="68">
        <f>VLOOKUP(Table4[[#This Row],[Date]],Database!A:E,3,)</f>
        <v/>
      </c>
      <c r="C68" s="14">
        <f>(B68-B67)/B67</f>
        <v/>
      </c>
      <c r="D68" s="14">
        <f>(B68-B56)/B56</f>
        <v/>
      </c>
    </row>
    <row r="69">
      <c r="A69" s="61" t="n">
        <v>26420</v>
      </c>
      <c r="B69" s="68">
        <f>VLOOKUP(Table4[[#This Row],[Date]],Database!A:E,3,)</f>
        <v/>
      </c>
      <c r="C69" s="14">
        <f>(B69-B68)/B68</f>
        <v/>
      </c>
      <c r="D69" s="14">
        <f>(B69-B57)/B57</f>
        <v/>
      </c>
    </row>
    <row r="70">
      <c r="A70" s="61" t="n">
        <v>26451</v>
      </c>
      <c r="B70" s="68">
        <f>VLOOKUP(Table4[[#This Row],[Date]],Database!A:E,3,)</f>
        <v/>
      </c>
      <c r="C70" s="14">
        <f>(B70-B69)/B69</f>
        <v/>
      </c>
      <c r="D70" s="14">
        <f>(B70-B58)/B58</f>
        <v/>
      </c>
    </row>
    <row r="71">
      <c r="A71" s="61" t="n">
        <v>26481</v>
      </c>
      <c r="B71" s="68">
        <f>VLOOKUP(Table4[[#This Row],[Date]],Database!A:E,3,)</f>
        <v/>
      </c>
      <c r="C71" s="14">
        <f>(B71-B70)/B70</f>
        <v/>
      </c>
      <c r="D71" s="14">
        <f>(B71-B59)/B59</f>
        <v/>
      </c>
    </row>
    <row r="72">
      <c r="A72" s="61" t="n">
        <v>26512</v>
      </c>
      <c r="B72" s="68">
        <f>VLOOKUP(Table4[[#This Row],[Date]],Database!A:E,3,)</f>
        <v/>
      </c>
      <c r="C72" s="14">
        <f>(B72-B71)/B71</f>
        <v/>
      </c>
      <c r="D72" s="14">
        <f>(B72-B60)/B60</f>
        <v/>
      </c>
    </row>
    <row r="73">
      <c r="A73" s="61" t="n">
        <v>26543</v>
      </c>
      <c r="B73" s="68">
        <f>VLOOKUP(Table4[[#This Row],[Date]],Database!A:E,3,)</f>
        <v/>
      </c>
      <c r="C73" s="14">
        <f>(B73-B72)/B72</f>
        <v/>
      </c>
      <c r="D73" s="14">
        <f>(B73-B61)/B61</f>
        <v/>
      </c>
    </row>
    <row r="74">
      <c r="A74" s="61" t="n">
        <v>26573</v>
      </c>
      <c r="B74" s="68">
        <f>VLOOKUP(Table4[[#This Row],[Date]],Database!A:E,3,)</f>
        <v/>
      </c>
      <c r="C74" s="14">
        <f>(B74-B73)/B73</f>
        <v/>
      </c>
      <c r="D74" s="14">
        <f>(B74-B62)/B62</f>
        <v/>
      </c>
    </row>
    <row r="75">
      <c r="A75" s="61" t="n">
        <v>26604</v>
      </c>
      <c r="B75" s="68">
        <f>VLOOKUP(Table4[[#This Row],[Date]],Database!A:E,3,)</f>
        <v/>
      </c>
      <c r="C75" s="14">
        <f>(B75-B74)/B74</f>
        <v/>
      </c>
      <c r="D75" s="14">
        <f>(B75-B63)/B63</f>
        <v/>
      </c>
    </row>
    <row r="76">
      <c r="A76" s="61" t="n">
        <v>26634</v>
      </c>
      <c r="B76" s="68">
        <f>VLOOKUP(Table4[[#This Row],[Date]],Database!A:E,3,)</f>
        <v/>
      </c>
      <c r="C76" s="14">
        <f>(B76-B75)/B75</f>
        <v/>
      </c>
      <c r="D76" s="14">
        <f>(B76-B64)/B64</f>
        <v/>
      </c>
    </row>
    <row r="77">
      <c r="A77" s="61" t="n">
        <v>26665</v>
      </c>
      <c r="B77" s="68">
        <f>VLOOKUP(Table4[[#This Row],[Date]],Database!A:E,3,)</f>
        <v/>
      </c>
      <c r="C77" s="14">
        <f>(B77-B76)/B76</f>
        <v/>
      </c>
      <c r="D77" s="14">
        <f>(B77-B65)/B65</f>
        <v/>
      </c>
    </row>
    <row r="78">
      <c r="A78" s="61" t="n">
        <v>26696</v>
      </c>
      <c r="B78" s="68">
        <f>VLOOKUP(Table4[[#This Row],[Date]],Database!A:E,3,)</f>
        <v/>
      </c>
      <c r="C78" s="14">
        <f>(B78-B77)/B77</f>
        <v/>
      </c>
      <c r="D78" s="14">
        <f>(B78-B66)/B66</f>
        <v/>
      </c>
    </row>
    <row r="79">
      <c r="A79" s="61" t="n">
        <v>26724</v>
      </c>
      <c r="B79" s="68">
        <f>VLOOKUP(Table4[[#This Row],[Date]],Database!A:E,3,)</f>
        <v/>
      </c>
      <c r="C79" s="14">
        <f>(B79-B78)/B78</f>
        <v/>
      </c>
      <c r="D79" s="14">
        <f>(B79-B67)/B67</f>
        <v/>
      </c>
    </row>
    <row r="80">
      <c r="A80" s="61" t="n">
        <v>26755</v>
      </c>
      <c r="B80" s="68">
        <f>VLOOKUP(Table4[[#This Row],[Date]],Database!A:E,3,)</f>
        <v/>
      </c>
      <c r="C80" s="14">
        <f>(B80-B79)/B79</f>
        <v/>
      </c>
      <c r="D80" s="14">
        <f>(B80-B68)/B68</f>
        <v/>
      </c>
    </row>
    <row r="81">
      <c r="A81" s="61" t="n">
        <v>26785</v>
      </c>
      <c r="B81" s="68">
        <f>VLOOKUP(Table4[[#This Row],[Date]],Database!A:E,3,)</f>
        <v/>
      </c>
      <c r="C81" s="14">
        <f>(B81-B80)/B80</f>
        <v/>
      </c>
      <c r="D81" s="14">
        <f>(B81-B69)/B69</f>
        <v/>
      </c>
    </row>
    <row r="82">
      <c r="A82" s="61" t="n">
        <v>26816</v>
      </c>
      <c r="B82" s="68">
        <f>VLOOKUP(Table4[[#This Row],[Date]],Database!A:E,3,)</f>
        <v/>
      </c>
      <c r="C82" s="14">
        <f>(B82-B81)/B81</f>
        <v/>
      </c>
      <c r="D82" s="14">
        <f>(B82-B70)/B70</f>
        <v/>
      </c>
    </row>
    <row r="83">
      <c r="A83" s="61" t="n">
        <v>26846</v>
      </c>
      <c r="B83" s="68">
        <f>VLOOKUP(Table4[[#This Row],[Date]],Database!A:E,3,)</f>
        <v/>
      </c>
      <c r="C83" s="14">
        <f>(B83-B82)/B82</f>
        <v/>
      </c>
      <c r="D83" s="14">
        <f>(B83-B71)/B71</f>
        <v/>
      </c>
    </row>
    <row r="84">
      <c r="A84" s="61" t="n">
        <v>26877</v>
      </c>
      <c r="B84" s="68">
        <f>VLOOKUP(Table4[[#This Row],[Date]],Database!A:E,3,)</f>
        <v/>
      </c>
      <c r="C84" s="14">
        <f>(B84-B83)/B83</f>
        <v/>
      </c>
      <c r="D84" s="14">
        <f>(B84-B72)/B72</f>
        <v/>
      </c>
    </row>
    <row r="85">
      <c r="A85" s="61" t="n">
        <v>26908</v>
      </c>
      <c r="B85" s="68">
        <f>VLOOKUP(Table4[[#This Row],[Date]],Database!A:E,3,)</f>
        <v/>
      </c>
      <c r="C85" s="14">
        <f>(B85-B84)/B84</f>
        <v/>
      </c>
      <c r="D85" s="14">
        <f>(B85-B73)/B73</f>
        <v/>
      </c>
    </row>
    <row r="86">
      <c r="A86" s="61" t="n">
        <v>26938</v>
      </c>
      <c r="B86" s="68">
        <f>VLOOKUP(Table4[[#This Row],[Date]],Database!A:E,3,)</f>
        <v/>
      </c>
      <c r="C86" s="14">
        <f>(B86-B85)/B85</f>
        <v/>
      </c>
      <c r="D86" s="14">
        <f>(B86-B74)/B74</f>
        <v/>
      </c>
    </row>
    <row r="87">
      <c r="A87" s="61" t="n">
        <v>26969</v>
      </c>
      <c r="B87" s="68">
        <f>VLOOKUP(Table4[[#This Row],[Date]],Database!A:E,3,)</f>
        <v/>
      </c>
      <c r="C87" s="14">
        <f>(B87-B86)/B86</f>
        <v/>
      </c>
      <c r="D87" s="14">
        <f>(B87-B75)/B75</f>
        <v/>
      </c>
    </row>
    <row r="88">
      <c r="A88" s="61" t="n">
        <v>26999</v>
      </c>
      <c r="B88" s="68">
        <f>VLOOKUP(Table4[[#This Row],[Date]],Database!A:E,3,)</f>
        <v/>
      </c>
      <c r="C88" s="14">
        <f>(B88-B87)/B87</f>
        <v/>
      </c>
      <c r="D88" s="14">
        <f>(B88-B76)/B76</f>
        <v/>
      </c>
    </row>
    <row r="89">
      <c r="A89" s="61" t="n">
        <v>27030</v>
      </c>
      <c r="B89" s="68">
        <f>VLOOKUP(Table4[[#This Row],[Date]],Database!A:E,3,)</f>
        <v/>
      </c>
      <c r="C89" s="14">
        <f>(B89-B88)/B88</f>
        <v/>
      </c>
      <c r="D89" s="14">
        <f>(B89-B77)/B77</f>
        <v/>
      </c>
    </row>
    <row r="90">
      <c r="A90" s="61" t="n">
        <v>27061</v>
      </c>
      <c r="B90" s="68">
        <f>VLOOKUP(Table4[[#This Row],[Date]],Database!A:E,3,)</f>
        <v/>
      </c>
      <c r="C90" s="14">
        <f>(B90-B89)/B89</f>
        <v/>
      </c>
      <c r="D90" s="14">
        <f>(B90-B78)/B78</f>
        <v/>
      </c>
    </row>
    <row r="91">
      <c r="A91" s="61" t="n">
        <v>27089</v>
      </c>
      <c r="B91" s="68">
        <f>VLOOKUP(Table4[[#This Row],[Date]],Database!A:E,3,)</f>
        <v/>
      </c>
      <c r="C91" s="14">
        <f>(B91-B90)/B90</f>
        <v/>
      </c>
      <c r="D91" s="14">
        <f>(B91-B79)/B79</f>
        <v/>
      </c>
    </row>
    <row r="92">
      <c r="A92" s="61" t="n">
        <v>27120</v>
      </c>
      <c r="B92" s="68">
        <f>VLOOKUP(Table4[[#This Row],[Date]],Database!A:E,3,)</f>
        <v/>
      </c>
      <c r="C92" s="14">
        <f>(B92-B91)/B91</f>
        <v/>
      </c>
      <c r="D92" s="14">
        <f>(B92-B80)/B80</f>
        <v/>
      </c>
    </row>
    <row r="93">
      <c r="A93" s="61" t="n">
        <v>27150</v>
      </c>
      <c r="B93" s="68">
        <f>VLOOKUP(Table4[[#This Row],[Date]],Database!A:E,3,)</f>
        <v/>
      </c>
      <c r="C93" s="14">
        <f>(B93-B92)/B92</f>
        <v/>
      </c>
      <c r="D93" s="14">
        <f>(B93-B81)/B81</f>
        <v/>
      </c>
    </row>
    <row r="94">
      <c r="A94" s="61" t="n">
        <v>27181</v>
      </c>
      <c r="B94" s="68">
        <f>VLOOKUP(Table4[[#This Row],[Date]],Database!A:E,3,)</f>
        <v/>
      </c>
      <c r="C94" s="14">
        <f>(B94-B93)/B93</f>
        <v/>
      </c>
      <c r="D94" s="14">
        <f>(B94-B82)/B82</f>
        <v/>
      </c>
    </row>
    <row r="95">
      <c r="A95" s="61" t="n">
        <v>27211</v>
      </c>
      <c r="B95" s="68">
        <f>VLOOKUP(Table4[[#This Row],[Date]],Database!A:E,3,)</f>
        <v/>
      </c>
      <c r="C95" s="14">
        <f>(B95-B94)/B94</f>
        <v/>
      </c>
      <c r="D95" s="14">
        <f>(B95-B83)/B83</f>
        <v/>
      </c>
    </row>
    <row r="96">
      <c r="A96" s="61" t="n">
        <v>27242</v>
      </c>
      <c r="B96" s="68">
        <f>VLOOKUP(Table4[[#This Row],[Date]],Database!A:E,3,)</f>
        <v/>
      </c>
      <c r="C96" s="14">
        <f>(B96-B95)/B95</f>
        <v/>
      </c>
      <c r="D96" s="14">
        <f>(B96-B84)/B84</f>
        <v/>
      </c>
    </row>
    <row r="97">
      <c r="A97" s="61" t="n">
        <v>27273</v>
      </c>
      <c r="B97" s="68">
        <f>VLOOKUP(Table4[[#This Row],[Date]],Database!A:E,3,)</f>
        <v/>
      </c>
      <c r="C97" s="14">
        <f>(B97-B96)/B96</f>
        <v/>
      </c>
      <c r="D97" s="14">
        <f>(B97-B85)/B85</f>
        <v/>
      </c>
    </row>
    <row r="98">
      <c r="A98" s="61" t="n">
        <v>27303</v>
      </c>
      <c r="B98" s="68">
        <f>VLOOKUP(Table4[[#This Row],[Date]],Database!A:E,3,)</f>
        <v/>
      </c>
      <c r="C98" s="14">
        <f>(B98-B97)/B97</f>
        <v/>
      </c>
      <c r="D98" s="14">
        <f>(B98-B86)/B86</f>
        <v/>
      </c>
    </row>
    <row r="99">
      <c r="A99" s="61" t="n">
        <v>27334</v>
      </c>
      <c r="B99" s="68">
        <f>VLOOKUP(Table4[[#This Row],[Date]],Database!A:E,3,)</f>
        <v/>
      </c>
      <c r="C99" s="14">
        <f>(B99-B98)/B98</f>
        <v/>
      </c>
      <c r="D99" s="14">
        <f>(B99-B87)/B87</f>
        <v/>
      </c>
    </row>
    <row r="100">
      <c r="A100" s="61" t="n">
        <v>27364</v>
      </c>
      <c r="B100" s="68">
        <f>VLOOKUP(Table4[[#This Row],[Date]],Database!A:E,3,)</f>
        <v/>
      </c>
      <c r="C100" s="14">
        <f>(B100-B99)/B99</f>
        <v/>
      </c>
      <c r="D100" s="14">
        <f>(B100-B88)/B88</f>
        <v/>
      </c>
    </row>
    <row r="101">
      <c r="A101" s="61" t="n">
        <v>27395</v>
      </c>
      <c r="B101" s="68">
        <f>VLOOKUP(Table4[[#This Row],[Date]],Database!A:E,3,)</f>
        <v/>
      </c>
      <c r="C101" s="14">
        <f>(B101-B100)/B100</f>
        <v/>
      </c>
      <c r="D101" s="14">
        <f>(B101-B89)/B89</f>
        <v/>
      </c>
    </row>
    <row r="102">
      <c r="A102" s="61" t="n">
        <v>27426</v>
      </c>
      <c r="B102" s="68">
        <f>VLOOKUP(Table4[[#This Row],[Date]],Database!A:E,3,)</f>
        <v/>
      </c>
      <c r="C102" s="14">
        <f>(B102-B101)/B101</f>
        <v/>
      </c>
      <c r="D102" s="14">
        <f>(B102-B90)/B90</f>
        <v/>
      </c>
    </row>
    <row r="103">
      <c r="A103" s="61" t="n">
        <v>27454</v>
      </c>
      <c r="B103" s="68">
        <f>VLOOKUP(Table4[[#This Row],[Date]],Database!A:E,3,)</f>
        <v/>
      </c>
      <c r="C103" s="14">
        <f>(B103-B102)/B102</f>
        <v/>
      </c>
      <c r="D103" s="14">
        <f>(B103-B91)/B91</f>
        <v/>
      </c>
    </row>
    <row r="104">
      <c r="A104" s="61" t="n">
        <v>27485</v>
      </c>
      <c r="B104" s="68">
        <f>VLOOKUP(Table4[[#This Row],[Date]],Database!A:E,3,)</f>
        <v/>
      </c>
      <c r="C104" s="14">
        <f>(B104-B103)/B103</f>
        <v/>
      </c>
      <c r="D104" s="14">
        <f>(B104-B92)/B92</f>
        <v/>
      </c>
    </row>
    <row r="105">
      <c r="A105" s="61" t="n">
        <v>27515</v>
      </c>
      <c r="B105" s="68">
        <f>VLOOKUP(Table4[[#This Row],[Date]],Database!A:E,3,)</f>
        <v/>
      </c>
      <c r="C105" s="14">
        <f>(B105-B104)/B104</f>
        <v/>
      </c>
      <c r="D105" s="14">
        <f>(B105-B93)/B93</f>
        <v/>
      </c>
    </row>
    <row r="106">
      <c r="A106" s="61" t="n">
        <v>27546</v>
      </c>
      <c r="B106" s="68">
        <f>VLOOKUP(Table4[[#This Row],[Date]],Database!A:E,3,)</f>
        <v/>
      </c>
      <c r="C106" s="14">
        <f>(B106-B105)/B105</f>
        <v/>
      </c>
      <c r="D106" s="14">
        <f>(B106-B94)/B94</f>
        <v/>
      </c>
    </row>
    <row r="107">
      <c r="A107" s="61" t="n">
        <v>27576</v>
      </c>
      <c r="B107" s="68">
        <f>VLOOKUP(Table4[[#This Row],[Date]],Database!A:E,3,)</f>
        <v/>
      </c>
      <c r="C107" s="14">
        <f>(B107-B106)/B106</f>
        <v/>
      </c>
      <c r="D107" s="14">
        <f>(B107-B95)/B95</f>
        <v/>
      </c>
    </row>
    <row r="108">
      <c r="A108" s="61" t="n">
        <v>27607</v>
      </c>
      <c r="B108" s="68">
        <f>VLOOKUP(Table4[[#This Row],[Date]],Database!A:E,3,)</f>
        <v/>
      </c>
      <c r="C108" s="14">
        <f>(B108-B107)/B107</f>
        <v/>
      </c>
      <c r="D108" s="14">
        <f>(B108-B96)/B96</f>
        <v/>
      </c>
    </row>
    <row r="109">
      <c r="A109" s="61" t="n">
        <v>27638</v>
      </c>
      <c r="B109" s="68">
        <f>VLOOKUP(Table4[[#This Row],[Date]],Database!A:E,3,)</f>
        <v/>
      </c>
      <c r="C109" s="14">
        <f>(B109-B108)/B108</f>
        <v/>
      </c>
      <c r="D109" s="14">
        <f>(B109-B97)/B97</f>
        <v/>
      </c>
    </row>
    <row r="110">
      <c r="A110" s="61" t="n">
        <v>27668</v>
      </c>
      <c r="B110" s="68">
        <f>VLOOKUP(Table4[[#This Row],[Date]],Database!A:E,3,)</f>
        <v/>
      </c>
      <c r="C110" s="14">
        <f>(B110-B109)/B109</f>
        <v/>
      </c>
      <c r="D110" s="14">
        <f>(B110-B98)/B98</f>
        <v/>
      </c>
    </row>
    <row r="111">
      <c r="A111" s="61" t="n">
        <v>27699</v>
      </c>
      <c r="B111" s="68">
        <f>VLOOKUP(Table4[[#This Row],[Date]],Database!A:E,3,)</f>
        <v/>
      </c>
      <c r="C111" s="14">
        <f>(B111-B110)/B110</f>
        <v/>
      </c>
      <c r="D111" s="14">
        <f>(B111-B99)/B99</f>
        <v/>
      </c>
    </row>
    <row r="112">
      <c r="A112" s="61" t="n">
        <v>27729</v>
      </c>
      <c r="B112" s="68">
        <f>VLOOKUP(Table4[[#This Row],[Date]],Database!A:E,3,)</f>
        <v/>
      </c>
      <c r="C112" s="14">
        <f>(B112-B111)/B111</f>
        <v/>
      </c>
      <c r="D112" s="14">
        <f>(B112-B100)/B100</f>
        <v/>
      </c>
    </row>
    <row r="113">
      <c r="A113" s="61" t="n">
        <v>27760</v>
      </c>
      <c r="B113" s="68">
        <f>VLOOKUP(Table4[[#This Row],[Date]],Database!A:E,3,)</f>
        <v/>
      </c>
      <c r="C113" s="14">
        <f>(B113-B112)/B112</f>
        <v/>
      </c>
      <c r="D113" s="14">
        <f>(B113-B101)/B101</f>
        <v/>
      </c>
    </row>
    <row r="114">
      <c r="A114" s="61" t="n">
        <v>27791</v>
      </c>
      <c r="B114" s="68">
        <f>VLOOKUP(Table4[[#This Row],[Date]],Database!A:E,3,)</f>
        <v/>
      </c>
      <c r="C114" s="14">
        <f>(B114-B113)/B113</f>
        <v/>
      </c>
      <c r="D114" s="14">
        <f>(B114-B102)/B102</f>
        <v/>
      </c>
    </row>
    <row r="115">
      <c r="A115" s="61" t="n">
        <v>27820</v>
      </c>
      <c r="B115" s="68">
        <f>VLOOKUP(Table4[[#This Row],[Date]],Database!A:E,3,)</f>
        <v/>
      </c>
      <c r="C115" s="14">
        <f>(B115-B114)/B114</f>
        <v/>
      </c>
      <c r="D115" s="14">
        <f>(B115-B103)/B103</f>
        <v/>
      </c>
    </row>
    <row r="116">
      <c r="A116" s="61" t="n">
        <v>27851</v>
      </c>
      <c r="B116" s="68">
        <f>VLOOKUP(Table4[[#This Row],[Date]],Database!A:E,3,)</f>
        <v/>
      </c>
      <c r="C116" s="14">
        <f>(B116-B115)/B115</f>
        <v/>
      </c>
      <c r="D116" s="14">
        <f>(B116-B104)/B104</f>
        <v/>
      </c>
    </row>
    <row r="117">
      <c r="A117" s="61" t="n">
        <v>27881</v>
      </c>
      <c r="B117" s="68">
        <f>VLOOKUP(Table4[[#This Row],[Date]],Database!A:E,3,)</f>
        <v/>
      </c>
      <c r="C117" s="14">
        <f>(B117-B116)/B116</f>
        <v/>
      </c>
      <c r="D117" s="14">
        <f>(B117-B105)/B105</f>
        <v/>
      </c>
    </row>
    <row r="118">
      <c r="A118" s="61" t="n">
        <v>27912</v>
      </c>
      <c r="B118" s="68">
        <f>VLOOKUP(Table4[[#This Row],[Date]],Database!A:E,3,)</f>
        <v/>
      </c>
      <c r="C118" s="14">
        <f>(B118-B117)/B117</f>
        <v/>
      </c>
      <c r="D118" s="14">
        <f>(B118-B106)/B106</f>
        <v/>
      </c>
    </row>
    <row r="119">
      <c r="A119" s="61" t="n">
        <v>27942</v>
      </c>
      <c r="B119" s="68">
        <f>VLOOKUP(Table4[[#This Row],[Date]],Database!A:E,3,)</f>
        <v/>
      </c>
      <c r="C119" s="14">
        <f>(B119-B118)/B118</f>
        <v/>
      </c>
      <c r="D119" s="14">
        <f>(B119-B107)/B107</f>
        <v/>
      </c>
    </row>
    <row r="120">
      <c r="A120" s="61" t="n">
        <v>27973</v>
      </c>
      <c r="B120" s="68">
        <f>VLOOKUP(Table4[[#This Row],[Date]],Database!A:E,3,)</f>
        <v/>
      </c>
      <c r="C120" s="14">
        <f>(B120-B119)/B119</f>
        <v/>
      </c>
      <c r="D120" s="14">
        <f>(B120-B108)/B108</f>
        <v/>
      </c>
    </row>
    <row r="121">
      <c r="A121" s="61" t="n">
        <v>28004</v>
      </c>
      <c r="B121" s="68">
        <f>VLOOKUP(Table4[[#This Row],[Date]],Database!A:E,3,)</f>
        <v/>
      </c>
      <c r="C121" s="14">
        <f>(B121-B120)/B120</f>
        <v/>
      </c>
      <c r="D121" s="14">
        <f>(B121-B109)/B109</f>
        <v/>
      </c>
    </row>
    <row r="122">
      <c r="A122" s="61" t="n">
        <v>28034</v>
      </c>
      <c r="B122" s="68">
        <f>VLOOKUP(Table4[[#This Row],[Date]],Database!A:E,3,)</f>
        <v/>
      </c>
      <c r="C122" s="14">
        <f>(B122-B121)/B121</f>
        <v/>
      </c>
      <c r="D122" s="14">
        <f>(B122-B110)/B110</f>
        <v/>
      </c>
    </row>
    <row r="123">
      <c r="A123" s="61" t="n">
        <v>28065</v>
      </c>
      <c r="B123" s="68">
        <f>VLOOKUP(Table4[[#This Row],[Date]],Database!A:E,3,)</f>
        <v/>
      </c>
      <c r="C123" s="14">
        <f>(B123-B122)/B122</f>
        <v/>
      </c>
      <c r="D123" s="14">
        <f>(B123-B111)/B111</f>
        <v/>
      </c>
    </row>
    <row r="124">
      <c r="A124" s="61" t="n">
        <v>28095</v>
      </c>
      <c r="B124" s="68">
        <f>VLOOKUP(Table4[[#This Row],[Date]],Database!A:E,3,)</f>
        <v/>
      </c>
      <c r="C124" s="14">
        <f>(B124-B123)/B123</f>
        <v/>
      </c>
      <c r="D124" s="14">
        <f>(B124-B112)/B112</f>
        <v/>
      </c>
    </row>
    <row r="125">
      <c r="A125" s="61" t="n">
        <v>28126</v>
      </c>
      <c r="B125" s="68">
        <f>VLOOKUP(Table4[[#This Row],[Date]],Database!A:E,3,)</f>
        <v/>
      </c>
      <c r="C125" s="14">
        <f>(B125-B124)/B124</f>
        <v/>
      </c>
      <c r="D125" s="14">
        <f>(B125-B113)/B113</f>
        <v/>
      </c>
    </row>
    <row r="126">
      <c r="A126" s="61" t="n">
        <v>28157</v>
      </c>
      <c r="B126" s="68">
        <f>VLOOKUP(Table4[[#This Row],[Date]],Database!A:E,3,)</f>
        <v/>
      </c>
      <c r="C126" s="14">
        <f>(B126-B125)/B125</f>
        <v/>
      </c>
      <c r="D126" s="14">
        <f>(B126-B114)/B114</f>
        <v/>
      </c>
    </row>
    <row r="127">
      <c r="A127" s="61" t="n">
        <v>28185</v>
      </c>
      <c r="B127" s="68">
        <f>VLOOKUP(Table4[[#This Row],[Date]],Database!A:E,3,)</f>
        <v/>
      </c>
      <c r="C127" s="14">
        <f>(B127-B126)/B126</f>
        <v/>
      </c>
      <c r="D127" s="14">
        <f>(B127-B115)/B115</f>
        <v/>
      </c>
    </row>
    <row r="128">
      <c r="A128" s="61" t="n">
        <v>28216</v>
      </c>
      <c r="B128" s="68">
        <f>VLOOKUP(Table4[[#This Row],[Date]],Database!A:E,3,)</f>
        <v/>
      </c>
      <c r="C128" s="14">
        <f>(B128-B127)/B127</f>
        <v/>
      </c>
      <c r="D128" s="14">
        <f>(B128-B116)/B116</f>
        <v/>
      </c>
    </row>
    <row r="129">
      <c r="A129" s="61" t="n">
        <v>28246</v>
      </c>
      <c r="B129" s="68">
        <f>VLOOKUP(Table4[[#This Row],[Date]],Database!A:E,3,)</f>
        <v/>
      </c>
      <c r="C129" s="14">
        <f>(B129-B128)/B128</f>
        <v/>
      </c>
      <c r="D129" s="14">
        <f>(B129-B117)/B117</f>
        <v/>
      </c>
    </row>
    <row r="130">
      <c r="A130" s="61" t="n">
        <v>28277</v>
      </c>
      <c r="B130" s="68">
        <f>VLOOKUP(Table4[[#This Row],[Date]],Database!A:E,3,)</f>
        <v/>
      </c>
      <c r="C130" s="14">
        <f>(B130-B129)/B129</f>
        <v/>
      </c>
      <c r="D130" s="14">
        <f>(B130-B118)/B118</f>
        <v/>
      </c>
    </row>
    <row r="131">
      <c r="A131" s="61" t="n">
        <v>28307</v>
      </c>
      <c r="B131" s="68">
        <f>VLOOKUP(Table4[[#This Row],[Date]],Database!A:E,3,)</f>
        <v/>
      </c>
      <c r="C131" s="14">
        <f>(B131-B130)/B130</f>
        <v/>
      </c>
      <c r="D131" s="14">
        <f>(B131-B119)/B119</f>
        <v/>
      </c>
    </row>
    <row r="132">
      <c r="A132" s="61" t="n">
        <v>28338</v>
      </c>
      <c r="B132" s="68">
        <f>VLOOKUP(Table4[[#This Row],[Date]],Database!A:E,3,)</f>
        <v/>
      </c>
      <c r="C132" s="14">
        <f>(B132-B131)/B131</f>
        <v/>
      </c>
      <c r="D132" s="14">
        <f>(B132-B120)/B120</f>
        <v/>
      </c>
    </row>
    <row r="133">
      <c r="A133" s="61" t="n">
        <v>28369</v>
      </c>
      <c r="B133" s="68">
        <f>VLOOKUP(Table4[[#This Row],[Date]],Database!A:E,3,)</f>
        <v/>
      </c>
      <c r="C133" s="14">
        <f>(B133-B132)/B132</f>
        <v/>
      </c>
      <c r="D133" s="14">
        <f>(B133-B121)/B121</f>
        <v/>
      </c>
    </row>
    <row r="134">
      <c r="A134" s="61" t="n">
        <v>28399</v>
      </c>
      <c r="B134" s="68">
        <f>VLOOKUP(Table4[[#This Row],[Date]],Database!A:E,3,)</f>
        <v/>
      </c>
      <c r="C134" s="14">
        <f>(B134-B133)/B133</f>
        <v/>
      </c>
      <c r="D134" s="14">
        <f>(B134-B122)/B122</f>
        <v/>
      </c>
    </row>
    <row r="135">
      <c r="A135" s="61" t="n">
        <v>28430</v>
      </c>
      <c r="B135" s="68">
        <f>VLOOKUP(Table4[[#This Row],[Date]],Database!A:E,3,)</f>
        <v/>
      </c>
      <c r="C135" s="14">
        <f>(B135-B134)/B134</f>
        <v/>
      </c>
      <c r="D135" s="14">
        <f>(B135-B123)/B123</f>
        <v/>
      </c>
    </row>
    <row r="136">
      <c r="A136" s="61" t="n">
        <v>28460</v>
      </c>
      <c r="B136" s="68">
        <f>VLOOKUP(Table4[[#This Row],[Date]],Database!A:E,3,)</f>
        <v/>
      </c>
      <c r="C136" s="14">
        <f>(B136-B135)/B135</f>
        <v/>
      </c>
      <c r="D136" s="14">
        <f>(B136-B124)/B124</f>
        <v/>
      </c>
    </row>
    <row r="137">
      <c r="A137" s="61" t="n">
        <v>28491</v>
      </c>
      <c r="B137" s="68">
        <f>VLOOKUP(Table4[[#This Row],[Date]],Database!A:E,3,)</f>
        <v/>
      </c>
      <c r="C137" s="14">
        <f>(B137-B136)/B136</f>
        <v/>
      </c>
      <c r="D137" s="14">
        <f>(B137-B125)/B125</f>
        <v/>
      </c>
    </row>
    <row r="138">
      <c r="A138" s="61" t="n">
        <v>28522</v>
      </c>
      <c r="B138" s="68">
        <f>VLOOKUP(Table4[[#This Row],[Date]],Database!A:E,3,)</f>
        <v/>
      </c>
      <c r="C138" s="14">
        <f>(B138-B137)/B137</f>
        <v/>
      </c>
      <c r="D138" s="14">
        <f>(B138-B126)/B126</f>
        <v/>
      </c>
    </row>
    <row r="139">
      <c r="A139" s="61" t="n">
        <v>28550</v>
      </c>
      <c r="B139" s="68">
        <f>VLOOKUP(Table4[[#This Row],[Date]],Database!A:E,3,)</f>
        <v/>
      </c>
      <c r="C139" s="14">
        <f>(B139-B138)/B138</f>
        <v/>
      </c>
      <c r="D139" s="14">
        <f>(B139-B127)/B127</f>
        <v/>
      </c>
    </row>
    <row r="140">
      <c r="A140" s="61" t="n">
        <v>28581</v>
      </c>
      <c r="B140" s="68">
        <f>VLOOKUP(Table4[[#This Row],[Date]],Database!A:E,3,)</f>
        <v/>
      </c>
      <c r="C140" s="14">
        <f>(B140-B139)/B139</f>
        <v/>
      </c>
      <c r="D140" s="14">
        <f>(B140-B128)/B128</f>
        <v/>
      </c>
    </row>
    <row r="141">
      <c r="A141" s="61" t="n">
        <v>28611</v>
      </c>
      <c r="B141" s="68">
        <f>VLOOKUP(Table4[[#This Row],[Date]],Database!A:E,3,)</f>
        <v/>
      </c>
      <c r="C141" s="14">
        <f>(B141-B140)/B140</f>
        <v/>
      </c>
      <c r="D141" s="14">
        <f>(B141-B129)/B129</f>
        <v/>
      </c>
    </row>
    <row r="142">
      <c r="A142" s="61" t="n">
        <v>28642</v>
      </c>
      <c r="B142" s="68">
        <f>VLOOKUP(Table4[[#This Row],[Date]],Database!A:E,3,)</f>
        <v/>
      </c>
      <c r="C142" s="14">
        <f>(B142-B141)/B141</f>
        <v/>
      </c>
      <c r="D142" s="14">
        <f>(B142-B130)/B130</f>
        <v/>
      </c>
    </row>
    <row r="143">
      <c r="A143" s="61" t="n">
        <v>28672</v>
      </c>
      <c r="B143" s="68">
        <f>VLOOKUP(Table4[[#This Row],[Date]],Database!A:E,3,)</f>
        <v/>
      </c>
      <c r="C143" s="14">
        <f>(B143-B142)/B142</f>
        <v/>
      </c>
      <c r="D143" s="14">
        <f>(B143-B131)/B131</f>
        <v/>
      </c>
    </row>
    <row r="144">
      <c r="A144" s="61" t="n">
        <v>28703</v>
      </c>
      <c r="B144" s="68">
        <f>VLOOKUP(Table4[[#This Row],[Date]],Database!A:E,3,)</f>
        <v/>
      </c>
      <c r="C144" s="14">
        <f>(B144-B143)/B143</f>
        <v/>
      </c>
      <c r="D144" s="14">
        <f>(B144-B132)/B132</f>
        <v/>
      </c>
    </row>
    <row r="145">
      <c r="A145" s="61" t="n">
        <v>28734</v>
      </c>
      <c r="B145" s="68">
        <f>VLOOKUP(Table4[[#This Row],[Date]],Database!A:E,3,)</f>
        <v/>
      </c>
      <c r="C145" s="14">
        <f>(B145-B144)/B144</f>
        <v/>
      </c>
      <c r="D145" s="14">
        <f>(B145-B133)/B133</f>
        <v/>
      </c>
    </row>
    <row r="146">
      <c r="A146" s="61" t="n">
        <v>28764</v>
      </c>
      <c r="B146" s="68">
        <f>VLOOKUP(Table4[[#This Row],[Date]],Database!A:E,3,)</f>
        <v/>
      </c>
      <c r="C146" s="14">
        <f>(B146-B145)/B145</f>
        <v/>
      </c>
      <c r="D146" s="14">
        <f>(B146-B134)/B134</f>
        <v/>
      </c>
    </row>
    <row r="147">
      <c r="A147" s="61" t="n">
        <v>28795</v>
      </c>
      <c r="B147" s="68">
        <f>VLOOKUP(Table4[[#This Row],[Date]],Database!A:E,3,)</f>
        <v/>
      </c>
      <c r="C147" s="14">
        <f>(B147-B146)/B146</f>
        <v/>
      </c>
      <c r="D147" s="14">
        <f>(B147-B135)/B135</f>
        <v/>
      </c>
    </row>
    <row r="148">
      <c r="A148" s="61" t="n">
        <v>28825</v>
      </c>
      <c r="B148" s="68">
        <f>VLOOKUP(Table4[[#This Row],[Date]],Database!A:E,3,)</f>
        <v/>
      </c>
      <c r="C148" s="14">
        <f>(B148-B147)/B147</f>
        <v/>
      </c>
      <c r="D148" s="14">
        <f>(B148-B136)/B136</f>
        <v/>
      </c>
    </row>
    <row r="149">
      <c r="A149" s="61" t="n">
        <v>28856</v>
      </c>
      <c r="B149" s="68">
        <f>VLOOKUP(Table4[[#This Row],[Date]],Database!A:E,3,)</f>
        <v/>
      </c>
      <c r="C149" s="14">
        <f>(B149-B148)/B148</f>
        <v/>
      </c>
      <c r="D149" s="14">
        <f>(B149-B137)/B137</f>
        <v/>
      </c>
    </row>
    <row r="150">
      <c r="A150" s="61" t="n">
        <v>28887</v>
      </c>
      <c r="B150" s="68">
        <f>VLOOKUP(Table4[[#This Row],[Date]],Database!A:E,3,)</f>
        <v/>
      </c>
      <c r="C150" s="14">
        <f>(B150-B149)/B149</f>
        <v/>
      </c>
      <c r="D150" s="14">
        <f>(B150-B138)/B138</f>
        <v/>
      </c>
    </row>
    <row r="151">
      <c r="A151" s="61" t="n">
        <v>28915</v>
      </c>
      <c r="B151" s="68">
        <f>VLOOKUP(Table4[[#This Row],[Date]],Database!A:E,3,)</f>
        <v/>
      </c>
      <c r="C151" s="14">
        <f>(B151-B150)/B150</f>
        <v/>
      </c>
      <c r="D151" s="14">
        <f>(B151-B139)/B139</f>
        <v/>
      </c>
    </row>
    <row r="152">
      <c r="A152" s="61" t="n">
        <v>28946</v>
      </c>
      <c r="B152" s="68">
        <f>VLOOKUP(Table4[[#This Row],[Date]],Database!A:E,3,)</f>
        <v/>
      </c>
      <c r="C152" s="14">
        <f>(B152-B151)/B151</f>
        <v/>
      </c>
      <c r="D152" s="14">
        <f>(B152-B140)/B140</f>
        <v/>
      </c>
    </row>
    <row r="153">
      <c r="A153" s="61" t="n">
        <v>28976</v>
      </c>
      <c r="B153" s="68">
        <f>VLOOKUP(Table4[[#This Row],[Date]],Database!A:E,3,)</f>
        <v/>
      </c>
      <c r="C153" s="14">
        <f>(B153-B152)/B152</f>
        <v/>
      </c>
      <c r="D153" s="14">
        <f>(B153-B141)/B141</f>
        <v/>
      </c>
    </row>
    <row r="154">
      <c r="A154" s="61" t="n">
        <v>29007</v>
      </c>
      <c r="B154" s="68">
        <f>VLOOKUP(Table4[[#This Row],[Date]],Database!A:E,3,)</f>
        <v/>
      </c>
      <c r="C154" s="14">
        <f>(B154-B153)/B153</f>
        <v/>
      </c>
      <c r="D154" s="14">
        <f>(B154-B142)/B142</f>
        <v/>
      </c>
    </row>
    <row r="155">
      <c r="A155" s="61" t="n">
        <v>29037</v>
      </c>
      <c r="B155" s="68">
        <f>VLOOKUP(Table4[[#This Row],[Date]],Database!A:E,3,)</f>
        <v/>
      </c>
      <c r="C155" s="14">
        <f>(B155-B154)/B154</f>
        <v/>
      </c>
      <c r="D155" s="14">
        <f>(B155-B143)/B143</f>
        <v/>
      </c>
    </row>
    <row r="156">
      <c r="A156" s="61" t="n">
        <v>29068</v>
      </c>
      <c r="B156" s="68">
        <f>VLOOKUP(Table4[[#This Row],[Date]],Database!A:E,3,)</f>
        <v/>
      </c>
      <c r="C156" s="14">
        <f>(B156-B155)/B155</f>
        <v/>
      </c>
      <c r="D156" s="14">
        <f>(B156-B144)/B144</f>
        <v/>
      </c>
    </row>
    <row r="157">
      <c r="A157" s="61" t="n">
        <v>29099</v>
      </c>
      <c r="B157" s="68">
        <f>VLOOKUP(Table4[[#This Row],[Date]],Database!A:E,3,)</f>
        <v/>
      </c>
      <c r="C157" s="14">
        <f>(B157-B156)/B156</f>
        <v/>
      </c>
      <c r="D157" s="14">
        <f>(B157-B145)/B145</f>
        <v/>
      </c>
    </row>
    <row r="158">
      <c r="A158" s="61" t="n">
        <v>29129</v>
      </c>
      <c r="B158" s="68">
        <f>VLOOKUP(Table4[[#This Row],[Date]],Database!A:E,3,)</f>
        <v/>
      </c>
      <c r="C158" s="14">
        <f>(B158-B157)/B157</f>
        <v/>
      </c>
      <c r="D158" s="14">
        <f>(B158-B146)/B146</f>
        <v/>
      </c>
    </row>
    <row r="159">
      <c r="A159" s="61" t="n">
        <v>29160</v>
      </c>
      <c r="B159" s="68">
        <f>VLOOKUP(Table4[[#This Row],[Date]],Database!A:E,3,)</f>
        <v/>
      </c>
      <c r="C159" s="14">
        <f>(B159-B158)/B158</f>
        <v/>
      </c>
      <c r="D159" s="14">
        <f>(B159-B147)/B147</f>
        <v/>
      </c>
    </row>
    <row r="160">
      <c r="A160" s="61" t="n">
        <v>29190</v>
      </c>
      <c r="B160" s="68">
        <f>VLOOKUP(Table4[[#This Row],[Date]],Database!A:E,3,)</f>
        <v/>
      </c>
      <c r="C160" s="14">
        <f>(B160-B159)/B159</f>
        <v/>
      </c>
      <c r="D160" s="14">
        <f>(B160-B148)/B148</f>
        <v/>
      </c>
    </row>
    <row r="161">
      <c r="A161" s="61" t="n">
        <v>29221</v>
      </c>
      <c r="B161" s="68">
        <f>VLOOKUP(Table4[[#This Row],[Date]],Database!A:E,3,)</f>
        <v/>
      </c>
      <c r="C161" s="14">
        <f>(B161-B160)/B160</f>
        <v/>
      </c>
      <c r="D161" s="14">
        <f>(B161-B149)/B149</f>
        <v/>
      </c>
    </row>
    <row r="162">
      <c r="A162" s="61" t="n">
        <v>29252</v>
      </c>
      <c r="B162" s="68">
        <f>VLOOKUP(Table4[[#This Row],[Date]],Database!A:E,3,)</f>
        <v/>
      </c>
      <c r="C162" s="14">
        <f>(B162-B161)/B161</f>
        <v/>
      </c>
      <c r="D162" s="14">
        <f>(B162-B150)/B150</f>
        <v/>
      </c>
    </row>
    <row r="163">
      <c r="A163" s="61" t="n">
        <v>29281</v>
      </c>
      <c r="B163" s="68">
        <f>VLOOKUP(Table4[[#This Row],[Date]],Database!A:E,3,)</f>
        <v/>
      </c>
      <c r="C163" s="14">
        <f>(B163-B162)/B162</f>
        <v/>
      </c>
      <c r="D163" s="14">
        <f>(B163-B151)/B151</f>
        <v/>
      </c>
    </row>
    <row r="164">
      <c r="A164" s="61" t="n">
        <v>29312</v>
      </c>
      <c r="B164" s="68">
        <f>VLOOKUP(Table4[[#This Row],[Date]],Database!A:E,3,)</f>
        <v/>
      </c>
      <c r="C164" s="14">
        <f>(B164-B163)/B163</f>
        <v/>
      </c>
      <c r="D164" s="14">
        <f>(B164-B152)/B152</f>
        <v/>
      </c>
    </row>
    <row r="165">
      <c r="A165" s="61" t="n">
        <v>29342</v>
      </c>
      <c r="B165" s="68">
        <f>VLOOKUP(Table4[[#This Row],[Date]],Database!A:E,3,)</f>
        <v/>
      </c>
      <c r="C165" s="14">
        <f>(B165-B164)/B164</f>
        <v/>
      </c>
      <c r="D165" s="14">
        <f>(B165-B153)/B153</f>
        <v/>
      </c>
    </row>
    <row r="166">
      <c r="A166" s="61" t="n">
        <v>29373</v>
      </c>
      <c r="B166" s="68">
        <f>VLOOKUP(Table4[[#This Row],[Date]],Database!A:E,3,)</f>
        <v/>
      </c>
      <c r="C166" s="14">
        <f>(B166-B165)/B165</f>
        <v/>
      </c>
      <c r="D166" s="14">
        <f>(B166-B154)/B154</f>
        <v/>
      </c>
    </row>
    <row r="167">
      <c r="A167" s="61" t="n">
        <v>29403</v>
      </c>
      <c r="B167" s="68">
        <f>VLOOKUP(Table4[[#This Row],[Date]],Database!A:E,3,)</f>
        <v/>
      </c>
      <c r="C167" s="14">
        <f>(B167-B166)/B166</f>
        <v/>
      </c>
      <c r="D167" s="14">
        <f>(B167-B155)/B155</f>
        <v/>
      </c>
    </row>
    <row r="168">
      <c r="A168" s="61" t="n">
        <v>29434</v>
      </c>
      <c r="B168" s="68">
        <f>VLOOKUP(Table4[[#This Row],[Date]],Database!A:E,3,)</f>
        <v/>
      </c>
      <c r="C168" s="14">
        <f>(B168-B167)/B167</f>
        <v/>
      </c>
      <c r="D168" s="14">
        <f>(B168-B156)/B156</f>
        <v/>
      </c>
    </row>
    <row r="169">
      <c r="A169" s="61" t="n">
        <v>29465</v>
      </c>
      <c r="B169" s="68">
        <f>VLOOKUP(Table4[[#This Row],[Date]],Database!A:E,3,)</f>
        <v/>
      </c>
      <c r="C169" s="14">
        <f>(B169-B168)/B168</f>
        <v/>
      </c>
      <c r="D169" s="14">
        <f>(B169-B157)/B157</f>
        <v/>
      </c>
    </row>
    <row r="170">
      <c r="A170" s="61" t="n">
        <v>29495</v>
      </c>
      <c r="B170" s="68">
        <f>VLOOKUP(Table4[[#This Row],[Date]],Database!A:E,3,)</f>
        <v/>
      </c>
      <c r="C170" s="14">
        <f>(B170-B169)/B169</f>
        <v/>
      </c>
      <c r="D170" s="14">
        <f>(B170-B158)/B158</f>
        <v/>
      </c>
    </row>
    <row r="171">
      <c r="A171" s="61" t="n">
        <v>29526</v>
      </c>
      <c r="B171" s="68">
        <f>VLOOKUP(Table4[[#This Row],[Date]],Database!A:E,3,)</f>
        <v/>
      </c>
      <c r="C171" s="14">
        <f>(B171-B170)/B170</f>
        <v/>
      </c>
      <c r="D171" s="14">
        <f>(B171-B159)/B159</f>
        <v/>
      </c>
    </row>
    <row r="172">
      <c r="A172" s="61" t="n">
        <v>29556</v>
      </c>
      <c r="B172" s="68">
        <f>VLOOKUP(Table4[[#This Row],[Date]],Database!A:E,3,)</f>
        <v/>
      </c>
      <c r="C172" s="14">
        <f>(B172-B171)/B171</f>
        <v/>
      </c>
      <c r="D172" s="14">
        <f>(B172-B160)/B160</f>
        <v/>
      </c>
    </row>
    <row r="173">
      <c r="A173" s="61" t="n">
        <v>29587</v>
      </c>
      <c r="B173" s="68">
        <f>VLOOKUP(Table4[[#This Row],[Date]],Database!A:E,3,)</f>
        <v/>
      </c>
      <c r="C173" s="14">
        <f>(B173-B172)/B172</f>
        <v/>
      </c>
      <c r="D173" s="14">
        <f>(B173-B161)/B161</f>
        <v/>
      </c>
    </row>
    <row r="174">
      <c r="A174" s="61" t="n">
        <v>29618</v>
      </c>
      <c r="B174" s="68">
        <f>VLOOKUP(Table4[[#This Row],[Date]],Database!A:E,3,)</f>
        <v/>
      </c>
      <c r="C174" s="14">
        <f>(B174-B173)/B173</f>
        <v/>
      </c>
      <c r="D174" s="14">
        <f>(B174-B162)/B162</f>
        <v/>
      </c>
    </row>
    <row r="175">
      <c r="A175" s="61" t="n">
        <v>29646</v>
      </c>
      <c r="B175" s="68">
        <f>VLOOKUP(Table4[[#This Row],[Date]],Database!A:E,3,)</f>
        <v/>
      </c>
      <c r="C175" s="14">
        <f>(B175-B174)/B174</f>
        <v/>
      </c>
      <c r="D175" s="14">
        <f>(B175-B163)/B163</f>
        <v/>
      </c>
    </row>
    <row r="176">
      <c r="A176" s="61" t="n">
        <v>29677</v>
      </c>
      <c r="B176" s="68">
        <f>VLOOKUP(Table4[[#This Row],[Date]],Database!A:E,3,)</f>
        <v/>
      </c>
      <c r="C176" s="14">
        <f>(B176-B175)/B175</f>
        <v/>
      </c>
      <c r="D176" s="14">
        <f>(B176-B164)/B164</f>
        <v/>
      </c>
    </row>
    <row r="177">
      <c r="A177" s="61" t="n">
        <v>29707</v>
      </c>
      <c r="B177" s="68">
        <f>VLOOKUP(Table4[[#This Row],[Date]],Database!A:E,3,)</f>
        <v/>
      </c>
      <c r="C177" s="14">
        <f>(B177-B176)/B176</f>
        <v/>
      </c>
      <c r="D177" s="14">
        <f>(B177-B165)/B165</f>
        <v/>
      </c>
    </row>
    <row r="178">
      <c r="A178" s="61" t="n">
        <v>29738</v>
      </c>
      <c r="B178" s="68">
        <f>VLOOKUP(Table4[[#This Row],[Date]],Database!A:E,3,)</f>
        <v/>
      </c>
      <c r="C178" s="14">
        <f>(B178-B177)/B177</f>
        <v/>
      </c>
      <c r="D178" s="14">
        <f>(B178-B166)/B166</f>
        <v/>
      </c>
    </row>
    <row r="179">
      <c r="A179" s="61" t="n">
        <v>29768</v>
      </c>
      <c r="B179" s="68">
        <f>VLOOKUP(Table4[[#This Row],[Date]],Database!A:E,3,)</f>
        <v/>
      </c>
      <c r="C179" s="14">
        <f>(B179-B178)/B178</f>
        <v/>
      </c>
      <c r="D179" s="14">
        <f>(B179-B167)/B167</f>
        <v/>
      </c>
    </row>
    <row r="180">
      <c r="A180" s="61" t="n">
        <v>29799</v>
      </c>
      <c r="B180" s="68">
        <f>VLOOKUP(Table4[[#This Row],[Date]],Database!A:E,3,)</f>
        <v/>
      </c>
      <c r="C180" s="14">
        <f>(B180-B179)/B179</f>
        <v/>
      </c>
      <c r="D180" s="14">
        <f>(B180-B168)/B168</f>
        <v/>
      </c>
    </row>
    <row r="181">
      <c r="A181" s="61" t="n">
        <v>29830</v>
      </c>
      <c r="B181" s="68">
        <f>VLOOKUP(Table4[[#This Row],[Date]],Database!A:E,3,)</f>
        <v/>
      </c>
      <c r="C181" s="14">
        <f>(B181-B180)/B180</f>
        <v/>
      </c>
      <c r="D181" s="14">
        <f>(B181-B169)/B169</f>
        <v/>
      </c>
    </row>
    <row r="182">
      <c r="A182" s="61" t="n">
        <v>29860</v>
      </c>
      <c r="B182" s="68">
        <f>VLOOKUP(Table4[[#This Row],[Date]],Database!A:E,3,)</f>
        <v/>
      </c>
      <c r="C182" s="14">
        <f>(B182-B181)/B181</f>
        <v/>
      </c>
      <c r="D182" s="14">
        <f>(B182-B170)/B170</f>
        <v/>
      </c>
    </row>
    <row r="183">
      <c r="A183" s="61" t="n">
        <v>29891</v>
      </c>
      <c r="B183" s="68">
        <f>VLOOKUP(Table4[[#This Row],[Date]],Database!A:E,3,)</f>
        <v/>
      </c>
      <c r="C183" s="14">
        <f>(B183-B182)/B182</f>
        <v/>
      </c>
      <c r="D183" s="14">
        <f>(B183-B171)/B171</f>
        <v/>
      </c>
    </row>
    <row r="184">
      <c r="A184" s="61" t="n">
        <v>29921</v>
      </c>
      <c r="B184" s="68">
        <f>VLOOKUP(Table4[[#This Row],[Date]],Database!A:E,3,)</f>
        <v/>
      </c>
      <c r="C184" s="14">
        <f>(B184-B183)/B183</f>
        <v/>
      </c>
      <c r="D184" s="14">
        <f>(B184-B172)/B172</f>
        <v/>
      </c>
    </row>
    <row r="185">
      <c r="A185" s="61" t="n">
        <v>29952</v>
      </c>
      <c r="B185" s="68">
        <f>VLOOKUP(Table4[[#This Row],[Date]],Database!A:E,3,)</f>
        <v/>
      </c>
      <c r="C185" s="14">
        <f>(B185-B184)/B184</f>
        <v/>
      </c>
      <c r="D185" s="14">
        <f>(B185-B173)/B173</f>
        <v/>
      </c>
    </row>
    <row r="186">
      <c r="A186" s="61" t="n">
        <v>29983</v>
      </c>
      <c r="B186" s="68">
        <f>VLOOKUP(Table4[[#This Row],[Date]],Database!A:E,3,)</f>
        <v/>
      </c>
      <c r="C186" s="14">
        <f>(B186-B185)/B185</f>
        <v/>
      </c>
      <c r="D186" s="14">
        <f>(B186-B174)/B174</f>
        <v/>
      </c>
    </row>
    <row r="187">
      <c r="A187" s="61" t="n">
        <v>30011</v>
      </c>
      <c r="B187" s="68">
        <f>VLOOKUP(Table4[[#This Row],[Date]],Database!A:E,3,)</f>
        <v/>
      </c>
      <c r="C187" s="14">
        <f>(B187-B186)/B186</f>
        <v/>
      </c>
      <c r="D187" s="14">
        <f>(B187-B175)/B175</f>
        <v/>
      </c>
    </row>
    <row r="188">
      <c r="A188" s="61" t="n">
        <v>30042</v>
      </c>
      <c r="B188" s="68">
        <f>VLOOKUP(Table4[[#This Row],[Date]],Database!A:E,3,)</f>
        <v/>
      </c>
      <c r="C188" s="14">
        <f>(B188-B187)/B187</f>
        <v/>
      </c>
      <c r="D188" s="14">
        <f>(B188-B176)/B176</f>
        <v/>
      </c>
    </row>
    <row r="189">
      <c r="A189" s="61" t="n">
        <v>30072</v>
      </c>
      <c r="B189" s="68">
        <f>VLOOKUP(Table4[[#This Row],[Date]],Database!A:E,3,)</f>
        <v/>
      </c>
      <c r="C189" s="14">
        <f>(B189-B188)/B188</f>
        <v/>
      </c>
      <c r="D189" s="14">
        <f>(B189-B177)/B177</f>
        <v/>
      </c>
    </row>
    <row r="190">
      <c r="A190" s="61" t="n">
        <v>30103</v>
      </c>
      <c r="B190" s="68">
        <f>VLOOKUP(Table4[[#This Row],[Date]],Database!A:E,3,)</f>
        <v/>
      </c>
      <c r="C190" s="14">
        <f>(B190-B189)/B189</f>
        <v/>
      </c>
      <c r="D190" s="14">
        <f>(B190-B178)/B178</f>
        <v/>
      </c>
    </row>
    <row r="191">
      <c r="A191" s="61" t="n">
        <v>30133</v>
      </c>
      <c r="B191" s="68">
        <f>VLOOKUP(Table4[[#This Row],[Date]],Database!A:E,3,)</f>
        <v/>
      </c>
      <c r="C191" s="14">
        <f>(B191-B190)/B190</f>
        <v/>
      </c>
      <c r="D191" s="14">
        <f>(B191-B179)/B179</f>
        <v/>
      </c>
    </row>
    <row r="192">
      <c r="A192" s="61" t="n">
        <v>30164</v>
      </c>
      <c r="B192" s="68">
        <f>VLOOKUP(Table4[[#This Row],[Date]],Database!A:E,3,)</f>
        <v/>
      </c>
      <c r="C192" s="14">
        <f>(B192-B191)/B191</f>
        <v/>
      </c>
      <c r="D192" s="14">
        <f>(B192-B180)/B180</f>
        <v/>
      </c>
    </row>
    <row r="193">
      <c r="A193" s="61" t="n">
        <v>30195</v>
      </c>
      <c r="B193" s="68">
        <f>VLOOKUP(Table4[[#This Row],[Date]],Database!A:E,3,)</f>
        <v/>
      </c>
      <c r="C193" s="14">
        <f>(B193-B192)/B192</f>
        <v/>
      </c>
      <c r="D193" s="14">
        <f>(B193-B181)/B181</f>
        <v/>
      </c>
    </row>
    <row r="194">
      <c r="A194" s="61" t="n">
        <v>30225</v>
      </c>
      <c r="B194" s="68">
        <f>VLOOKUP(Table4[[#This Row],[Date]],Database!A:E,3,)</f>
        <v/>
      </c>
      <c r="C194" s="14">
        <f>(B194-B193)/B193</f>
        <v/>
      </c>
      <c r="D194" s="14">
        <f>(B194-B182)/B182</f>
        <v/>
      </c>
    </row>
    <row r="195">
      <c r="A195" s="61" t="n">
        <v>30256</v>
      </c>
      <c r="B195" s="68">
        <f>VLOOKUP(Table4[[#This Row],[Date]],Database!A:E,3,)</f>
        <v/>
      </c>
      <c r="C195" s="14">
        <f>(B195-B194)/B194</f>
        <v/>
      </c>
      <c r="D195" s="14">
        <f>(B195-B183)/B183</f>
        <v/>
      </c>
    </row>
    <row r="196">
      <c r="A196" s="61" t="n">
        <v>30286</v>
      </c>
      <c r="B196" s="68">
        <f>VLOOKUP(Table4[[#This Row],[Date]],Database!A:E,3,)</f>
        <v/>
      </c>
      <c r="C196" s="14">
        <f>(B196-B195)/B195</f>
        <v/>
      </c>
      <c r="D196" s="14">
        <f>(B196-B184)/B184</f>
        <v/>
      </c>
    </row>
    <row r="197">
      <c r="A197" s="61" t="n">
        <v>30317</v>
      </c>
      <c r="B197" s="68">
        <f>VLOOKUP(Table4[[#This Row],[Date]],Database!A:E,3,)</f>
        <v/>
      </c>
      <c r="C197" s="14">
        <f>(B197-B196)/B196</f>
        <v/>
      </c>
      <c r="D197" s="14">
        <f>(B197-B185)/B185</f>
        <v/>
      </c>
    </row>
    <row r="198">
      <c r="A198" s="61" t="n">
        <v>30348</v>
      </c>
      <c r="B198" s="68">
        <f>VLOOKUP(Table4[[#This Row],[Date]],Database!A:E,3,)</f>
        <v/>
      </c>
      <c r="C198" s="14">
        <f>(B198-B197)/B197</f>
        <v/>
      </c>
      <c r="D198" s="14">
        <f>(B198-B186)/B186</f>
        <v/>
      </c>
    </row>
    <row r="199">
      <c r="A199" s="61" t="n">
        <v>30376</v>
      </c>
      <c r="B199" s="68">
        <f>VLOOKUP(Table4[[#This Row],[Date]],Database!A:E,3,)</f>
        <v/>
      </c>
      <c r="C199" s="14">
        <f>(B199-B198)/B198</f>
        <v/>
      </c>
      <c r="D199" s="14">
        <f>(B199-B187)/B187</f>
        <v/>
      </c>
    </row>
    <row r="200">
      <c r="A200" s="61" t="n">
        <v>30407</v>
      </c>
      <c r="B200" s="68">
        <f>VLOOKUP(Table4[[#This Row],[Date]],Database!A:E,3,)</f>
        <v/>
      </c>
      <c r="C200" s="14">
        <f>(B200-B199)/B199</f>
        <v/>
      </c>
      <c r="D200" s="14">
        <f>(B200-B188)/B188</f>
        <v/>
      </c>
    </row>
    <row r="201">
      <c r="A201" s="61" t="n">
        <v>30437</v>
      </c>
      <c r="B201" s="68">
        <f>VLOOKUP(Table4[[#This Row],[Date]],Database!A:E,3,)</f>
        <v/>
      </c>
      <c r="C201" s="14">
        <f>(B201-B200)/B200</f>
        <v/>
      </c>
      <c r="D201" s="14">
        <f>(B201-B189)/B189</f>
        <v/>
      </c>
    </row>
    <row r="202">
      <c r="A202" s="61" t="n">
        <v>30468</v>
      </c>
      <c r="B202" s="68">
        <f>VLOOKUP(Table4[[#This Row],[Date]],Database!A:E,3,)</f>
        <v/>
      </c>
      <c r="C202" s="14">
        <f>(B202-B201)/B201</f>
        <v/>
      </c>
      <c r="D202" s="14">
        <f>(B202-B190)/B190</f>
        <v/>
      </c>
    </row>
    <row r="203">
      <c r="A203" s="61" t="n">
        <v>30498</v>
      </c>
      <c r="B203" s="68">
        <f>VLOOKUP(Table4[[#This Row],[Date]],Database!A:E,3,)</f>
        <v/>
      </c>
      <c r="C203" s="14">
        <f>(B203-B202)/B202</f>
        <v/>
      </c>
      <c r="D203" s="14">
        <f>(B203-B191)/B191</f>
        <v/>
      </c>
    </row>
    <row r="204">
      <c r="A204" s="61" t="n">
        <v>30529</v>
      </c>
      <c r="B204" s="68">
        <f>VLOOKUP(Table4[[#This Row],[Date]],Database!A:E,3,)</f>
        <v/>
      </c>
      <c r="C204" s="14">
        <f>(B204-B203)/B203</f>
        <v/>
      </c>
      <c r="D204" s="14">
        <f>(B204-B192)/B192</f>
        <v/>
      </c>
    </row>
    <row r="205">
      <c r="A205" s="61" t="n">
        <v>30560</v>
      </c>
      <c r="B205" s="68">
        <f>VLOOKUP(Table4[[#This Row],[Date]],Database!A:E,3,)</f>
        <v/>
      </c>
      <c r="C205" s="14">
        <f>(B205-B204)/B204</f>
        <v/>
      </c>
      <c r="D205" s="14">
        <f>(B205-B193)/B193</f>
        <v/>
      </c>
    </row>
    <row r="206">
      <c r="A206" s="61" t="n">
        <v>30590</v>
      </c>
      <c r="B206" s="68">
        <f>VLOOKUP(Table4[[#This Row],[Date]],Database!A:E,3,)</f>
        <v/>
      </c>
      <c r="C206" s="14">
        <f>(B206-B205)/B205</f>
        <v/>
      </c>
      <c r="D206" s="14">
        <f>(B206-B194)/B194</f>
        <v/>
      </c>
    </row>
    <row r="207">
      <c r="A207" s="61" t="n">
        <v>30621</v>
      </c>
      <c r="B207" s="68">
        <f>VLOOKUP(Table4[[#This Row],[Date]],Database!A:E,3,)</f>
        <v/>
      </c>
      <c r="C207" s="14">
        <f>(B207-B206)/B206</f>
        <v/>
      </c>
      <c r="D207" s="14">
        <f>(B207-B195)/B195</f>
        <v/>
      </c>
    </row>
    <row r="208">
      <c r="A208" s="61" t="n">
        <v>30651</v>
      </c>
      <c r="B208" s="68">
        <f>VLOOKUP(Table4[[#This Row],[Date]],Database!A:E,3,)</f>
        <v/>
      </c>
      <c r="C208" s="14">
        <f>(B208-B207)/B207</f>
        <v/>
      </c>
      <c r="D208" s="14">
        <f>(B208-B196)/B196</f>
        <v/>
      </c>
    </row>
    <row r="209">
      <c r="A209" s="61" t="n">
        <v>30682</v>
      </c>
      <c r="B209" s="68">
        <f>VLOOKUP(Table4[[#This Row],[Date]],Database!A:E,3,)</f>
        <v/>
      </c>
      <c r="C209" s="14">
        <f>(B209-B208)/B208</f>
        <v/>
      </c>
      <c r="D209" s="14">
        <f>(B209-B197)/B197</f>
        <v/>
      </c>
    </row>
    <row r="210">
      <c r="A210" s="61" t="n">
        <v>30713</v>
      </c>
      <c r="B210" s="68">
        <f>VLOOKUP(Table4[[#This Row],[Date]],Database!A:E,3,)</f>
        <v/>
      </c>
      <c r="C210" s="14">
        <f>(B210-B209)/B209</f>
        <v/>
      </c>
      <c r="D210" s="14">
        <f>(B210-B198)/B198</f>
        <v/>
      </c>
    </row>
    <row r="211">
      <c r="A211" s="61" t="n">
        <v>30742</v>
      </c>
      <c r="B211" s="68">
        <f>VLOOKUP(Table4[[#This Row],[Date]],Database!A:E,3,)</f>
        <v/>
      </c>
      <c r="C211" s="14">
        <f>(B211-B210)/B210</f>
        <v/>
      </c>
      <c r="D211" s="14">
        <f>(B211-B199)/B199</f>
        <v/>
      </c>
    </row>
    <row r="212">
      <c r="A212" s="61" t="n">
        <v>30773</v>
      </c>
      <c r="B212" s="68">
        <f>VLOOKUP(Table4[[#This Row],[Date]],Database!A:E,3,)</f>
        <v/>
      </c>
      <c r="C212" s="14">
        <f>(B212-B211)/B211</f>
        <v/>
      </c>
      <c r="D212" s="14">
        <f>(B212-B200)/B200</f>
        <v/>
      </c>
    </row>
    <row r="213">
      <c r="A213" s="61" t="n">
        <v>30803</v>
      </c>
      <c r="B213" s="68">
        <f>VLOOKUP(Table4[[#This Row],[Date]],Database!A:E,3,)</f>
        <v/>
      </c>
      <c r="C213" s="14">
        <f>(B213-B212)/B212</f>
        <v/>
      </c>
      <c r="D213" s="14">
        <f>(B213-B201)/B201</f>
        <v/>
      </c>
    </row>
    <row r="214">
      <c r="A214" s="61" t="n">
        <v>30834</v>
      </c>
      <c r="B214" s="68">
        <f>VLOOKUP(Table4[[#This Row],[Date]],Database!A:E,3,)</f>
        <v/>
      </c>
      <c r="C214" s="14">
        <f>(B214-B213)/B213</f>
        <v/>
      </c>
      <c r="D214" s="14">
        <f>(B214-B202)/B202</f>
        <v/>
      </c>
    </row>
    <row r="215">
      <c r="A215" s="61" t="n">
        <v>30864</v>
      </c>
      <c r="B215" s="68">
        <f>VLOOKUP(Table4[[#This Row],[Date]],Database!A:E,3,)</f>
        <v/>
      </c>
      <c r="C215" s="14">
        <f>(B215-B214)/B214</f>
        <v/>
      </c>
      <c r="D215" s="14">
        <f>(B215-B203)/B203</f>
        <v/>
      </c>
    </row>
    <row r="216">
      <c r="A216" s="61" t="n">
        <v>30895</v>
      </c>
      <c r="B216" s="68">
        <f>VLOOKUP(Table4[[#This Row],[Date]],Database!A:E,3,)</f>
        <v/>
      </c>
      <c r="C216" s="14">
        <f>(B216-B215)/B215</f>
        <v/>
      </c>
      <c r="D216" s="14">
        <f>(B216-B204)/B204</f>
        <v/>
      </c>
    </row>
    <row r="217">
      <c r="A217" s="61" t="n">
        <v>30926</v>
      </c>
      <c r="B217" s="68">
        <f>VLOOKUP(Table4[[#This Row],[Date]],Database!A:E,3,)</f>
        <v/>
      </c>
      <c r="C217" s="14">
        <f>(B217-B216)/B216</f>
        <v/>
      </c>
      <c r="D217" s="14">
        <f>(B217-B205)/B205</f>
        <v/>
      </c>
    </row>
    <row r="218">
      <c r="A218" s="61" t="n">
        <v>30956</v>
      </c>
      <c r="B218" s="68">
        <f>VLOOKUP(Table4[[#This Row],[Date]],Database!A:E,3,)</f>
        <v/>
      </c>
      <c r="C218" s="14">
        <f>(B218-B217)/B217</f>
        <v/>
      </c>
      <c r="D218" s="14">
        <f>(B218-B206)/B206</f>
        <v/>
      </c>
    </row>
    <row r="219">
      <c r="A219" s="61" t="n">
        <v>30987</v>
      </c>
      <c r="B219" s="68">
        <f>VLOOKUP(Table4[[#This Row],[Date]],Database!A:E,3,)</f>
        <v/>
      </c>
      <c r="C219" s="14">
        <f>(B219-B218)/B218</f>
        <v/>
      </c>
      <c r="D219" s="14">
        <f>(B219-B207)/B207</f>
        <v/>
      </c>
    </row>
    <row r="220">
      <c r="A220" s="61" t="n">
        <v>31017</v>
      </c>
      <c r="B220" s="68">
        <f>VLOOKUP(Table4[[#This Row],[Date]],Database!A:E,3,)</f>
        <v/>
      </c>
      <c r="C220" s="14">
        <f>(B220-B219)/B219</f>
        <v/>
      </c>
      <c r="D220" s="14">
        <f>(B220-B208)/B208</f>
        <v/>
      </c>
    </row>
    <row r="221">
      <c r="A221" s="61" t="n">
        <v>31048</v>
      </c>
      <c r="B221" s="68">
        <f>VLOOKUP(Table4[[#This Row],[Date]],Database!A:E,3,)</f>
        <v/>
      </c>
      <c r="C221" s="14">
        <f>(B221-B220)/B220</f>
        <v/>
      </c>
      <c r="D221" s="14">
        <f>(B221-B209)/B209</f>
        <v/>
      </c>
    </row>
    <row r="222">
      <c r="A222" s="61" t="n">
        <v>31079</v>
      </c>
      <c r="B222" s="68">
        <f>VLOOKUP(Table4[[#This Row],[Date]],Database!A:E,3,)</f>
        <v/>
      </c>
      <c r="C222" s="14">
        <f>(B222-B221)/B221</f>
        <v/>
      </c>
      <c r="D222" s="14">
        <f>(B222-B210)/B210</f>
        <v/>
      </c>
    </row>
    <row r="223">
      <c r="A223" s="61" t="n">
        <v>31107</v>
      </c>
      <c r="B223" s="68">
        <f>VLOOKUP(Table4[[#This Row],[Date]],Database!A:E,3,)</f>
        <v/>
      </c>
      <c r="C223" s="14">
        <f>(B223-B222)/B222</f>
        <v/>
      </c>
      <c r="D223" s="14">
        <f>(B223-B211)/B211</f>
        <v/>
      </c>
    </row>
    <row r="224">
      <c r="A224" s="61" t="n">
        <v>31138</v>
      </c>
      <c r="B224" s="68">
        <f>VLOOKUP(Table4[[#This Row],[Date]],Database!A:E,3,)</f>
        <v/>
      </c>
      <c r="C224" s="14">
        <f>(B224-B223)/B223</f>
        <v/>
      </c>
      <c r="D224" s="14">
        <f>(B224-B212)/B212</f>
        <v/>
      </c>
    </row>
    <row r="225">
      <c r="A225" s="61" t="n">
        <v>31168</v>
      </c>
      <c r="B225" s="68">
        <f>VLOOKUP(Table4[[#This Row],[Date]],Database!A:E,3,)</f>
        <v/>
      </c>
      <c r="C225" s="14">
        <f>(B225-B224)/B224</f>
        <v/>
      </c>
      <c r="D225" s="14">
        <f>(B225-B213)/B213</f>
        <v/>
      </c>
    </row>
    <row r="226">
      <c r="A226" s="61" t="n">
        <v>31199</v>
      </c>
      <c r="B226" s="68">
        <f>VLOOKUP(Table4[[#This Row],[Date]],Database!A:E,3,)</f>
        <v/>
      </c>
      <c r="C226" s="14">
        <f>(B226-B225)/B225</f>
        <v/>
      </c>
      <c r="D226" s="14">
        <f>(B226-B214)/B214</f>
        <v/>
      </c>
    </row>
    <row r="227">
      <c r="A227" s="61" t="n">
        <v>31229</v>
      </c>
      <c r="B227" s="68">
        <f>VLOOKUP(Table4[[#This Row],[Date]],Database!A:E,3,)</f>
        <v/>
      </c>
      <c r="C227" s="14">
        <f>(B227-B226)/B226</f>
        <v/>
      </c>
      <c r="D227" s="14">
        <f>(B227-B215)/B215</f>
        <v/>
      </c>
    </row>
    <row r="228">
      <c r="A228" s="61" t="n">
        <v>31260</v>
      </c>
      <c r="B228" s="68">
        <f>VLOOKUP(Table4[[#This Row],[Date]],Database!A:E,3,)</f>
        <v/>
      </c>
      <c r="C228" s="14">
        <f>(B228-B227)/B227</f>
        <v/>
      </c>
      <c r="D228" s="14">
        <f>(B228-B216)/B216</f>
        <v/>
      </c>
    </row>
    <row r="229">
      <c r="A229" s="61" t="n">
        <v>31291</v>
      </c>
      <c r="B229" s="68">
        <f>VLOOKUP(Table4[[#This Row],[Date]],Database!A:E,3,)</f>
        <v/>
      </c>
      <c r="C229" s="14">
        <f>(B229-B228)/B228</f>
        <v/>
      </c>
      <c r="D229" s="14">
        <f>(B229-B217)/B217</f>
        <v/>
      </c>
    </row>
    <row r="230">
      <c r="A230" s="61" t="n">
        <v>31321</v>
      </c>
      <c r="B230" s="68">
        <f>VLOOKUP(Table4[[#This Row],[Date]],Database!A:E,3,)</f>
        <v/>
      </c>
      <c r="C230" s="14">
        <f>(B230-B229)/B229</f>
        <v/>
      </c>
      <c r="D230" s="14">
        <f>(B230-B218)/B218</f>
        <v/>
      </c>
    </row>
    <row r="231">
      <c r="A231" s="61" t="n">
        <v>31352</v>
      </c>
      <c r="B231" s="68">
        <f>VLOOKUP(Table4[[#This Row],[Date]],Database!A:E,3,)</f>
        <v/>
      </c>
      <c r="C231" s="14">
        <f>(B231-B230)/B230</f>
        <v/>
      </c>
      <c r="D231" s="14">
        <f>(B231-B219)/B219</f>
        <v/>
      </c>
    </row>
    <row r="232">
      <c r="A232" s="61" t="n">
        <v>31382</v>
      </c>
      <c r="B232" s="68">
        <f>VLOOKUP(Table4[[#This Row],[Date]],Database!A:E,3,)</f>
        <v/>
      </c>
      <c r="C232" s="14">
        <f>(B232-B231)/B231</f>
        <v/>
      </c>
      <c r="D232" s="14">
        <f>(B232-B220)/B220</f>
        <v/>
      </c>
    </row>
    <row r="233">
      <c r="A233" s="61" t="n">
        <v>31413</v>
      </c>
      <c r="B233" s="68">
        <f>VLOOKUP(Table4[[#This Row],[Date]],Database!A:E,3,)</f>
        <v/>
      </c>
      <c r="C233" s="14">
        <f>(B233-B232)/B232</f>
        <v/>
      </c>
      <c r="D233" s="14">
        <f>(B233-B221)/B221</f>
        <v/>
      </c>
    </row>
    <row r="234">
      <c r="A234" s="61" t="n">
        <v>31444</v>
      </c>
      <c r="B234" s="68">
        <f>VLOOKUP(Table4[[#This Row],[Date]],Database!A:E,3,)</f>
        <v/>
      </c>
      <c r="C234" s="14">
        <f>(B234-B233)/B233</f>
        <v/>
      </c>
      <c r="D234" s="14">
        <f>(B234-B222)/B222</f>
        <v/>
      </c>
    </row>
    <row r="235">
      <c r="A235" s="61" t="n">
        <v>31472</v>
      </c>
      <c r="B235" s="68">
        <f>VLOOKUP(Table4[[#This Row],[Date]],Database!A:E,3,)</f>
        <v/>
      </c>
      <c r="C235" s="14">
        <f>(B235-B234)/B234</f>
        <v/>
      </c>
      <c r="D235" s="14">
        <f>(B235-B223)/B223</f>
        <v/>
      </c>
    </row>
    <row r="236">
      <c r="A236" s="61" t="n">
        <v>31503</v>
      </c>
      <c r="B236" s="68">
        <f>VLOOKUP(Table4[[#This Row],[Date]],Database!A:E,3,)</f>
        <v/>
      </c>
      <c r="C236" s="14">
        <f>(B236-B235)/B235</f>
        <v/>
      </c>
      <c r="D236" s="14">
        <f>(B236-B224)/B224</f>
        <v/>
      </c>
    </row>
    <row r="237">
      <c r="A237" s="61" t="n">
        <v>31533</v>
      </c>
      <c r="B237" s="68">
        <f>VLOOKUP(Table4[[#This Row],[Date]],Database!A:E,3,)</f>
        <v/>
      </c>
      <c r="C237" s="14">
        <f>(B237-B236)/B236</f>
        <v/>
      </c>
      <c r="D237" s="14">
        <f>(B237-B225)/B225</f>
        <v/>
      </c>
    </row>
    <row r="238">
      <c r="A238" s="61" t="n">
        <v>31564</v>
      </c>
      <c r="B238" s="68">
        <f>VLOOKUP(Table4[[#This Row],[Date]],Database!A:E,3,)</f>
        <v/>
      </c>
      <c r="C238" s="14">
        <f>(B238-B237)/B237</f>
        <v/>
      </c>
      <c r="D238" s="14">
        <f>(B238-B226)/B226</f>
        <v/>
      </c>
    </row>
    <row r="239">
      <c r="A239" s="61" t="n">
        <v>31594</v>
      </c>
      <c r="B239" s="68">
        <f>VLOOKUP(Table4[[#This Row],[Date]],Database!A:E,3,)</f>
        <v/>
      </c>
      <c r="C239" s="14">
        <f>(B239-B238)/B238</f>
        <v/>
      </c>
      <c r="D239" s="14">
        <f>(B239-B227)/B227</f>
        <v/>
      </c>
    </row>
    <row r="240">
      <c r="A240" s="61" t="n">
        <v>31625</v>
      </c>
      <c r="B240" s="68">
        <f>VLOOKUP(Table4[[#This Row],[Date]],Database!A:E,3,)</f>
        <v/>
      </c>
      <c r="C240" s="14">
        <f>(B240-B239)/B239</f>
        <v/>
      </c>
      <c r="D240" s="14">
        <f>(B240-B228)/B228</f>
        <v/>
      </c>
    </row>
    <row r="241">
      <c r="A241" s="61" t="n">
        <v>31656</v>
      </c>
      <c r="B241" s="68">
        <f>VLOOKUP(Table4[[#This Row],[Date]],Database!A:E,3,)</f>
        <v/>
      </c>
      <c r="C241" s="14">
        <f>(B241-B240)/B240</f>
        <v/>
      </c>
      <c r="D241" s="14">
        <f>(B241-B229)/B229</f>
        <v/>
      </c>
    </row>
    <row r="242">
      <c r="A242" s="61" t="n">
        <v>31686</v>
      </c>
      <c r="B242" s="68">
        <f>VLOOKUP(Table4[[#This Row],[Date]],Database!A:E,3,)</f>
        <v/>
      </c>
      <c r="C242" s="14">
        <f>(B242-B241)/B241</f>
        <v/>
      </c>
      <c r="D242" s="14">
        <f>(B242-B230)/B230</f>
        <v/>
      </c>
    </row>
    <row r="243">
      <c r="A243" s="61" t="n">
        <v>31717</v>
      </c>
      <c r="B243" s="68">
        <f>VLOOKUP(Table4[[#This Row],[Date]],Database!A:E,3,)</f>
        <v/>
      </c>
      <c r="C243" s="14">
        <f>(B243-B242)/B242</f>
        <v/>
      </c>
      <c r="D243" s="14">
        <f>(B243-B231)/B231</f>
        <v/>
      </c>
    </row>
    <row r="244">
      <c r="A244" s="61" t="n">
        <v>31747</v>
      </c>
      <c r="B244" s="68">
        <f>VLOOKUP(Table4[[#This Row],[Date]],Database!A:E,3,)</f>
        <v/>
      </c>
      <c r="C244" s="14">
        <f>(B244-B243)/B243</f>
        <v/>
      </c>
      <c r="D244" s="14">
        <f>(B244-B232)/B232</f>
        <v/>
      </c>
    </row>
    <row r="245">
      <c r="A245" s="61" t="n">
        <v>31778</v>
      </c>
      <c r="B245" s="68">
        <f>VLOOKUP(Table4[[#This Row],[Date]],Database!A:E,3,)</f>
        <v/>
      </c>
      <c r="C245" s="14">
        <f>(B245-B244)/B244</f>
        <v/>
      </c>
      <c r="D245" s="14">
        <f>(B245-B233)/B233</f>
        <v/>
      </c>
    </row>
    <row r="246">
      <c r="A246" s="61" t="n">
        <v>31809</v>
      </c>
      <c r="B246" s="68">
        <f>VLOOKUP(Table4[[#This Row],[Date]],Database!A:E,3,)</f>
        <v/>
      </c>
      <c r="C246" s="14">
        <f>(B246-B245)/B245</f>
        <v/>
      </c>
      <c r="D246" s="14">
        <f>(B246-B234)/B234</f>
        <v/>
      </c>
    </row>
    <row r="247">
      <c r="A247" s="61" t="n">
        <v>31837</v>
      </c>
      <c r="B247" s="68">
        <f>VLOOKUP(Table4[[#This Row],[Date]],Database!A:E,3,)</f>
        <v/>
      </c>
      <c r="C247" s="14">
        <f>(B247-B246)/B246</f>
        <v/>
      </c>
      <c r="D247" s="14">
        <f>(B247-B235)/B235</f>
        <v/>
      </c>
    </row>
    <row r="248">
      <c r="A248" s="61" t="n">
        <v>31868</v>
      </c>
      <c r="B248" s="68">
        <f>VLOOKUP(Table4[[#This Row],[Date]],Database!A:E,3,)</f>
        <v/>
      </c>
      <c r="C248" s="14">
        <f>(B248-B247)/B247</f>
        <v/>
      </c>
      <c r="D248" s="14">
        <f>(B248-B236)/B236</f>
        <v/>
      </c>
    </row>
    <row r="249">
      <c r="A249" s="61" t="n">
        <v>31898</v>
      </c>
      <c r="B249" s="68">
        <f>VLOOKUP(Table4[[#This Row],[Date]],Database!A:E,3,)</f>
        <v/>
      </c>
      <c r="C249" s="14">
        <f>(B249-B248)/B248</f>
        <v/>
      </c>
      <c r="D249" s="14">
        <f>(B249-B237)/B237</f>
        <v/>
      </c>
    </row>
    <row r="250">
      <c r="A250" s="61" t="n">
        <v>31929</v>
      </c>
      <c r="B250" s="68">
        <f>VLOOKUP(Table4[[#This Row],[Date]],Database!A:E,3,)</f>
        <v/>
      </c>
      <c r="C250" s="14">
        <f>(B250-B249)/B249</f>
        <v/>
      </c>
      <c r="D250" s="14">
        <f>(B250-B238)/B238</f>
        <v/>
      </c>
    </row>
    <row r="251">
      <c r="A251" s="61" t="n">
        <v>31959</v>
      </c>
      <c r="B251" s="68">
        <f>VLOOKUP(Table4[[#This Row],[Date]],Database!A:E,3,)</f>
        <v/>
      </c>
      <c r="C251" s="14">
        <f>(B251-B250)/B250</f>
        <v/>
      </c>
      <c r="D251" s="14">
        <f>(B251-B239)/B239</f>
        <v/>
      </c>
    </row>
    <row r="252">
      <c r="A252" s="61" t="n">
        <v>31990</v>
      </c>
      <c r="B252" s="68">
        <f>VLOOKUP(Table4[[#This Row],[Date]],Database!A:E,3,)</f>
        <v/>
      </c>
      <c r="C252" s="14">
        <f>(B252-B251)/B251</f>
        <v/>
      </c>
      <c r="D252" s="14">
        <f>(B252-B240)/B240</f>
        <v/>
      </c>
    </row>
    <row r="253">
      <c r="A253" s="61" t="n">
        <v>32021</v>
      </c>
      <c r="B253" s="68">
        <f>VLOOKUP(Table4[[#This Row],[Date]],Database!A:E,3,)</f>
        <v/>
      </c>
      <c r="C253" s="14">
        <f>(B253-B252)/B252</f>
        <v/>
      </c>
      <c r="D253" s="14">
        <f>(B253-B241)/B241</f>
        <v/>
      </c>
    </row>
    <row r="254">
      <c r="A254" s="61" t="n">
        <v>32051</v>
      </c>
      <c r="B254" s="68">
        <f>VLOOKUP(Table4[[#This Row],[Date]],Database!A:E,3,)</f>
        <v/>
      </c>
      <c r="C254" s="14">
        <f>(B254-B253)/B253</f>
        <v/>
      </c>
      <c r="D254" s="14">
        <f>(B254-B242)/B242</f>
        <v/>
      </c>
    </row>
    <row r="255">
      <c r="A255" s="61" t="n">
        <v>32082</v>
      </c>
      <c r="B255" s="68">
        <f>VLOOKUP(Table4[[#This Row],[Date]],Database!A:E,3,)</f>
        <v/>
      </c>
      <c r="C255" s="14">
        <f>(B255-B254)/B254</f>
        <v/>
      </c>
      <c r="D255" s="14">
        <f>(B255-B243)/B243</f>
        <v/>
      </c>
    </row>
    <row r="256">
      <c r="A256" s="61" t="n">
        <v>32112</v>
      </c>
      <c r="B256" s="68">
        <f>VLOOKUP(Table4[[#This Row],[Date]],Database!A:E,3,)</f>
        <v/>
      </c>
      <c r="C256" s="14">
        <f>(B256-B255)/B255</f>
        <v/>
      </c>
      <c r="D256" s="14">
        <f>(B256-B244)/B244</f>
        <v/>
      </c>
    </row>
    <row r="257">
      <c r="A257" s="61" t="n">
        <v>32143</v>
      </c>
      <c r="B257" s="68">
        <f>VLOOKUP(Table4[[#This Row],[Date]],Database!A:E,3,)</f>
        <v/>
      </c>
      <c r="C257" s="14">
        <f>(B257-B256)/B256</f>
        <v/>
      </c>
      <c r="D257" s="14">
        <f>(B257-B245)/B245</f>
        <v/>
      </c>
    </row>
    <row r="258">
      <c r="A258" s="61" t="n">
        <v>32174</v>
      </c>
      <c r="B258" s="68">
        <f>VLOOKUP(Table4[[#This Row],[Date]],Database!A:E,3,)</f>
        <v/>
      </c>
      <c r="C258" s="14">
        <f>(B258-B257)/B257</f>
        <v/>
      </c>
      <c r="D258" s="14">
        <f>(B258-B246)/B246</f>
        <v/>
      </c>
    </row>
    <row r="259">
      <c r="A259" s="61" t="n">
        <v>32203</v>
      </c>
      <c r="B259" s="68">
        <f>VLOOKUP(Table4[[#This Row],[Date]],Database!A:E,3,)</f>
        <v/>
      </c>
      <c r="C259" s="14">
        <f>(B259-B258)/B258</f>
        <v/>
      </c>
      <c r="D259" s="14">
        <f>(B259-B247)/B247</f>
        <v/>
      </c>
    </row>
    <row r="260">
      <c r="A260" s="61" t="n">
        <v>32234</v>
      </c>
      <c r="B260" s="68">
        <f>VLOOKUP(Table4[[#This Row],[Date]],Database!A:E,3,)</f>
        <v/>
      </c>
      <c r="C260" s="14">
        <f>(B260-B259)/B259</f>
        <v/>
      </c>
      <c r="D260" s="14">
        <f>(B260-B248)/B248</f>
        <v/>
      </c>
    </row>
    <row r="261">
      <c r="A261" s="61" t="n">
        <v>32264</v>
      </c>
      <c r="B261" s="68">
        <f>VLOOKUP(Table4[[#This Row],[Date]],Database!A:E,3,)</f>
        <v/>
      </c>
      <c r="C261" s="14">
        <f>(B261-B260)/B260</f>
        <v/>
      </c>
      <c r="D261" s="14">
        <f>(B261-B249)/B249</f>
        <v/>
      </c>
    </row>
    <row r="262">
      <c r="A262" s="61" t="n">
        <v>32295</v>
      </c>
      <c r="B262" s="68">
        <f>VLOOKUP(Table4[[#This Row],[Date]],Database!A:E,3,)</f>
        <v/>
      </c>
      <c r="C262" s="14">
        <f>(B262-B261)/B261</f>
        <v/>
      </c>
      <c r="D262" s="14">
        <f>(B262-B250)/B250</f>
        <v/>
      </c>
    </row>
    <row r="263">
      <c r="A263" s="61" t="n">
        <v>32325</v>
      </c>
      <c r="B263" s="68">
        <f>VLOOKUP(Table4[[#This Row],[Date]],Database!A:E,3,)</f>
        <v/>
      </c>
      <c r="C263" s="14">
        <f>(B263-B262)/B262</f>
        <v/>
      </c>
      <c r="D263" s="14">
        <f>(B263-B251)/B251</f>
        <v/>
      </c>
    </row>
    <row r="264">
      <c r="A264" s="61" t="n">
        <v>32356</v>
      </c>
      <c r="B264" s="68">
        <f>VLOOKUP(Table4[[#This Row],[Date]],Database!A:E,3,)</f>
        <v/>
      </c>
      <c r="C264" s="14">
        <f>(B264-B263)/B263</f>
        <v/>
      </c>
      <c r="D264" s="14">
        <f>(B264-B252)/B252</f>
        <v/>
      </c>
    </row>
    <row r="265">
      <c r="A265" s="61" t="n">
        <v>32387</v>
      </c>
      <c r="B265" s="68">
        <f>VLOOKUP(Table4[[#This Row],[Date]],Database!A:E,3,)</f>
        <v/>
      </c>
      <c r="C265" s="14">
        <f>(B265-B264)/B264</f>
        <v/>
      </c>
      <c r="D265" s="14">
        <f>(B265-B253)/B253</f>
        <v/>
      </c>
    </row>
    <row r="266">
      <c r="A266" s="61" t="n">
        <v>32417</v>
      </c>
      <c r="B266" s="68">
        <f>VLOOKUP(Table4[[#This Row],[Date]],Database!A:E,3,)</f>
        <v/>
      </c>
      <c r="C266" s="14">
        <f>(B266-B265)/B265</f>
        <v/>
      </c>
      <c r="D266" s="14">
        <f>(B266-B254)/B254</f>
        <v/>
      </c>
    </row>
    <row r="267">
      <c r="A267" s="61" t="n">
        <v>32448</v>
      </c>
      <c r="B267" s="68">
        <f>VLOOKUP(Table4[[#This Row],[Date]],Database!A:E,3,)</f>
        <v/>
      </c>
      <c r="C267" s="14">
        <f>(B267-B266)/B266</f>
        <v/>
      </c>
      <c r="D267" s="14">
        <f>(B267-B255)/B255</f>
        <v/>
      </c>
    </row>
    <row r="268">
      <c r="A268" s="61" t="n">
        <v>32478</v>
      </c>
      <c r="B268" s="68">
        <f>VLOOKUP(Table4[[#This Row],[Date]],Database!A:E,3,)</f>
        <v/>
      </c>
      <c r="C268" s="14">
        <f>(B268-B267)/B267</f>
        <v/>
      </c>
      <c r="D268" s="14">
        <f>(B268-B256)/B256</f>
        <v/>
      </c>
    </row>
    <row r="269">
      <c r="A269" s="61" t="n">
        <v>32509</v>
      </c>
      <c r="B269" s="68">
        <f>VLOOKUP(Table4[[#This Row],[Date]],Database!A:E,3,)</f>
        <v/>
      </c>
      <c r="C269" s="14">
        <f>(B269-B268)/B268</f>
        <v/>
      </c>
      <c r="D269" s="14">
        <f>(B269-B257)/B257</f>
        <v/>
      </c>
    </row>
    <row r="270">
      <c r="A270" s="61" t="n">
        <v>32540</v>
      </c>
      <c r="B270" s="68">
        <f>VLOOKUP(Table4[[#This Row],[Date]],Database!A:E,3,)</f>
        <v/>
      </c>
      <c r="C270" s="14">
        <f>(B270-B269)/B269</f>
        <v/>
      </c>
      <c r="D270" s="14">
        <f>(B270-B258)/B258</f>
        <v/>
      </c>
    </row>
    <row r="271">
      <c r="A271" s="61" t="n">
        <v>32568</v>
      </c>
      <c r="B271" s="68">
        <f>VLOOKUP(Table4[[#This Row],[Date]],Database!A:E,3,)</f>
        <v/>
      </c>
      <c r="C271" s="14">
        <f>(B271-B270)/B270</f>
        <v/>
      </c>
      <c r="D271" s="14">
        <f>(B271-B259)/B259</f>
        <v/>
      </c>
    </row>
    <row r="272">
      <c r="A272" s="61" t="n">
        <v>32599</v>
      </c>
      <c r="B272" s="68">
        <f>VLOOKUP(Table4[[#This Row],[Date]],Database!A:E,3,)</f>
        <v/>
      </c>
      <c r="C272" s="14">
        <f>(B272-B271)/B271</f>
        <v/>
      </c>
      <c r="D272" s="14">
        <f>(B272-B260)/B260</f>
        <v/>
      </c>
    </row>
    <row r="273">
      <c r="A273" s="61" t="n">
        <v>32629</v>
      </c>
      <c r="B273" s="68">
        <f>VLOOKUP(Table4[[#This Row],[Date]],Database!A:E,3,)</f>
        <v/>
      </c>
      <c r="C273" s="14">
        <f>(B273-B272)/B272</f>
        <v/>
      </c>
      <c r="D273" s="14">
        <f>(B273-B261)/B261</f>
        <v/>
      </c>
    </row>
    <row r="274">
      <c r="A274" s="61" t="n">
        <v>32660</v>
      </c>
      <c r="B274" s="68">
        <f>VLOOKUP(Table4[[#This Row],[Date]],Database!A:E,3,)</f>
        <v/>
      </c>
      <c r="C274" s="14">
        <f>(B274-B273)/B273</f>
        <v/>
      </c>
      <c r="D274" s="14">
        <f>(B274-B262)/B262</f>
        <v/>
      </c>
    </row>
    <row r="275">
      <c r="A275" s="61" t="n">
        <v>32690</v>
      </c>
      <c r="B275" s="68">
        <f>VLOOKUP(Table4[[#This Row],[Date]],Database!A:E,3,)</f>
        <v/>
      </c>
      <c r="C275" s="14">
        <f>(B275-B274)/B274</f>
        <v/>
      </c>
      <c r="D275" s="14">
        <f>(B275-B263)/B263</f>
        <v/>
      </c>
    </row>
    <row r="276">
      <c r="A276" s="61" t="n">
        <v>32721</v>
      </c>
      <c r="B276" s="68">
        <f>VLOOKUP(Table4[[#This Row],[Date]],Database!A:E,3,)</f>
        <v/>
      </c>
      <c r="C276" s="14">
        <f>(B276-B275)/B275</f>
        <v/>
      </c>
      <c r="D276" s="14">
        <f>(B276-B264)/B264</f>
        <v/>
      </c>
    </row>
    <row r="277">
      <c r="A277" s="61" t="n">
        <v>32752</v>
      </c>
      <c r="B277" s="68">
        <f>VLOOKUP(Table4[[#This Row],[Date]],Database!A:E,3,)</f>
        <v/>
      </c>
      <c r="C277" s="14">
        <f>(B277-B276)/B276</f>
        <v/>
      </c>
      <c r="D277" s="14">
        <f>(B277-B265)/B265</f>
        <v/>
      </c>
    </row>
    <row r="278">
      <c r="A278" s="61" t="n">
        <v>32782</v>
      </c>
      <c r="B278" s="68">
        <f>VLOOKUP(Table4[[#This Row],[Date]],Database!A:E,3,)</f>
        <v/>
      </c>
      <c r="C278" s="14">
        <f>(B278-B277)/B277</f>
        <v/>
      </c>
      <c r="D278" s="14">
        <f>(B278-B266)/B266</f>
        <v/>
      </c>
    </row>
    <row r="279">
      <c r="A279" s="61" t="n">
        <v>32813</v>
      </c>
      <c r="B279" s="68">
        <f>VLOOKUP(Table4[[#This Row],[Date]],Database!A:E,3,)</f>
        <v/>
      </c>
      <c r="C279" s="14">
        <f>(B279-B278)/B278</f>
        <v/>
      </c>
      <c r="D279" s="14">
        <f>(B279-B267)/B267</f>
        <v/>
      </c>
    </row>
    <row r="280">
      <c r="A280" s="61" t="n">
        <v>32843</v>
      </c>
      <c r="B280" s="68">
        <f>VLOOKUP(Table4[[#This Row],[Date]],Database!A:E,3,)</f>
        <v/>
      </c>
      <c r="C280" s="14">
        <f>(B280-B279)/B279</f>
        <v/>
      </c>
      <c r="D280" s="14">
        <f>(B280-B268)/B268</f>
        <v/>
      </c>
    </row>
    <row r="281">
      <c r="A281" s="61" t="n">
        <v>32874</v>
      </c>
      <c r="B281" s="68">
        <f>VLOOKUP(Table4[[#This Row],[Date]],Database!A:E,3,)</f>
        <v/>
      </c>
      <c r="C281" s="14">
        <f>(B281-B280)/B280</f>
        <v/>
      </c>
      <c r="D281" s="14">
        <f>(B281-B269)/B269</f>
        <v/>
      </c>
    </row>
    <row r="282">
      <c r="A282" s="61" t="n">
        <v>32905</v>
      </c>
      <c r="B282" s="68">
        <f>VLOOKUP(Table4[[#This Row],[Date]],Database!A:E,3,)</f>
        <v/>
      </c>
      <c r="C282" s="14">
        <f>(B282-B281)/B281</f>
        <v/>
      </c>
      <c r="D282" s="14">
        <f>(B282-B270)/B270</f>
        <v/>
      </c>
    </row>
    <row r="283">
      <c r="A283" s="61" t="n">
        <v>32933</v>
      </c>
      <c r="B283" s="68">
        <f>VLOOKUP(Table4[[#This Row],[Date]],Database!A:E,3,)</f>
        <v/>
      </c>
      <c r="C283" s="14">
        <f>(B283-B282)/B282</f>
        <v/>
      </c>
      <c r="D283" s="14">
        <f>(B283-B271)/B271</f>
        <v/>
      </c>
    </row>
    <row r="284">
      <c r="A284" s="61" t="n">
        <v>32964</v>
      </c>
      <c r="B284" s="68">
        <f>VLOOKUP(Table4[[#This Row],[Date]],Database!A:E,3,)</f>
        <v/>
      </c>
      <c r="C284" s="14">
        <f>(B284-B283)/B283</f>
        <v/>
      </c>
      <c r="D284" s="14">
        <f>(B284-B272)/B272</f>
        <v/>
      </c>
    </row>
    <row r="285">
      <c r="A285" s="61" t="n">
        <v>32994</v>
      </c>
      <c r="B285" s="68">
        <f>VLOOKUP(Table4[[#This Row],[Date]],Database!A:E,3,)</f>
        <v/>
      </c>
      <c r="C285" s="14">
        <f>(B285-B284)/B284</f>
        <v/>
      </c>
      <c r="D285" s="14">
        <f>(B285-B273)/B273</f>
        <v/>
      </c>
    </row>
    <row r="286">
      <c r="A286" s="61" t="n">
        <v>33025</v>
      </c>
      <c r="B286" s="68">
        <f>VLOOKUP(Table4[[#This Row],[Date]],Database!A:E,3,)</f>
        <v/>
      </c>
      <c r="C286" s="14">
        <f>(B286-B285)/B285</f>
        <v/>
      </c>
      <c r="D286" s="14">
        <f>(B286-B274)/B274</f>
        <v/>
      </c>
    </row>
    <row r="287">
      <c r="A287" s="61" t="n">
        <v>33055</v>
      </c>
      <c r="B287" s="68">
        <f>VLOOKUP(Table4[[#This Row],[Date]],Database!A:E,3,)</f>
        <v/>
      </c>
      <c r="C287" s="14">
        <f>(B287-B286)/B286</f>
        <v/>
      </c>
      <c r="D287" s="14">
        <f>(B287-B275)/B275</f>
        <v/>
      </c>
    </row>
    <row r="288">
      <c r="A288" s="61" t="n">
        <v>33086</v>
      </c>
      <c r="B288" s="68">
        <f>VLOOKUP(Table4[[#This Row],[Date]],Database!A:E,3,)</f>
        <v/>
      </c>
      <c r="C288" s="14">
        <f>(B288-B287)/B287</f>
        <v/>
      </c>
      <c r="D288" s="14">
        <f>(B288-B276)/B276</f>
        <v/>
      </c>
    </row>
    <row r="289">
      <c r="A289" s="61" t="n">
        <v>33117</v>
      </c>
      <c r="B289" s="68">
        <f>VLOOKUP(Table4[[#This Row],[Date]],Database!A:E,3,)</f>
        <v/>
      </c>
      <c r="C289" s="14">
        <f>(B289-B288)/B288</f>
        <v/>
      </c>
      <c r="D289" s="14">
        <f>(B289-B277)/B277</f>
        <v/>
      </c>
    </row>
    <row r="290">
      <c r="A290" s="61" t="n">
        <v>33147</v>
      </c>
      <c r="B290" s="68">
        <f>VLOOKUP(Table4[[#This Row],[Date]],Database!A:E,3,)</f>
        <v/>
      </c>
      <c r="C290" s="14">
        <f>(B290-B289)/B289</f>
        <v/>
      </c>
      <c r="D290" s="14">
        <f>(B290-B278)/B278</f>
        <v/>
      </c>
    </row>
    <row r="291">
      <c r="A291" s="61" t="n">
        <v>33178</v>
      </c>
      <c r="B291" s="68">
        <f>VLOOKUP(Table4[[#This Row],[Date]],Database!A:E,3,)</f>
        <v/>
      </c>
      <c r="C291" s="14">
        <f>(B291-B290)/B290</f>
        <v/>
      </c>
      <c r="D291" s="14">
        <f>(B291-B279)/B279</f>
        <v/>
      </c>
    </row>
    <row r="292">
      <c r="A292" s="61" t="n">
        <v>33208</v>
      </c>
      <c r="B292" s="68">
        <f>VLOOKUP(Table4[[#This Row],[Date]],Database!A:E,3,)</f>
        <v/>
      </c>
      <c r="C292" s="14">
        <f>(B292-B291)/B291</f>
        <v/>
      </c>
      <c r="D292" s="14">
        <f>(B292-B280)/B280</f>
        <v/>
      </c>
    </row>
    <row r="293">
      <c r="A293" s="61" t="n">
        <v>33239</v>
      </c>
      <c r="B293" s="68">
        <f>VLOOKUP(Table4[[#This Row],[Date]],Database!A:E,3,)</f>
        <v/>
      </c>
      <c r="C293" s="14">
        <f>(B293-B292)/B292</f>
        <v/>
      </c>
      <c r="D293" s="14">
        <f>(B293-B281)/B281</f>
        <v/>
      </c>
    </row>
    <row r="294">
      <c r="A294" s="61" t="n">
        <v>33270</v>
      </c>
      <c r="B294" s="68">
        <f>VLOOKUP(Table4[[#This Row],[Date]],Database!A:E,3,)</f>
        <v/>
      </c>
      <c r="C294" s="14">
        <f>(B294-B293)/B293</f>
        <v/>
      </c>
      <c r="D294" s="14">
        <f>(B294-B282)/B282</f>
        <v/>
      </c>
    </row>
    <row r="295">
      <c r="A295" s="61" t="n">
        <v>33298</v>
      </c>
      <c r="B295" s="68">
        <f>VLOOKUP(Table4[[#This Row],[Date]],Database!A:E,3,)</f>
        <v/>
      </c>
      <c r="C295" s="14">
        <f>(B295-B294)/B294</f>
        <v/>
      </c>
      <c r="D295" s="14">
        <f>(B295-B283)/B283</f>
        <v/>
      </c>
    </row>
    <row r="296">
      <c r="A296" s="61" t="n">
        <v>33329</v>
      </c>
      <c r="B296" s="68">
        <f>VLOOKUP(Table4[[#This Row],[Date]],Database!A:E,3,)</f>
        <v/>
      </c>
      <c r="C296" s="14">
        <f>(B296-B295)/B295</f>
        <v/>
      </c>
      <c r="D296" s="14">
        <f>(B296-B284)/B284</f>
        <v/>
      </c>
    </row>
    <row r="297">
      <c r="A297" s="61" t="n">
        <v>33359</v>
      </c>
      <c r="B297" s="68">
        <f>VLOOKUP(Table4[[#This Row],[Date]],Database!A:E,3,)</f>
        <v/>
      </c>
      <c r="C297" s="14">
        <f>(B297-B296)/B296</f>
        <v/>
      </c>
      <c r="D297" s="14">
        <f>(B297-B285)/B285</f>
        <v/>
      </c>
    </row>
    <row r="298">
      <c r="A298" s="61" t="n">
        <v>33390</v>
      </c>
      <c r="B298" s="68">
        <f>VLOOKUP(Table4[[#This Row],[Date]],Database!A:E,3,)</f>
        <v/>
      </c>
      <c r="C298" s="14">
        <f>(B298-B297)/B297</f>
        <v/>
      </c>
      <c r="D298" s="14">
        <f>(B298-B286)/B286</f>
        <v/>
      </c>
    </row>
    <row r="299">
      <c r="A299" s="61" t="n">
        <v>33420</v>
      </c>
      <c r="B299" s="68">
        <f>VLOOKUP(Table4[[#This Row],[Date]],Database!A:E,3,)</f>
        <v/>
      </c>
      <c r="C299" s="14">
        <f>(B299-B298)/B298</f>
        <v/>
      </c>
      <c r="D299" s="14">
        <f>(B299-B287)/B287</f>
        <v/>
      </c>
    </row>
    <row r="300">
      <c r="A300" s="61" t="n">
        <v>33451</v>
      </c>
      <c r="B300" s="68">
        <f>VLOOKUP(Table4[[#This Row],[Date]],Database!A:E,3,)</f>
        <v/>
      </c>
      <c r="C300" s="14">
        <f>(B300-B299)/B299</f>
        <v/>
      </c>
      <c r="D300" s="14">
        <f>(B300-B288)/B288</f>
        <v/>
      </c>
    </row>
    <row r="301">
      <c r="A301" s="61" t="n">
        <v>33482</v>
      </c>
      <c r="B301" s="68">
        <f>VLOOKUP(Table4[[#This Row],[Date]],Database!A:E,3,)</f>
        <v/>
      </c>
      <c r="C301" s="14">
        <f>(B301-B300)/B300</f>
        <v/>
      </c>
      <c r="D301" s="14">
        <f>(B301-B289)/B289</f>
        <v/>
      </c>
    </row>
    <row r="302">
      <c r="A302" s="61" t="n">
        <v>33512</v>
      </c>
      <c r="B302" s="68">
        <f>VLOOKUP(Table4[[#This Row],[Date]],Database!A:E,3,)</f>
        <v/>
      </c>
      <c r="C302" s="14">
        <f>(B302-B301)/B301</f>
        <v/>
      </c>
      <c r="D302" s="14">
        <f>(B302-B290)/B290</f>
        <v/>
      </c>
    </row>
    <row r="303">
      <c r="A303" s="61" t="n">
        <v>33543</v>
      </c>
      <c r="B303" s="68">
        <f>VLOOKUP(Table4[[#This Row],[Date]],Database!A:E,3,)</f>
        <v/>
      </c>
      <c r="C303" s="14">
        <f>(B303-B302)/B302</f>
        <v/>
      </c>
      <c r="D303" s="14">
        <f>(B303-B291)/B291</f>
        <v/>
      </c>
    </row>
    <row r="304">
      <c r="A304" s="61" t="n">
        <v>33573</v>
      </c>
      <c r="B304" s="68">
        <f>VLOOKUP(Table4[[#This Row],[Date]],Database!A:E,3,)</f>
        <v/>
      </c>
      <c r="C304" s="14">
        <f>(B304-B303)/B303</f>
        <v/>
      </c>
      <c r="D304" s="14">
        <f>(B304-B292)/B292</f>
        <v/>
      </c>
    </row>
    <row r="305">
      <c r="A305" s="61" t="n">
        <v>33604</v>
      </c>
      <c r="B305" s="68">
        <f>VLOOKUP(Table4[[#This Row],[Date]],Database!A:E,3,)</f>
        <v/>
      </c>
      <c r="C305" s="14">
        <f>(B305-B304)/B304</f>
        <v/>
      </c>
      <c r="D305" s="14">
        <f>(B305-B293)/B293</f>
        <v/>
      </c>
    </row>
    <row r="306">
      <c r="A306" s="61" t="n">
        <v>33635</v>
      </c>
      <c r="B306" s="68">
        <f>VLOOKUP(Table4[[#This Row],[Date]],Database!A:E,3,)</f>
        <v/>
      </c>
      <c r="C306" s="14">
        <f>(B306-B305)/B305</f>
        <v/>
      </c>
      <c r="D306" s="14">
        <f>(B306-B294)/B294</f>
        <v/>
      </c>
    </row>
    <row r="307">
      <c r="A307" s="61" t="n">
        <v>33664</v>
      </c>
      <c r="B307" s="68">
        <f>VLOOKUP(Table4[[#This Row],[Date]],Database!A:E,3,)</f>
        <v/>
      </c>
      <c r="C307" s="14">
        <f>(B307-B306)/B306</f>
        <v/>
      </c>
      <c r="D307" s="14">
        <f>(B307-B295)/B295</f>
        <v/>
      </c>
    </row>
    <row r="308">
      <c r="A308" s="61" t="n">
        <v>33695</v>
      </c>
      <c r="B308" s="68">
        <f>VLOOKUP(Table4[[#This Row],[Date]],Database!A:E,3,)</f>
        <v/>
      </c>
      <c r="C308" s="14">
        <f>(B308-B307)/B307</f>
        <v/>
      </c>
      <c r="D308" s="14">
        <f>(B308-B296)/B296</f>
        <v/>
      </c>
    </row>
    <row r="309">
      <c r="A309" s="61" t="n">
        <v>33725</v>
      </c>
      <c r="B309" s="68">
        <f>VLOOKUP(Table4[[#This Row],[Date]],Database!A:E,3,)</f>
        <v/>
      </c>
      <c r="C309" s="14">
        <f>(B309-B308)/B308</f>
        <v/>
      </c>
      <c r="D309" s="14">
        <f>(B309-B297)/B297</f>
        <v/>
      </c>
    </row>
    <row r="310">
      <c r="A310" s="61" t="n">
        <v>33756</v>
      </c>
      <c r="B310" s="68">
        <f>VLOOKUP(Table4[[#This Row],[Date]],Database!A:E,3,)</f>
        <v/>
      </c>
      <c r="C310" s="14">
        <f>(B310-B309)/B309</f>
        <v/>
      </c>
      <c r="D310" s="14">
        <f>(B310-B298)/B298</f>
        <v/>
      </c>
    </row>
    <row r="311">
      <c r="A311" s="61" t="n">
        <v>33786</v>
      </c>
      <c r="B311" s="68">
        <f>VLOOKUP(Table4[[#This Row],[Date]],Database!A:E,3,)</f>
        <v/>
      </c>
      <c r="C311" s="14">
        <f>(B311-B310)/B310</f>
        <v/>
      </c>
      <c r="D311" s="14">
        <f>(B311-B299)/B299</f>
        <v/>
      </c>
    </row>
    <row r="312">
      <c r="A312" s="61" t="n">
        <v>33817</v>
      </c>
      <c r="B312" s="68">
        <f>VLOOKUP(Table4[[#This Row],[Date]],Database!A:E,3,)</f>
        <v/>
      </c>
      <c r="C312" s="14">
        <f>(B312-B311)/B311</f>
        <v/>
      </c>
      <c r="D312" s="14">
        <f>(B312-B300)/B300</f>
        <v/>
      </c>
    </row>
    <row r="313">
      <c r="A313" s="61" t="n">
        <v>33848</v>
      </c>
      <c r="B313" s="68">
        <f>VLOOKUP(Table4[[#This Row],[Date]],Database!A:E,3,)</f>
        <v/>
      </c>
      <c r="C313" s="14">
        <f>(B313-B312)/B312</f>
        <v/>
      </c>
      <c r="D313" s="14">
        <f>(B313-B301)/B301</f>
        <v/>
      </c>
    </row>
    <row r="314">
      <c r="A314" s="61" t="n">
        <v>33878</v>
      </c>
      <c r="B314" s="68">
        <f>VLOOKUP(Table4[[#This Row],[Date]],Database!A:E,3,)</f>
        <v/>
      </c>
      <c r="C314" s="14">
        <f>(B314-B313)/B313</f>
        <v/>
      </c>
      <c r="D314" s="14">
        <f>(B314-B302)/B302</f>
        <v/>
      </c>
    </row>
    <row r="315">
      <c r="A315" s="61" t="n">
        <v>33909</v>
      </c>
      <c r="B315" s="68">
        <f>VLOOKUP(Table4[[#This Row],[Date]],Database!A:E,3,)</f>
        <v/>
      </c>
      <c r="C315" s="14">
        <f>(B315-B314)/B314</f>
        <v/>
      </c>
      <c r="D315" s="14">
        <f>(B315-B303)/B303</f>
        <v/>
      </c>
    </row>
    <row r="316">
      <c r="A316" s="61" t="n">
        <v>33939</v>
      </c>
      <c r="B316" s="68">
        <f>VLOOKUP(Table4[[#This Row],[Date]],Database!A:E,3,)</f>
        <v/>
      </c>
      <c r="C316" s="14">
        <f>(B316-B315)/B315</f>
        <v/>
      </c>
      <c r="D316" s="14">
        <f>(B316-B304)/B304</f>
        <v/>
      </c>
    </row>
    <row r="317">
      <c r="A317" s="61" t="n">
        <v>33970</v>
      </c>
      <c r="B317" s="68">
        <f>VLOOKUP(Table4[[#This Row],[Date]],Database!A:E,3,)</f>
        <v/>
      </c>
      <c r="C317" s="14">
        <f>(B317-B316)/B316</f>
        <v/>
      </c>
      <c r="D317" s="14">
        <f>(B317-B305)/B305</f>
        <v/>
      </c>
    </row>
    <row r="318">
      <c r="A318" s="61" t="n">
        <v>34001</v>
      </c>
      <c r="B318" s="68">
        <f>VLOOKUP(Table4[[#This Row],[Date]],Database!A:E,3,)</f>
        <v/>
      </c>
      <c r="C318" s="14">
        <f>(B318-B317)/B317</f>
        <v/>
      </c>
      <c r="D318" s="14">
        <f>(B318-B306)/B306</f>
        <v/>
      </c>
    </row>
    <row r="319">
      <c r="A319" s="61" t="n">
        <v>34029</v>
      </c>
      <c r="B319" s="68">
        <f>VLOOKUP(Table4[[#This Row],[Date]],Database!A:E,3,)</f>
        <v/>
      </c>
      <c r="C319" s="14">
        <f>(B319-B318)/B318</f>
        <v/>
      </c>
      <c r="D319" s="14">
        <f>(B319-B307)/B307</f>
        <v/>
      </c>
    </row>
    <row r="320">
      <c r="A320" s="61" t="n">
        <v>34060</v>
      </c>
      <c r="B320" s="68">
        <f>VLOOKUP(Table4[[#This Row],[Date]],Database!A:E,3,)</f>
        <v/>
      </c>
      <c r="C320" s="14">
        <f>(B320-B319)/B319</f>
        <v/>
      </c>
      <c r="D320" s="14">
        <f>(B320-B308)/B308</f>
        <v/>
      </c>
    </row>
    <row r="321">
      <c r="A321" s="61" t="n">
        <v>34090</v>
      </c>
      <c r="B321" s="68">
        <f>VLOOKUP(Table4[[#This Row],[Date]],Database!A:E,3,)</f>
        <v/>
      </c>
      <c r="C321" s="14">
        <f>(B321-B320)/B320</f>
        <v/>
      </c>
      <c r="D321" s="14">
        <f>(B321-B309)/B309</f>
        <v/>
      </c>
    </row>
    <row r="322">
      <c r="A322" s="61" t="n">
        <v>34121</v>
      </c>
      <c r="B322" s="68">
        <f>VLOOKUP(Table4[[#This Row],[Date]],Database!A:E,3,)</f>
        <v/>
      </c>
      <c r="C322" s="14">
        <f>(B322-B321)/B321</f>
        <v/>
      </c>
      <c r="D322" s="14">
        <f>(B322-B310)/B310</f>
        <v/>
      </c>
    </row>
    <row r="323">
      <c r="A323" s="61" t="n">
        <v>34151</v>
      </c>
      <c r="B323" s="68">
        <f>VLOOKUP(Table4[[#This Row],[Date]],Database!A:E,3,)</f>
        <v/>
      </c>
      <c r="C323" s="14">
        <f>(B323-B322)/B322</f>
        <v/>
      </c>
      <c r="D323" s="14">
        <f>(B323-B311)/B311</f>
        <v/>
      </c>
    </row>
    <row r="324">
      <c r="A324" s="61" t="n">
        <v>34182</v>
      </c>
      <c r="B324" s="68">
        <f>VLOOKUP(Table4[[#This Row],[Date]],Database!A:E,3,)</f>
        <v/>
      </c>
      <c r="C324" s="14">
        <f>(B324-B323)/B323</f>
        <v/>
      </c>
      <c r="D324" s="14">
        <f>(B324-B312)/B312</f>
        <v/>
      </c>
    </row>
    <row r="325">
      <c r="A325" s="61" t="n">
        <v>34213</v>
      </c>
      <c r="B325" s="68">
        <f>VLOOKUP(Table4[[#This Row],[Date]],Database!A:E,3,)</f>
        <v/>
      </c>
      <c r="C325" s="14">
        <f>(B325-B324)/B324</f>
        <v/>
      </c>
      <c r="D325" s="14">
        <f>(B325-B313)/B313</f>
        <v/>
      </c>
    </row>
    <row r="326">
      <c r="A326" s="61" t="n">
        <v>34243</v>
      </c>
      <c r="B326" s="68">
        <f>VLOOKUP(Table4[[#This Row],[Date]],Database!A:E,3,)</f>
        <v/>
      </c>
      <c r="C326" s="14">
        <f>(B326-B325)/B325</f>
        <v/>
      </c>
      <c r="D326" s="14">
        <f>(B326-B314)/B314</f>
        <v/>
      </c>
    </row>
    <row r="327">
      <c r="A327" s="61" t="n">
        <v>34274</v>
      </c>
      <c r="B327" s="68">
        <f>VLOOKUP(Table4[[#This Row],[Date]],Database!A:E,3,)</f>
        <v/>
      </c>
      <c r="C327" s="14">
        <f>(B327-B326)/B326</f>
        <v/>
      </c>
      <c r="D327" s="14">
        <f>(B327-B315)/B315</f>
        <v/>
      </c>
    </row>
    <row r="328">
      <c r="A328" s="61" t="n">
        <v>34304</v>
      </c>
      <c r="B328" s="68">
        <f>VLOOKUP(Table4[[#This Row],[Date]],Database!A:E,3,)</f>
        <v/>
      </c>
      <c r="C328" s="14">
        <f>(B328-B327)/B327</f>
        <v/>
      </c>
      <c r="D328" s="14">
        <f>(B328-B316)/B316</f>
        <v/>
      </c>
    </row>
    <row r="329">
      <c r="A329" s="61" t="n">
        <v>34335</v>
      </c>
      <c r="B329" s="68">
        <f>VLOOKUP(Table4[[#This Row],[Date]],Database!A:E,3,)</f>
        <v/>
      </c>
      <c r="C329" s="14">
        <f>(B329-B328)/B328</f>
        <v/>
      </c>
      <c r="D329" s="14">
        <f>(B329-B317)/B317</f>
        <v/>
      </c>
    </row>
    <row r="330">
      <c r="A330" s="61" t="n">
        <v>34366</v>
      </c>
      <c r="B330" s="68">
        <f>VLOOKUP(Table4[[#This Row],[Date]],Database!A:E,3,)</f>
        <v/>
      </c>
      <c r="C330" s="14">
        <f>(B330-B329)/B329</f>
        <v/>
      </c>
      <c r="D330" s="14">
        <f>(B330-B318)/B318</f>
        <v/>
      </c>
    </row>
    <row r="331">
      <c r="A331" s="61" t="n">
        <v>34394</v>
      </c>
      <c r="B331" s="68">
        <f>VLOOKUP(Table4[[#This Row],[Date]],Database!A:E,3,)</f>
        <v/>
      </c>
      <c r="C331" s="14">
        <f>(B331-B330)/B330</f>
        <v/>
      </c>
      <c r="D331" s="14">
        <f>(B331-B319)/B319</f>
        <v/>
      </c>
    </row>
    <row r="332">
      <c r="A332" s="61" t="n">
        <v>34425</v>
      </c>
      <c r="B332" s="68">
        <f>VLOOKUP(Table4[[#This Row],[Date]],Database!A:E,3,)</f>
        <v/>
      </c>
      <c r="C332" s="14">
        <f>(B332-B331)/B331</f>
        <v/>
      </c>
      <c r="D332" s="14">
        <f>(B332-B320)/B320</f>
        <v/>
      </c>
    </row>
    <row r="333">
      <c r="A333" s="61" t="n">
        <v>34455</v>
      </c>
      <c r="B333" s="68">
        <f>VLOOKUP(Table4[[#This Row],[Date]],Database!A:E,3,)</f>
        <v/>
      </c>
      <c r="C333" s="14">
        <f>(B333-B332)/B332</f>
        <v/>
      </c>
      <c r="D333" s="14">
        <f>(B333-B321)/B321</f>
        <v/>
      </c>
    </row>
    <row r="334">
      <c r="A334" s="61" t="n">
        <v>34486</v>
      </c>
      <c r="B334" s="68">
        <f>VLOOKUP(Table4[[#This Row],[Date]],Database!A:E,3,)</f>
        <v/>
      </c>
      <c r="C334" s="14">
        <f>(B334-B333)/B333</f>
        <v/>
      </c>
      <c r="D334" s="14">
        <f>(B334-B322)/B322</f>
        <v/>
      </c>
    </row>
    <row r="335">
      <c r="A335" s="61" t="n">
        <v>34516</v>
      </c>
      <c r="B335" s="68">
        <f>VLOOKUP(Table4[[#This Row],[Date]],Database!A:E,3,)</f>
        <v/>
      </c>
      <c r="C335" s="14">
        <f>(B335-B334)/B334</f>
        <v/>
      </c>
      <c r="D335" s="14">
        <f>(B335-B323)/B323</f>
        <v/>
      </c>
    </row>
    <row r="336">
      <c r="A336" s="61" t="n">
        <v>34547</v>
      </c>
      <c r="B336" s="68">
        <f>VLOOKUP(Table4[[#This Row],[Date]],Database!A:E,3,)</f>
        <v/>
      </c>
      <c r="C336" s="14">
        <f>(B336-B335)/B335</f>
        <v/>
      </c>
      <c r="D336" s="14">
        <f>(B336-B324)/B324</f>
        <v/>
      </c>
    </row>
    <row r="337">
      <c r="A337" s="61" t="n">
        <v>34578</v>
      </c>
      <c r="B337" s="68">
        <f>VLOOKUP(Table4[[#This Row],[Date]],Database!A:E,3,)</f>
        <v/>
      </c>
      <c r="C337" s="14">
        <f>(B337-B336)/B336</f>
        <v/>
      </c>
      <c r="D337" s="14">
        <f>(B337-B325)/B325</f>
        <v/>
      </c>
    </row>
    <row r="338">
      <c r="A338" s="61" t="n">
        <v>34608</v>
      </c>
      <c r="B338" s="68">
        <f>VLOOKUP(Table4[[#This Row],[Date]],Database!A:E,3,)</f>
        <v/>
      </c>
      <c r="C338" s="14">
        <f>(B338-B337)/B337</f>
        <v/>
      </c>
      <c r="D338" s="14">
        <f>(B338-B326)/B326</f>
        <v/>
      </c>
    </row>
    <row r="339">
      <c r="A339" s="61" t="n">
        <v>34639</v>
      </c>
      <c r="B339" s="68">
        <f>VLOOKUP(Table4[[#This Row],[Date]],Database!A:E,3,)</f>
        <v/>
      </c>
      <c r="C339" s="14">
        <f>(B339-B338)/B338</f>
        <v/>
      </c>
      <c r="D339" s="14">
        <f>(B339-B327)/B327</f>
        <v/>
      </c>
    </row>
    <row r="340">
      <c r="A340" s="61" t="n">
        <v>34669</v>
      </c>
      <c r="B340" s="68">
        <f>VLOOKUP(Table4[[#This Row],[Date]],Database!A:E,3,)</f>
        <v/>
      </c>
      <c r="C340" s="14">
        <f>(B340-B339)/B339</f>
        <v/>
      </c>
      <c r="D340" s="14">
        <f>(B340-B328)/B328</f>
        <v/>
      </c>
    </row>
    <row r="341">
      <c r="A341" s="61" t="n">
        <v>34700</v>
      </c>
      <c r="B341" s="68">
        <f>VLOOKUP(Table4[[#This Row],[Date]],Database!A:E,3,)</f>
        <v/>
      </c>
      <c r="C341" s="14">
        <f>(B341-B340)/B340</f>
        <v/>
      </c>
      <c r="D341" s="14">
        <f>(B341-B329)/B329</f>
        <v/>
      </c>
    </row>
    <row r="342">
      <c r="A342" s="61" t="n">
        <v>34731</v>
      </c>
      <c r="B342" s="68">
        <f>VLOOKUP(Table4[[#This Row],[Date]],Database!A:E,3,)</f>
        <v/>
      </c>
      <c r="C342" s="14">
        <f>(B342-B341)/B341</f>
        <v/>
      </c>
      <c r="D342" s="14">
        <f>(B342-B330)/B330</f>
        <v/>
      </c>
    </row>
    <row r="343">
      <c r="A343" s="61" t="n">
        <v>34759</v>
      </c>
      <c r="B343" s="68">
        <f>VLOOKUP(Table4[[#This Row],[Date]],Database!A:E,3,)</f>
        <v/>
      </c>
      <c r="C343" s="14">
        <f>(B343-B342)/B342</f>
        <v/>
      </c>
      <c r="D343" s="14">
        <f>(B343-B331)/B331</f>
        <v/>
      </c>
    </row>
    <row r="344">
      <c r="A344" s="61" t="n">
        <v>34790</v>
      </c>
      <c r="B344" s="68">
        <f>VLOOKUP(Table4[[#This Row],[Date]],Database!A:E,3,)</f>
        <v/>
      </c>
      <c r="C344" s="14">
        <f>(B344-B343)/B343</f>
        <v/>
      </c>
      <c r="D344" s="14">
        <f>(B344-B332)/B332</f>
        <v/>
      </c>
    </row>
    <row r="345">
      <c r="A345" s="61" t="n">
        <v>34820</v>
      </c>
      <c r="B345" s="68">
        <f>VLOOKUP(Table4[[#This Row],[Date]],Database!A:E,3,)</f>
        <v/>
      </c>
      <c r="C345" s="14">
        <f>(B345-B344)/B344</f>
        <v/>
      </c>
      <c r="D345" s="14">
        <f>(B345-B333)/B333</f>
        <v/>
      </c>
    </row>
    <row r="346">
      <c r="A346" s="61" t="n">
        <v>34851</v>
      </c>
      <c r="B346" s="68">
        <f>VLOOKUP(Table4[[#This Row],[Date]],Database!A:E,3,)</f>
        <v/>
      </c>
      <c r="C346" s="14">
        <f>(B346-B345)/B345</f>
        <v/>
      </c>
      <c r="D346" s="14">
        <f>(B346-B334)/B334</f>
        <v/>
      </c>
    </row>
    <row r="347">
      <c r="A347" s="61" t="n">
        <v>34881</v>
      </c>
      <c r="B347" s="68">
        <f>VLOOKUP(Table4[[#This Row],[Date]],Database!A:E,3,)</f>
        <v/>
      </c>
      <c r="C347" s="14">
        <f>(B347-B346)/B346</f>
        <v/>
      </c>
      <c r="D347" s="14">
        <f>(B347-B335)/B335</f>
        <v/>
      </c>
    </row>
    <row r="348">
      <c r="A348" s="61" t="n">
        <v>34912</v>
      </c>
      <c r="B348" s="68">
        <f>VLOOKUP(Table4[[#This Row],[Date]],Database!A:E,3,)</f>
        <v/>
      </c>
      <c r="C348" s="14">
        <f>(B348-B347)/B347</f>
        <v/>
      </c>
      <c r="D348" s="14">
        <f>(B348-B336)/B336</f>
        <v/>
      </c>
    </row>
    <row r="349">
      <c r="A349" s="61" t="n">
        <v>34943</v>
      </c>
      <c r="B349" s="68">
        <f>VLOOKUP(Table4[[#This Row],[Date]],Database!A:E,3,)</f>
        <v/>
      </c>
      <c r="C349" s="14">
        <f>(B349-B348)/B348</f>
        <v/>
      </c>
      <c r="D349" s="14">
        <f>(B349-B337)/B337</f>
        <v/>
      </c>
    </row>
    <row r="350">
      <c r="A350" s="61" t="n">
        <v>34973</v>
      </c>
      <c r="B350" s="68">
        <f>VLOOKUP(Table4[[#This Row],[Date]],Database!A:E,3,)</f>
        <v/>
      </c>
      <c r="C350" s="14">
        <f>(B350-B349)/B349</f>
        <v/>
      </c>
      <c r="D350" s="14">
        <f>(B350-B338)/B338</f>
        <v/>
      </c>
    </row>
    <row r="351">
      <c r="A351" s="61" t="n">
        <v>35004</v>
      </c>
      <c r="B351" s="68">
        <f>VLOOKUP(Table4[[#This Row],[Date]],Database!A:E,3,)</f>
        <v/>
      </c>
      <c r="C351" s="14">
        <f>(B351-B350)/B350</f>
        <v/>
      </c>
      <c r="D351" s="14">
        <f>(B351-B339)/B339</f>
        <v/>
      </c>
    </row>
    <row r="352">
      <c r="A352" s="61" t="n">
        <v>35034</v>
      </c>
      <c r="B352" s="68">
        <f>VLOOKUP(Table4[[#This Row],[Date]],Database!A:E,3,)</f>
        <v/>
      </c>
      <c r="C352" s="14">
        <f>(B352-B351)/B351</f>
        <v/>
      </c>
      <c r="D352" s="14">
        <f>(B352-B340)/B340</f>
        <v/>
      </c>
    </row>
    <row r="353">
      <c r="A353" s="61" t="n">
        <v>35065</v>
      </c>
      <c r="B353" s="68">
        <f>VLOOKUP(Table4[[#This Row],[Date]],Database!A:E,3,)</f>
        <v/>
      </c>
      <c r="C353" s="14">
        <f>(B353-B352)/B352</f>
        <v/>
      </c>
      <c r="D353" s="14">
        <f>(B353-B341)/B341</f>
        <v/>
      </c>
    </row>
    <row r="354">
      <c r="A354" s="61" t="n">
        <v>35096</v>
      </c>
      <c r="B354" s="68">
        <f>VLOOKUP(Table4[[#This Row],[Date]],Database!A:E,3,)</f>
        <v/>
      </c>
      <c r="C354" s="14">
        <f>(B354-B353)/B353</f>
        <v/>
      </c>
      <c r="D354" s="14">
        <f>(B354-B342)/B342</f>
        <v/>
      </c>
    </row>
    <row r="355">
      <c r="A355" s="61" t="n">
        <v>35125</v>
      </c>
      <c r="B355" s="68">
        <f>VLOOKUP(Table4[[#This Row],[Date]],Database!A:E,3,)</f>
        <v/>
      </c>
      <c r="C355" s="14">
        <f>(B355-B354)/B354</f>
        <v/>
      </c>
      <c r="D355" s="14">
        <f>(B355-B343)/B343</f>
        <v/>
      </c>
    </row>
    <row r="356">
      <c r="A356" s="61" t="n">
        <v>35156</v>
      </c>
      <c r="B356" s="68">
        <f>VLOOKUP(Table4[[#This Row],[Date]],Database!A:E,3,)</f>
        <v/>
      </c>
      <c r="C356" s="14">
        <f>(B356-B355)/B355</f>
        <v/>
      </c>
      <c r="D356" s="14">
        <f>(B356-B344)/B344</f>
        <v/>
      </c>
    </row>
    <row r="357">
      <c r="A357" s="61" t="n">
        <v>35186</v>
      </c>
      <c r="B357" s="68">
        <f>VLOOKUP(Table4[[#This Row],[Date]],Database!A:E,3,)</f>
        <v/>
      </c>
      <c r="C357" s="14">
        <f>(B357-B356)/B356</f>
        <v/>
      </c>
      <c r="D357" s="14">
        <f>(B357-B345)/B345</f>
        <v/>
      </c>
    </row>
    <row r="358">
      <c r="A358" s="61" t="n">
        <v>35217</v>
      </c>
      <c r="B358" s="68">
        <f>VLOOKUP(Table4[[#This Row],[Date]],Database!A:E,3,)</f>
        <v/>
      </c>
      <c r="C358" s="14">
        <f>(B358-B357)/B357</f>
        <v/>
      </c>
      <c r="D358" s="14">
        <f>(B358-B346)/B346</f>
        <v/>
      </c>
    </row>
    <row r="359">
      <c r="A359" s="61" t="n">
        <v>35247</v>
      </c>
      <c r="B359" s="68">
        <f>VLOOKUP(Table4[[#This Row],[Date]],Database!A:E,3,)</f>
        <v/>
      </c>
      <c r="C359" s="14">
        <f>(B359-B358)/B358</f>
        <v/>
      </c>
      <c r="D359" s="14">
        <f>(B359-B347)/B347</f>
        <v/>
      </c>
    </row>
    <row r="360">
      <c r="A360" s="61" t="n">
        <v>35278</v>
      </c>
      <c r="B360" s="68">
        <f>VLOOKUP(Table4[[#This Row],[Date]],Database!A:E,3,)</f>
        <v/>
      </c>
      <c r="C360" s="14">
        <f>(B360-B359)/B359</f>
        <v/>
      </c>
      <c r="D360" s="14">
        <f>(B360-B348)/B348</f>
        <v/>
      </c>
    </row>
    <row r="361">
      <c r="A361" s="61" t="n">
        <v>35309</v>
      </c>
      <c r="B361" s="68">
        <f>VLOOKUP(Table4[[#This Row],[Date]],Database!A:E,3,)</f>
        <v/>
      </c>
      <c r="C361" s="14">
        <f>(B361-B360)/B360</f>
        <v/>
      </c>
      <c r="D361" s="14">
        <f>(B361-B349)/B349</f>
        <v/>
      </c>
    </row>
    <row r="362">
      <c r="A362" s="61" t="n">
        <v>35339</v>
      </c>
      <c r="B362" s="68">
        <f>VLOOKUP(Table4[[#This Row],[Date]],Database!A:E,3,)</f>
        <v/>
      </c>
      <c r="C362" s="14">
        <f>(B362-B361)/B361</f>
        <v/>
      </c>
      <c r="D362" s="14">
        <f>(B362-B350)/B350</f>
        <v/>
      </c>
    </row>
    <row r="363">
      <c r="A363" s="61" t="n">
        <v>35370</v>
      </c>
      <c r="B363" s="68">
        <f>VLOOKUP(Table4[[#This Row],[Date]],Database!A:E,3,)</f>
        <v/>
      </c>
      <c r="C363" s="14">
        <f>(B363-B362)/B362</f>
        <v/>
      </c>
      <c r="D363" s="14">
        <f>(B363-B351)/B351</f>
        <v/>
      </c>
    </row>
    <row r="364">
      <c r="A364" s="61" t="n">
        <v>35400</v>
      </c>
      <c r="B364" s="68">
        <f>VLOOKUP(Table4[[#This Row],[Date]],Database!A:E,3,)</f>
        <v/>
      </c>
      <c r="C364" s="14">
        <f>(B364-B363)/B363</f>
        <v/>
      </c>
      <c r="D364" s="14">
        <f>(B364-B352)/B352</f>
        <v/>
      </c>
    </row>
    <row r="365">
      <c r="A365" s="61" t="n">
        <v>35431</v>
      </c>
      <c r="B365" s="68">
        <f>VLOOKUP(Table4[[#This Row],[Date]],Database!A:E,3,)</f>
        <v/>
      </c>
      <c r="C365" s="14">
        <f>(B365-B364)/B364</f>
        <v/>
      </c>
      <c r="D365" s="14">
        <f>(B365-B353)/B353</f>
        <v/>
      </c>
    </row>
    <row r="366">
      <c r="A366" s="61" t="n">
        <v>35462</v>
      </c>
      <c r="B366" s="68">
        <f>VLOOKUP(Table4[[#This Row],[Date]],Database!A:E,3,)</f>
        <v/>
      </c>
      <c r="C366" s="14">
        <f>(B366-B365)/B365</f>
        <v/>
      </c>
      <c r="D366" s="14">
        <f>(B366-B354)/B354</f>
        <v/>
      </c>
    </row>
    <row r="367">
      <c r="A367" s="61" t="n">
        <v>35490</v>
      </c>
      <c r="B367" s="68">
        <f>VLOOKUP(Table4[[#This Row],[Date]],Database!A:E,3,)</f>
        <v/>
      </c>
      <c r="C367" s="14">
        <f>(B367-B366)/B366</f>
        <v/>
      </c>
      <c r="D367" s="14">
        <f>(B367-B355)/B355</f>
        <v/>
      </c>
    </row>
    <row r="368">
      <c r="A368" s="61" t="n">
        <v>35521</v>
      </c>
      <c r="B368" s="68">
        <f>VLOOKUP(Table4[[#This Row],[Date]],Database!A:E,3,)</f>
        <v/>
      </c>
      <c r="C368" s="14">
        <f>(B368-B367)/B367</f>
        <v/>
      </c>
      <c r="D368" s="14">
        <f>(B368-B356)/B356</f>
        <v/>
      </c>
    </row>
    <row r="369">
      <c r="A369" s="61" t="n">
        <v>35551</v>
      </c>
      <c r="B369" s="68">
        <f>VLOOKUP(Table4[[#This Row],[Date]],Database!A:E,3,)</f>
        <v/>
      </c>
      <c r="C369" s="14">
        <f>(B369-B368)/B368</f>
        <v/>
      </c>
      <c r="D369" s="14">
        <f>(B369-B357)/B357</f>
        <v/>
      </c>
    </row>
    <row r="370">
      <c r="A370" s="61" t="n">
        <v>35582</v>
      </c>
      <c r="B370" s="68">
        <f>VLOOKUP(Table4[[#This Row],[Date]],Database!A:E,3,)</f>
        <v/>
      </c>
      <c r="C370" s="14">
        <f>(B370-B369)/B369</f>
        <v/>
      </c>
      <c r="D370" s="14">
        <f>(B370-B358)/B358</f>
        <v/>
      </c>
    </row>
    <row r="371">
      <c r="A371" s="61" t="n">
        <v>35612</v>
      </c>
      <c r="B371" s="68">
        <f>VLOOKUP(Table4[[#This Row],[Date]],Database!A:E,3,)</f>
        <v/>
      </c>
      <c r="C371" s="14">
        <f>(B371-B370)/B370</f>
        <v/>
      </c>
      <c r="D371" s="14">
        <f>(B371-B359)/B359</f>
        <v/>
      </c>
    </row>
    <row r="372">
      <c r="A372" s="61" t="n">
        <v>35643</v>
      </c>
      <c r="B372" s="68">
        <f>VLOOKUP(Table4[[#This Row],[Date]],Database!A:E,3,)</f>
        <v/>
      </c>
      <c r="C372" s="14">
        <f>(B372-B371)/B371</f>
        <v/>
      </c>
      <c r="D372" s="14">
        <f>(B372-B360)/B360</f>
        <v/>
      </c>
    </row>
    <row r="373">
      <c r="A373" s="61" t="n">
        <v>35674</v>
      </c>
      <c r="B373" s="68">
        <f>VLOOKUP(Table4[[#This Row],[Date]],Database!A:E,3,)</f>
        <v/>
      </c>
      <c r="C373" s="14">
        <f>(B373-B372)/B372</f>
        <v/>
      </c>
      <c r="D373" s="14">
        <f>(B373-B361)/B361</f>
        <v/>
      </c>
    </row>
    <row r="374">
      <c r="A374" s="61" t="n">
        <v>35704</v>
      </c>
      <c r="B374" s="68">
        <f>VLOOKUP(Table4[[#This Row],[Date]],Database!A:E,3,)</f>
        <v/>
      </c>
      <c r="C374" s="14">
        <f>(B374-B373)/B373</f>
        <v/>
      </c>
      <c r="D374" s="14">
        <f>(B374-B362)/B362</f>
        <v/>
      </c>
    </row>
    <row r="375">
      <c r="A375" s="61" t="n">
        <v>35735</v>
      </c>
      <c r="B375" s="68">
        <f>VLOOKUP(Table4[[#This Row],[Date]],Database!A:E,3,)</f>
        <v/>
      </c>
      <c r="C375" s="14">
        <f>(B375-B374)/B374</f>
        <v/>
      </c>
      <c r="D375" s="14">
        <f>(B375-B363)/B363</f>
        <v/>
      </c>
    </row>
    <row r="376">
      <c r="A376" s="61" t="n">
        <v>35765</v>
      </c>
      <c r="B376" s="68">
        <f>VLOOKUP(Table4[[#This Row],[Date]],Database!A:E,3,)</f>
        <v/>
      </c>
      <c r="C376" s="14">
        <f>(B376-B375)/B375</f>
        <v/>
      </c>
      <c r="D376" s="14">
        <f>(B376-B364)/B364</f>
        <v/>
      </c>
    </row>
    <row r="377">
      <c r="A377" s="61" t="n">
        <v>35796</v>
      </c>
      <c r="B377" s="68">
        <f>VLOOKUP(Table4[[#This Row],[Date]],Database!A:E,3,)</f>
        <v/>
      </c>
      <c r="C377" s="14">
        <f>(B377-B376)/B376</f>
        <v/>
      </c>
      <c r="D377" s="14">
        <f>(B377-B365)/B365</f>
        <v/>
      </c>
    </row>
    <row r="378">
      <c r="A378" s="61" t="n">
        <v>35827</v>
      </c>
      <c r="B378" s="68">
        <f>VLOOKUP(Table4[[#This Row],[Date]],Database!A:E,3,)</f>
        <v/>
      </c>
      <c r="C378" s="14">
        <f>(B378-B377)/B377</f>
        <v/>
      </c>
      <c r="D378" s="14">
        <f>(B378-B366)/B366</f>
        <v/>
      </c>
    </row>
    <row r="379">
      <c r="A379" s="61" t="n">
        <v>35855</v>
      </c>
      <c r="B379" s="68">
        <f>VLOOKUP(Table4[[#This Row],[Date]],Database!A:E,3,)</f>
        <v/>
      </c>
      <c r="C379" s="14">
        <f>(B379-B378)/B378</f>
        <v/>
      </c>
      <c r="D379" s="14">
        <f>(B379-B367)/B367</f>
        <v/>
      </c>
    </row>
    <row r="380">
      <c r="A380" s="61" t="n">
        <v>35886</v>
      </c>
      <c r="B380" s="68">
        <f>VLOOKUP(Table4[[#This Row],[Date]],Database!A:E,3,)</f>
        <v/>
      </c>
      <c r="C380" s="14">
        <f>(B380-B379)/B379</f>
        <v/>
      </c>
      <c r="D380" s="14">
        <f>(B380-B368)/B368</f>
        <v/>
      </c>
    </row>
    <row r="381">
      <c r="A381" s="61" t="n">
        <v>35916</v>
      </c>
      <c r="B381" s="68">
        <f>VLOOKUP(Table4[[#This Row],[Date]],Database!A:E,3,)</f>
        <v/>
      </c>
      <c r="C381" s="14">
        <f>(B381-B380)/B380</f>
        <v/>
      </c>
      <c r="D381" s="14">
        <f>(B381-B369)/B369</f>
        <v/>
      </c>
    </row>
    <row r="382">
      <c r="A382" s="61" t="n">
        <v>35947</v>
      </c>
      <c r="B382" s="68">
        <f>VLOOKUP(Table4[[#This Row],[Date]],Database!A:E,3,)</f>
        <v/>
      </c>
      <c r="C382" s="14">
        <f>(B382-B381)/B381</f>
        <v/>
      </c>
      <c r="D382" s="14">
        <f>(B382-B370)/B370</f>
        <v/>
      </c>
    </row>
    <row r="383">
      <c r="A383" s="61" t="n">
        <v>35977</v>
      </c>
      <c r="B383" s="68">
        <f>VLOOKUP(Table4[[#This Row],[Date]],Database!A:E,3,)</f>
        <v/>
      </c>
      <c r="C383" s="14">
        <f>(B383-B382)/B382</f>
        <v/>
      </c>
      <c r="D383" s="14">
        <f>(B383-B371)/B371</f>
        <v/>
      </c>
    </row>
    <row r="384">
      <c r="A384" s="61" t="n">
        <v>36008</v>
      </c>
      <c r="B384" s="68">
        <f>VLOOKUP(Table4[[#This Row],[Date]],Database!A:E,3,)</f>
        <v/>
      </c>
      <c r="C384" s="14">
        <f>(B384-B383)/B383</f>
        <v/>
      </c>
      <c r="D384" s="14">
        <f>(B384-B372)/B372</f>
        <v/>
      </c>
    </row>
    <row r="385">
      <c r="A385" s="61" t="n">
        <v>36039</v>
      </c>
      <c r="B385" s="68">
        <f>VLOOKUP(Table4[[#This Row],[Date]],Database!A:E,3,)</f>
        <v/>
      </c>
      <c r="C385" s="14">
        <f>(B385-B384)/B384</f>
        <v/>
      </c>
      <c r="D385" s="14">
        <f>(B385-B373)/B373</f>
        <v/>
      </c>
    </row>
    <row r="386">
      <c r="A386" s="61" t="n">
        <v>36069</v>
      </c>
      <c r="B386" s="68">
        <f>VLOOKUP(Table4[[#This Row],[Date]],Database!A:E,3,)</f>
        <v/>
      </c>
      <c r="C386" s="14">
        <f>(B386-B385)/B385</f>
        <v/>
      </c>
      <c r="D386" s="14">
        <f>(B386-B374)/B374</f>
        <v/>
      </c>
    </row>
    <row r="387">
      <c r="A387" s="61" t="n">
        <v>36100</v>
      </c>
      <c r="B387" s="68">
        <f>VLOOKUP(Table4[[#This Row],[Date]],Database!A:E,3,)</f>
        <v/>
      </c>
      <c r="C387" s="14">
        <f>(B387-B386)/B386</f>
        <v/>
      </c>
      <c r="D387" s="14">
        <f>(B387-B375)/B375</f>
        <v/>
      </c>
    </row>
    <row r="388">
      <c r="A388" s="61" t="n">
        <v>36130</v>
      </c>
      <c r="B388" s="68">
        <f>VLOOKUP(Table4[[#This Row],[Date]],Database!A:E,3,)</f>
        <v/>
      </c>
      <c r="C388" s="14">
        <f>(B388-B387)/B387</f>
        <v/>
      </c>
      <c r="D388" s="14">
        <f>(B388-B376)/B376</f>
        <v/>
      </c>
    </row>
    <row r="389">
      <c r="A389" s="61" t="n">
        <v>36161</v>
      </c>
      <c r="B389" s="68">
        <f>VLOOKUP(Table4[[#This Row],[Date]],Database!A:E,3,)</f>
        <v/>
      </c>
      <c r="C389" s="14">
        <f>(B389-B388)/B388</f>
        <v/>
      </c>
      <c r="D389" s="14">
        <f>(B389-B377)/B377</f>
        <v/>
      </c>
    </row>
    <row r="390">
      <c r="A390" s="61" t="n">
        <v>36192</v>
      </c>
      <c r="B390" s="68">
        <f>VLOOKUP(Table4[[#This Row],[Date]],Database!A:E,3,)</f>
        <v/>
      </c>
      <c r="C390" s="14">
        <f>(B390-B389)/B389</f>
        <v/>
      </c>
      <c r="D390" s="14">
        <f>(B390-B378)/B378</f>
        <v/>
      </c>
    </row>
    <row r="391">
      <c r="A391" s="61" t="n">
        <v>36220</v>
      </c>
      <c r="B391" s="68">
        <f>VLOOKUP(Table4[[#This Row],[Date]],Database!A:E,3,)</f>
        <v/>
      </c>
      <c r="C391" s="14">
        <f>(B391-B390)/B390</f>
        <v/>
      </c>
      <c r="D391" s="14">
        <f>(B391-B379)/B379</f>
        <v/>
      </c>
    </row>
    <row r="392">
      <c r="A392" s="61" t="n">
        <v>36251</v>
      </c>
      <c r="B392" s="68">
        <f>VLOOKUP(Table4[[#This Row],[Date]],Database!A:E,3,)</f>
        <v/>
      </c>
      <c r="C392" s="14">
        <f>(B392-B391)/B391</f>
        <v/>
      </c>
      <c r="D392" s="14">
        <f>(B392-B380)/B380</f>
        <v/>
      </c>
    </row>
    <row r="393">
      <c r="A393" s="61" t="n">
        <v>36281</v>
      </c>
      <c r="B393" s="68">
        <f>VLOOKUP(Table4[[#This Row],[Date]],Database!A:E,3,)</f>
        <v/>
      </c>
      <c r="C393" s="14">
        <f>(B393-B392)/B392</f>
        <v/>
      </c>
      <c r="D393" s="14">
        <f>(B393-B381)/B381</f>
        <v/>
      </c>
    </row>
    <row r="394">
      <c r="A394" s="61" t="n">
        <v>36312</v>
      </c>
      <c r="B394" s="68">
        <f>VLOOKUP(Table4[[#This Row],[Date]],Database!A:E,3,)</f>
        <v/>
      </c>
      <c r="C394" s="14">
        <f>(B394-B393)/B393</f>
        <v/>
      </c>
      <c r="D394" s="14">
        <f>(B394-B382)/B382</f>
        <v/>
      </c>
    </row>
    <row r="395">
      <c r="A395" s="61" t="n">
        <v>36342</v>
      </c>
      <c r="B395" s="68">
        <f>VLOOKUP(Table4[[#This Row],[Date]],Database!A:E,3,)</f>
        <v/>
      </c>
      <c r="C395" s="14">
        <f>(B395-B394)/B394</f>
        <v/>
      </c>
      <c r="D395" s="14">
        <f>(B395-B383)/B383</f>
        <v/>
      </c>
    </row>
    <row r="396">
      <c r="A396" s="61" t="n">
        <v>36373</v>
      </c>
      <c r="B396" s="68">
        <f>VLOOKUP(Table4[[#This Row],[Date]],Database!A:E,3,)</f>
        <v/>
      </c>
      <c r="C396" s="14">
        <f>(B396-B395)/B395</f>
        <v/>
      </c>
      <c r="D396" s="14">
        <f>(B396-B384)/B384</f>
        <v/>
      </c>
    </row>
    <row r="397">
      <c r="A397" s="61" t="n">
        <v>36404</v>
      </c>
      <c r="B397" s="68">
        <f>VLOOKUP(Table4[[#This Row],[Date]],Database!A:E,3,)</f>
        <v/>
      </c>
      <c r="C397" s="14">
        <f>(B397-B396)/B396</f>
        <v/>
      </c>
      <c r="D397" s="14">
        <f>(B397-B385)/B385</f>
        <v/>
      </c>
    </row>
    <row r="398">
      <c r="A398" s="61" t="n">
        <v>36434</v>
      </c>
      <c r="B398" s="68">
        <f>VLOOKUP(Table4[[#This Row],[Date]],Database!A:E,3,)</f>
        <v/>
      </c>
      <c r="C398" s="14">
        <f>(B398-B397)/B397</f>
        <v/>
      </c>
      <c r="D398" s="14">
        <f>(B398-B386)/B386</f>
        <v/>
      </c>
    </row>
    <row r="399">
      <c r="A399" s="61" t="n">
        <v>36465</v>
      </c>
      <c r="B399" s="68">
        <f>VLOOKUP(Table4[[#This Row],[Date]],Database!A:E,3,)</f>
        <v/>
      </c>
      <c r="C399" s="14">
        <f>(B399-B398)/B398</f>
        <v/>
      </c>
      <c r="D399" s="14">
        <f>(B399-B387)/B387</f>
        <v/>
      </c>
    </row>
    <row r="400">
      <c r="A400" s="61" t="n">
        <v>36495</v>
      </c>
      <c r="B400" s="68">
        <f>VLOOKUP(Table4[[#This Row],[Date]],Database!A:E,3,)</f>
        <v/>
      </c>
      <c r="C400" s="14">
        <f>(B400-B399)/B399</f>
        <v/>
      </c>
      <c r="D400" s="14">
        <f>(B400-B388)/B388</f>
        <v/>
      </c>
    </row>
    <row r="401">
      <c r="A401" s="61" t="n">
        <v>36526</v>
      </c>
      <c r="B401" s="68">
        <f>VLOOKUP(Table4[[#This Row],[Date]],Database!A:E,3,)</f>
        <v/>
      </c>
      <c r="C401" s="14">
        <f>(B401-B400)/B400</f>
        <v/>
      </c>
      <c r="D401" s="14">
        <f>(B401-B389)/B389</f>
        <v/>
      </c>
    </row>
    <row r="402">
      <c r="A402" s="61" t="n">
        <v>36557</v>
      </c>
      <c r="B402" s="68">
        <f>VLOOKUP(Table4[[#This Row],[Date]],Database!A:E,3,)</f>
        <v/>
      </c>
      <c r="C402" s="14">
        <f>(B402-B401)/B401</f>
        <v/>
      </c>
      <c r="D402" s="14">
        <f>(B402-B390)/B390</f>
        <v/>
      </c>
    </row>
    <row r="403">
      <c r="A403" s="61" t="n">
        <v>36586</v>
      </c>
      <c r="B403" s="68">
        <f>VLOOKUP(Table4[[#This Row],[Date]],Database!A:E,3,)</f>
        <v/>
      </c>
      <c r="C403" s="14">
        <f>(B403-B402)/B402</f>
        <v/>
      </c>
      <c r="D403" s="14">
        <f>(B403-B391)/B391</f>
        <v/>
      </c>
    </row>
    <row r="404">
      <c r="A404" s="61" t="n">
        <v>36617</v>
      </c>
      <c r="B404" s="68">
        <f>VLOOKUP(Table4[[#This Row],[Date]],Database!A:E,3,)</f>
        <v/>
      </c>
      <c r="C404" s="14">
        <f>(B404-B403)/B403</f>
        <v/>
      </c>
      <c r="D404" s="14">
        <f>(B404-B392)/B392</f>
        <v/>
      </c>
    </row>
    <row r="405">
      <c r="A405" s="61" t="n">
        <v>36647</v>
      </c>
      <c r="B405" s="68">
        <f>VLOOKUP(Table4[[#This Row],[Date]],Database!A:E,3,)</f>
        <v/>
      </c>
      <c r="C405" s="14">
        <f>(B405-B404)/B404</f>
        <v/>
      </c>
      <c r="D405" s="14">
        <f>(B405-B393)/B393</f>
        <v/>
      </c>
    </row>
    <row r="406">
      <c r="A406" s="61" t="n">
        <v>36678</v>
      </c>
      <c r="B406" s="68">
        <f>VLOOKUP(Table4[[#This Row],[Date]],Database!A:E,3,)</f>
        <v/>
      </c>
      <c r="C406" s="14">
        <f>(B406-B405)/B405</f>
        <v/>
      </c>
      <c r="D406" s="14">
        <f>(B406-B394)/B394</f>
        <v/>
      </c>
    </row>
    <row r="407">
      <c r="A407" s="61" t="n">
        <v>36708</v>
      </c>
      <c r="B407" s="68">
        <f>VLOOKUP(Table4[[#This Row],[Date]],Database!A:E,3,)</f>
        <v/>
      </c>
      <c r="C407" s="14">
        <f>(B407-B406)/B406</f>
        <v/>
      </c>
      <c r="D407" s="14">
        <f>(B407-B395)/B395</f>
        <v/>
      </c>
    </row>
    <row r="408">
      <c r="A408" s="61" t="n">
        <v>36739</v>
      </c>
      <c r="B408" s="68">
        <f>VLOOKUP(Table4[[#This Row],[Date]],Database!A:E,3,)</f>
        <v/>
      </c>
      <c r="C408" s="14">
        <f>(B408-B407)/B407</f>
        <v/>
      </c>
      <c r="D408" s="14">
        <f>(B408-B396)/B396</f>
        <v/>
      </c>
    </row>
    <row r="409">
      <c r="A409" s="61" t="n">
        <v>36770</v>
      </c>
      <c r="B409" s="68">
        <f>VLOOKUP(Table4[[#This Row],[Date]],Database!A:E,3,)</f>
        <v/>
      </c>
      <c r="C409" s="14">
        <f>(B409-B408)/B408</f>
        <v/>
      </c>
      <c r="D409" s="14">
        <f>(B409-B397)/B397</f>
        <v/>
      </c>
    </row>
    <row r="410">
      <c r="A410" s="61" t="n">
        <v>36800</v>
      </c>
      <c r="B410" s="68">
        <f>VLOOKUP(Table4[[#This Row],[Date]],Database!A:E,3,)</f>
        <v/>
      </c>
      <c r="C410" s="14">
        <f>(B410-B409)/B409</f>
        <v/>
      </c>
      <c r="D410" s="14">
        <f>(B410-B398)/B398</f>
        <v/>
      </c>
    </row>
    <row r="411">
      <c r="A411" s="61" t="n">
        <v>36831</v>
      </c>
      <c r="B411" s="68">
        <f>VLOOKUP(Table4[[#This Row],[Date]],Database!A:E,3,)</f>
        <v/>
      </c>
      <c r="C411" s="14">
        <f>(B411-B410)/B410</f>
        <v/>
      </c>
      <c r="D411" s="14">
        <f>(B411-B399)/B399</f>
        <v/>
      </c>
    </row>
    <row r="412">
      <c r="A412" s="61" t="n">
        <v>36861</v>
      </c>
      <c r="B412" s="68">
        <f>VLOOKUP(Table4[[#This Row],[Date]],Database!A:E,3,)</f>
        <v/>
      </c>
      <c r="C412" s="14">
        <f>(B412-B411)/B411</f>
        <v/>
      </c>
      <c r="D412" s="14">
        <f>(B412-B400)/B400</f>
        <v/>
      </c>
    </row>
    <row r="413">
      <c r="A413" s="61" t="n">
        <v>36892</v>
      </c>
      <c r="B413" s="68">
        <f>VLOOKUP(Table4[[#This Row],[Date]],Database!A:E,3,)</f>
        <v/>
      </c>
      <c r="C413" s="14">
        <f>(B413-B412)/B412</f>
        <v/>
      </c>
      <c r="D413" s="14">
        <f>(B413-B401)/B401</f>
        <v/>
      </c>
    </row>
    <row r="414">
      <c r="A414" s="61" t="n">
        <v>36923</v>
      </c>
      <c r="B414" s="68">
        <f>VLOOKUP(Table4[[#This Row],[Date]],Database!A:E,3,)</f>
        <v/>
      </c>
      <c r="C414" s="14">
        <f>(B414-B413)/B413</f>
        <v/>
      </c>
      <c r="D414" s="14">
        <f>(B414-B402)/B402</f>
        <v/>
      </c>
    </row>
    <row r="415">
      <c r="A415" s="61" t="n">
        <v>36951</v>
      </c>
      <c r="B415" s="68">
        <f>VLOOKUP(Table4[[#This Row],[Date]],Database!A:E,3,)</f>
        <v/>
      </c>
      <c r="C415" s="14">
        <f>(B415-B414)/B414</f>
        <v/>
      </c>
      <c r="D415" s="14">
        <f>(B415-B403)/B403</f>
        <v/>
      </c>
    </row>
    <row r="416">
      <c r="A416" s="61" t="n">
        <v>36982</v>
      </c>
      <c r="B416" s="68">
        <f>VLOOKUP(Table4[[#This Row],[Date]],Database!A:E,3,)</f>
        <v/>
      </c>
      <c r="C416" s="14">
        <f>(B416-B415)/B415</f>
        <v/>
      </c>
      <c r="D416" s="14">
        <f>(B416-B404)/B404</f>
        <v/>
      </c>
    </row>
    <row r="417">
      <c r="A417" s="61" t="n">
        <v>37012</v>
      </c>
      <c r="B417" s="68">
        <f>VLOOKUP(Table4[[#This Row],[Date]],Database!A:E,3,)</f>
        <v/>
      </c>
      <c r="C417" s="14">
        <f>(B417-B416)/B416</f>
        <v/>
      </c>
      <c r="D417" s="14">
        <f>(B417-B405)/B405</f>
        <v/>
      </c>
    </row>
    <row r="418">
      <c r="A418" s="61" t="n">
        <v>37043</v>
      </c>
      <c r="B418" s="68">
        <f>VLOOKUP(Table4[[#This Row],[Date]],Database!A:E,3,)</f>
        <v/>
      </c>
      <c r="C418" s="14">
        <f>(B418-B417)/B417</f>
        <v/>
      </c>
      <c r="D418" s="14">
        <f>(B418-B406)/B406</f>
        <v/>
      </c>
    </row>
    <row r="419">
      <c r="A419" s="61" t="n">
        <v>37073</v>
      </c>
      <c r="B419" s="68">
        <f>VLOOKUP(Table4[[#This Row],[Date]],Database!A:E,3,)</f>
        <v/>
      </c>
      <c r="C419" s="14">
        <f>(B419-B418)/B418</f>
        <v/>
      </c>
      <c r="D419" s="14">
        <f>(B419-B407)/B407</f>
        <v/>
      </c>
    </row>
    <row r="420">
      <c r="A420" s="61" t="n">
        <v>37104</v>
      </c>
      <c r="B420" s="68">
        <f>VLOOKUP(Table4[[#This Row],[Date]],Database!A:E,3,)</f>
        <v/>
      </c>
      <c r="C420" s="14">
        <f>(B420-B419)/B419</f>
        <v/>
      </c>
      <c r="D420" s="14">
        <f>(B420-B408)/B408</f>
        <v/>
      </c>
    </row>
    <row r="421">
      <c r="A421" s="61" t="n">
        <v>37135</v>
      </c>
      <c r="B421" s="68">
        <f>VLOOKUP(Table4[[#This Row],[Date]],Database!A:E,3,)</f>
        <v/>
      </c>
      <c r="C421" s="14">
        <f>(B421-B420)/B420</f>
        <v/>
      </c>
      <c r="D421" s="14">
        <f>(B421-B409)/B409</f>
        <v/>
      </c>
    </row>
    <row r="422">
      <c r="A422" s="61" t="n">
        <v>37165</v>
      </c>
      <c r="B422" s="68">
        <f>VLOOKUP(Table4[[#This Row],[Date]],Database!A:E,3,)</f>
        <v/>
      </c>
      <c r="C422" s="14">
        <f>(B422-B421)/B421</f>
        <v/>
      </c>
      <c r="D422" s="14">
        <f>(B422-B410)/B410</f>
        <v/>
      </c>
    </row>
    <row r="423">
      <c r="A423" s="61" t="n">
        <v>37196</v>
      </c>
      <c r="B423" s="68">
        <f>VLOOKUP(Table4[[#This Row],[Date]],Database!A:E,3,)</f>
        <v/>
      </c>
      <c r="C423" s="14">
        <f>(B423-B422)/B422</f>
        <v/>
      </c>
      <c r="D423" s="14">
        <f>(B423-B411)/B411</f>
        <v/>
      </c>
    </row>
    <row r="424">
      <c r="A424" s="61" t="n">
        <v>37226</v>
      </c>
      <c r="B424" s="68">
        <f>VLOOKUP(Table4[[#This Row],[Date]],Database!A:E,3,)</f>
        <v/>
      </c>
      <c r="C424" s="14">
        <f>(B424-B423)/B423</f>
        <v/>
      </c>
      <c r="D424" s="14">
        <f>(B424-B412)/B412</f>
        <v/>
      </c>
    </row>
    <row r="425">
      <c r="A425" s="61" t="n">
        <v>37257</v>
      </c>
      <c r="B425" s="68">
        <f>VLOOKUP(Table4[[#This Row],[Date]],Database!A:E,3,)</f>
        <v/>
      </c>
      <c r="C425" s="14">
        <f>(B425-B424)/B424</f>
        <v/>
      </c>
      <c r="D425" s="14">
        <f>(B425-B413)/B413</f>
        <v/>
      </c>
    </row>
    <row r="426">
      <c r="A426" s="61" t="n">
        <v>37288</v>
      </c>
      <c r="B426" s="68">
        <f>VLOOKUP(Table4[[#This Row],[Date]],Database!A:E,3,)</f>
        <v/>
      </c>
      <c r="C426" s="14">
        <f>(B426-B425)/B425</f>
        <v/>
      </c>
      <c r="D426" s="14">
        <f>(B426-B414)/B414</f>
        <v/>
      </c>
    </row>
    <row r="427">
      <c r="A427" s="61" t="n">
        <v>37316</v>
      </c>
      <c r="B427" s="68">
        <f>VLOOKUP(Table4[[#This Row],[Date]],Database!A:E,3,)</f>
        <v/>
      </c>
      <c r="C427" s="14">
        <f>(B427-B426)/B426</f>
        <v/>
      </c>
      <c r="D427" s="14">
        <f>(B427-B415)/B415</f>
        <v/>
      </c>
    </row>
    <row r="428">
      <c r="A428" s="61" t="n">
        <v>37347</v>
      </c>
      <c r="B428" s="68">
        <f>VLOOKUP(Table4[[#This Row],[Date]],Database!A:E,3,)</f>
        <v/>
      </c>
      <c r="C428" s="14">
        <f>(B428-B427)/B427</f>
        <v/>
      </c>
      <c r="D428" s="14">
        <f>(B428-B416)/B416</f>
        <v/>
      </c>
    </row>
    <row r="429">
      <c r="A429" s="61" t="n">
        <v>37377</v>
      </c>
      <c r="B429" s="68">
        <f>VLOOKUP(Table4[[#This Row],[Date]],Database!A:E,3,)</f>
        <v/>
      </c>
      <c r="C429" s="14">
        <f>(B429-B428)/B428</f>
        <v/>
      </c>
      <c r="D429" s="14">
        <f>(B429-B417)/B417</f>
        <v/>
      </c>
    </row>
    <row r="430">
      <c r="A430" s="61" t="n">
        <v>37408</v>
      </c>
      <c r="B430" s="68">
        <f>VLOOKUP(Table4[[#This Row],[Date]],Database!A:E,3,)</f>
        <v/>
      </c>
      <c r="C430" s="14">
        <f>(B430-B429)/B429</f>
        <v/>
      </c>
      <c r="D430" s="14">
        <f>(B430-B418)/B418</f>
        <v/>
      </c>
    </row>
    <row r="431">
      <c r="A431" s="61" t="n">
        <v>37438</v>
      </c>
      <c r="B431" s="68">
        <f>VLOOKUP(Table4[[#This Row],[Date]],Database!A:E,3,)</f>
        <v/>
      </c>
      <c r="C431" s="14">
        <f>(B431-B430)/B430</f>
        <v/>
      </c>
      <c r="D431" s="14">
        <f>(B431-B419)/B419</f>
        <v/>
      </c>
    </row>
    <row r="432">
      <c r="A432" s="61" t="n">
        <v>37469</v>
      </c>
      <c r="B432" s="68">
        <f>VLOOKUP(Table4[[#This Row],[Date]],Database!A:E,3,)</f>
        <v/>
      </c>
      <c r="C432" s="14">
        <f>(B432-B431)/B431</f>
        <v/>
      </c>
      <c r="D432" s="14">
        <f>(B432-B420)/B420</f>
        <v/>
      </c>
    </row>
    <row r="433">
      <c r="A433" s="61" t="n">
        <v>37500</v>
      </c>
      <c r="B433" s="68">
        <f>VLOOKUP(Table4[[#This Row],[Date]],Database!A:E,3,)</f>
        <v/>
      </c>
      <c r="C433" s="14">
        <f>(B433-B432)/B432</f>
        <v/>
      </c>
      <c r="D433" s="14">
        <f>(B433-B421)/B421</f>
        <v/>
      </c>
    </row>
    <row r="434">
      <c r="A434" s="61" t="n">
        <v>37530</v>
      </c>
      <c r="B434" s="68">
        <f>VLOOKUP(Table4[[#This Row],[Date]],Database!A:E,3,)</f>
        <v/>
      </c>
      <c r="C434" s="14">
        <f>(B434-B433)/B433</f>
        <v/>
      </c>
      <c r="D434" s="14">
        <f>(B434-B422)/B422</f>
        <v/>
      </c>
    </row>
    <row r="435">
      <c r="A435" s="61" t="n">
        <v>37561</v>
      </c>
      <c r="B435" s="68">
        <f>VLOOKUP(Table4[[#This Row],[Date]],Database!A:E,3,)</f>
        <v/>
      </c>
      <c r="C435" s="14">
        <f>(B435-B434)/B434</f>
        <v/>
      </c>
      <c r="D435" s="14">
        <f>(B435-B423)/B423</f>
        <v/>
      </c>
    </row>
    <row r="436">
      <c r="A436" s="61" t="n">
        <v>37591</v>
      </c>
      <c r="B436" s="68">
        <f>VLOOKUP(Table4[[#This Row],[Date]],Database!A:E,3,)</f>
        <v/>
      </c>
      <c r="C436" s="14">
        <f>(B436-B435)/B435</f>
        <v/>
      </c>
      <c r="D436" s="14">
        <f>(B436-B424)/B424</f>
        <v/>
      </c>
    </row>
    <row r="437">
      <c r="A437" s="61" t="n">
        <v>37622</v>
      </c>
      <c r="B437" s="68">
        <f>VLOOKUP(Table4[[#This Row],[Date]],Database!A:E,3,)</f>
        <v/>
      </c>
      <c r="C437" s="14">
        <f>(B437-B436)/B436</f>
        <v/>
      </c>
      <c r="D437" s="14">
        <f>(B437-B425)/B425</f>
        <v/>
      </c>
    </row>
    <row r="438">
      <c r="A438" s="61" t="n">
        <v>37653</v>
      </c>
      <c r="B438" s="68">
        <f>VLOOKUP(Table4[[#This Row],[Date]],Database!A:E,3,)</f>
        <v/>
      </c>
      <c r="C438" s="14">
        <f>(B438-B437)/B437</f>
        <v/>
      </c>
      <c r="D438" s="14">
        <f>(B438-B426)/B426</f>
        <v/>
      </c>
    </row>
    <row r="439">
      <c r="A439" s="61" t="n">
        <v>37681</v>
      </c>
      <c r="B439" s="68">
        <f>VLOOKUP(Table4[[#This Row],[Date]],Database!A:E,3,)</f>
        <v/>
      </c>
      <c r="C439" s="14">
        <f>(B439-B438)/B438</f>
        <v/>
      </c>
      <c r="D439" s="14">
        <f>(B439-B427)/B427</f>
        <v/>
      </c>
    </row>
    <row r="440">
      <c r="A440" s="61" t="n">
        <v>37712</v>
      </c>
      <c r="B440" s="68">
        <f>VLOOKUP(Table4[[#This Row],[Date]],Database!A:E,3,)</f>
        <v/>
      </c>
      <c r="C440" s="14">
        <f>(B440-B439)/B439</f>
        <v/>
      </c>
      <c r="D440" s="14">
        <f>(B440-B428)/B428</f>
        <v/>
      </c>
    </row>
    <row r="441">
      <c r="A441" s="61" t="n">
        <v>37742</v>
      </c>
      <c r="B441" s="68">
        <f>VLOOKUP(Table4[[#This Row],[Date]],Database!A:E,3,)</f>
        <v/>
      </c>
      <c r="C441" s="14">
        <f>(B441-B440)/B440</f>
        <v/>
      </c>
      <c r="D441" s="14">
        <f>(B441-B429)/B429</f>
        <v/>
      </c>
    </row>
    <row r="442">
      <c r="A442" s="61" t="n">
        <v>37773</v>
      </c>
      <c r="B442" s="68">
        <f>VLOOKUP(Table4[[#This Row],[Date]],Database!A:E,3,)</f>
        <v/>
      </c>
      <c r="C442" s="14">
        <f>(B442-B441)/B441</f>
        <v/>
      </c>
      <c r="D442" s="14">
        <f>(B442-B430)/B430</f>
        <v/>
      </c>
    </row>
    <row r="443">
      <c r="A443" s="61" t="n">
        <v>37803</v>
      </c>
      <c r="B443" s="68">
        <f>VLOOKUP(Table4[[#This Row],[Date]],Database!A:E,3,)</f>
        <v/>
      </c>
      <c r="C443" s="14">
        <f>(B443-B442)/B442</f>
        <v/>
      </c>
      <c r="D443" s="14">
        <f>(B443-B431)/B431</f>
        <v/>
      </c>
    </row>
    <row r="444">
      <c r="A444" s="61" t="n">
        <v>37834</v>
      </c>
      <c r="B444" s="68">
        <f>VLOOKUP(Table4[[#This Row],[Date]],Database!A:E,3,)</f>
        <v/>
      </c>
      <c r="C444" s="14">
        <f>(B444-B443)/B443</f>
        <v/>
      </c>
      <c r="D444" s="14">
        <f>(B444-B432)/B432</f>
        <v/>
      </c>
    </row>
    <row r="445">
      <c r="A445" s="61" t="n">
        <v>37865</v>
      </c>
      <c r="B445" s="68">
        <f>VLOOKUP(Table4[[#This Row],[Date]],Database!A:E,3,)</f>
        <v/>
      </c>
      <c r="C445" s="14">
        <f>(B445-B444)/B444</f>
        <v/>
      </c>
      <c r="D445" s="14">
        <f>(B445-B433)/B433</f>
        <v/>
      </c>
    </row>
    <row r="446">
      <c r="A446" s="61" t="n">
        <v>37895</v>
      </c>
      <c r="B446" s="68">
        <f>VLOOKUP(Table4[[#This Row],[Date]],Database!A:E,3,)</f>
        <v/>
      </c>
      <c r="C446" s="14">
        <f>(B446-B445)/B445</f>
        <v/>
      </c>
      <c r="D446" s="14">
        <f>(B446-B434)/B434</f>
        <v/>
      </c>
    </row>
    <row r="447">
      <c r="A447" s="61" t="n">
        <v>37926</v>
      </c>
      <c r="B447" s="68">
        <f>VLOOKUP(Table4[[#This Row],[Date]],Database!A:E,3,)</f>
        <v/>
      </c>
      <c r="C447" s="14">
        <f>(B447-B446)/B446</f>
        <v/>
      </c>
      <c r="D447" s="14">
        <f>(B447-B435)/B435</f>
        <v/>
      </c>
    </row>
    <row r="448">
      <c r="A448" s="61" t="n">
        <v>37956</v>
      </c>
      <c r="B448" s="68">
        <f>VLOOKUP(Table4[[#This Row],[Date]],Database!A:E,3,)</f>
        <v/>
      </c>
      <c r="C448" s="14">
        <f>(B448-B447)/B447</f>
        <v/>
      </c>
      <c r="D448" s="14">
        <f>(B448-B436)/B436</f>
        <v/>
      </c>
    </row>
    <row r="449">
      <c r="A449" s="61" t="n">
        <v>37987</v>
      </c>
      <c r="B449" s="68">
        <f>VLOOKUP(Table4[[#This Row],[Date]],Database!A:E,3,)</f>
        <v/>
      </c>
      <c r="C449" s="14">
        <f>(B449-B448)/B448</f>
        <v/>
      </c>
      <c r="D449" s="14">
        <f>(B449-B437)/B437</f>
        <v/>
      </c>
    </row>
    <row r="450">
      <c r="A450" s="61" t="n">
        <v>38018</v>
      </c>
      <c r="B450" s="68">
        <f>VLOOKUP(Table4[[#This Row],[Date]],Database!A:E,3,)</f>
        <v/>
      </c>
      <c r="C450" s="14">
        <f>(B450-B449)/B449</f>
        <v/>
      </c>
      <c r="D450" s="14">
        <f>(B450-B438)/B438</f>
        <v/>
      </c>
    </row>
    <row r="451">
      <c r="A451" s="61" t="n">
        <v>38047</v>
      </c>
      <c r="B451" s="68">
        <f>VLOOKUP(Table4[[#This Row],[Date]],Database!A:E,3,)</f>
        <v/>
      </c>
      <c r="C451" s="14">
        <f>(B451-B450)/B450</f>
        <v/>
      </c>
      <c r="D451" s="14">
        <f>(B451-B439)/B439</f>
        <v/>
      </c>
    </row>
    <row r="452">
      <c r="A452" s="61" t="n">
        <v>38078</v>
      </c>
      <c r="B452" s="68">
        <f>VLOOKUP(Table4[[#This Row],[Date]],Database!A:E,3,)</f>
        <v/>
      </c>
      <c r="C452" s="14">
        <f>(B452-B451)/B451</f>
        <v/>
      </c>
      <c r="D452" s="14">
        <f>(B452-B440)/B440</f>
        <v/>
      </c>
    </row>
    <row r="453">
      <c r="A453" s="61" t="n">
        <v>38108</v>
      </c>
      <c r="B453" s="68">
        <f>VLOOKUP(Table4[[#This Row],[Date]],Database!A:E,3,)</f>
        <v/>
      </c>
      <c r="C453" s="14">
        <f>(B453-B452)/B452</f>
        <v/>
      </c>
      <c r="D453" s="14">
        <f>(B453-B441)/B441</f>
        <v/>
      </c>
    </row>
    <row r="454">
      <c r="A454" s="61" t="n">
        <v>38139</v>
      </c>
      <c r="B454" s="68">
        <f>VLOOKUP(Table4[[#This Row],[Date]],Database!A:E,3,)</f>
        <v/>
      </c>
      <c r="C454" s="14">
        <f>(B454-B453)/B453</f>
        <v/>
      </c>
      <c r="D454" s="14">
        <f>(B454-B442)/B442</f>
        <v/>
      </c>
    </row>
    <row r="455">
      <c r="A455" s="61" t="n">
        <v>38169</v>
      </c>
      <c r="B455" s="68">
        <f>VLOOKUP(Table4[[#This Row],[Date]],Database!A:E,3,)</f>
        <v/>
      </c>
      <c r="C455" s="14">
        <f>(B455-B454)/B454</f>
        <v/>
      </c>
      <c r="D455" s="14">
        <f>(B455-B443)/B443</f>
        <v/>
      </c>
    </row>
    <row r="456">
      <c r="A456" s="61" t="n">
        <v>38200</v>
      </c>
      <c r="B456" s="68">
        <f>VLOOKUP(Table4[[#This Row],[Date]],Database!A:E,3,)</f>
        <v/>
      </c>
      <c r="C456" s="14">
        <f>(B456-B455)/B455</f>
        <v/>
      </c>
      <c r="D456" s="14">
        <f>(B456-B444)/B444</f>
        <v/>
      </c>
    </row>
    <row r="457">
      <c r="A457" s="61" t="n">
        <v>38231</v>
      </c>
      <c r="B457" s="68">
        <f>VLOOKUP(Table4[[#This Row],[Date]],Database!A:E,3,)</f>
        <v/>
      </c>
      <c r="C457" s="14">
        <f>(B457-B456)/B456</f>
        <v/>
      </c>
      <c r="D457" s="14">
        <f>(B457-B445)/B445</f>
        <v/>
      </c>
    </row>
    <row r="458">
      <c r="A458" s="61" t="n">
        <v>38261</v>
      </c>
      <c r="B458" s="68">
        <f>VLOOKUP(Table4[[#This Row],[Date]],Database!A:E,3,)</f>
        <v/>
      </c>
      <c r="C458" s="14">
        <f>(B458-B457)/B457</f>
        <v/>
      </c>
      <c r="D458" s="14">
        <f>(B458-B446)/B446</f>
        <v/>
      </c>
    </row>
    <row r="459">
      <c r="A459" s="61" t="n">
        <v>38292</v>
      </c>
      <c r="B459" s="68">
        <f>VLOOKUP(Table4[[#This Row],[Date]],Database!A:E,3,)</f>
        <v/>
      </c>
      <c r="C459" s="14">
        <f>(B459-B458)/B458</f>
        <v/>
      </c>
      <c r="D459" s="14">
        <f>(B459-B447)/B447</f>
        <v/>
      </c>
    </row>
    <row r="460">
      <c r="A460" s="61" t="n">
        <v>38322</v>
      </c>
      <c r="B460" s="68">
        <f>VLOOKUP(Table4[[#This Row],[Date]],Database!A:E,3,)</f>
        <v/>
      </c>
      <c r="C460" s="14">
        <f>(B460-B459)/B459</f>
        <v/>
      </c>
      <c r="D460" s="14">
        <f>(B460-B448)/B448</f>
        <v/>
      </c>
    </row>
    <row r="461">
      <c r="A461" s="61" t="n">
        <v>38353</v>
      </c>
      <c r="B461" s="68">
        <f>VLOOKUP(Table4[[#This Row],[Date]],Database!A:E,3,)</f>
        <v/>
      </c>
      <c r="C461" s="14">
        <f>(B461-B460)/B460</f>
        <v/>
      </c>
      <c r="D461" s="14">
        <f>(B461-B449)/B449</f>
        <v/>
      </c>
    </row>
    <row r="462">
      <c r="A462" s="61" t="n">
        <v>38384</v>
      </c>
      <c r="B462" s="68">
        <f>VLOOKUP(Table4[[#This Row],[Date]],Database!A:E,3,)</f>
        <v/>
      </c>
      <c r="C462" s="14">
        <f>(B462-B461)/B461</f>
        <v/>
      </c>
      <c r="D462" s="14">
        <f>(B462-B450)/B450</f>
        <v/>
      </c>
    </row>
    <row r="463">
      <c r="A463" s="61" t="n">
        <v>38412</v>
      </c>
      <c r="B463" s="68">
        <f>VLOOKUP(Table4[[#This Row],[Date]],Database!A:E,3,)</f>
        <v/>
      </c>
      <c r="C463" s="14">
        <f>(B463-B462)/B462</f>
        <v/>
      </c>
      <c r="D463" s="14">
        <f>(B463-B451)/B451</f>
        <v/>
      </c>
    </row>
    <row r="464">
      <c r="A464" s="61" t="n">
        <v>38443</v>
      </c>
      <c r="B464" s="68">
        <f>VLOOKUP(Table4[[#This Row],[Date]],Database!A:E,3,)</f>
        <v/>
      </c>
      <c r="C464" s="14">
        <f>(B464-B463)/B463</f>
        <v/>
      </c>
      <c r="D464" s="14">
        <f>(B464-B452)/B452</f>
        <v/>
      </c>
    </row>
    <row r="465">
      <c r="A465" s="61" t="n">
        <v>38473</v>
      </c>
      <c r="B465" s="68">
        <f>VLOOKUP(Table4[[#This Row],[Date]],Database!A:E,3,)</f>
        <v/>
      </c>
      <c r="C465" s="14">
        <f>(B465-B464)/B464</f>
        <v/>
      </c>
      <c r="D465" s="14">
        <f>(B465-B453)/B453</f>
        <v/>
      </c>
    </row>
    <row r="466">
      <c r="A466" s="61" t="n">
        <v>38504</v>
      </c>
      <c r="B466" s="68">
        <f>VLOOKUP(Table4[[#This Row],[Date]],Database!A:E,3,)</f>
        <v/>
      </c>
      <c r="C466" s="14">
        <f>(B466-B465)/B465</f>
        <v/>
      </c>
      <c r="D466" s="14">
        <f>(B466-B454)/B454</f>
        <v/>
      </c>
    </row>
    <row r="467">
      <c r="A467" s="61" t="n">
        <v>38534</v>
      </c>
      <c r="B467" s="68">
        <f>VLOOKUP(Table4[[#This Row],[Date]],Database!A:E,3,)</f>
        <v/>
      </c>
      <c r="C467" s="14">
        <f>(B467-B466)/B466</f>
        <v/>
      </c>
      <c r="D467" s="14">
        <f>(B467-B455)/B455</f>
        <v/>
      </c>
    </row>
    <row r="468">
      <c r="A468" s="61" t="n">
        <v>38565</v>
      </c>
      <c r="B468" s="68">
        <f>VLOOKUP(Table4[[#This Row],[Date]],Database!A:E,3,)</f>
        <v/>
      </c>
      <c r="C468" s="14">
        <f>(B468-B467)/B467</f>
        <v/>
      </c>
      <c r="D468" s="14">
        <f>(B468-B456)/B456</f>
        <v/>
      </c>
    </row>
    <row r="469">
      <c r="A469" s="61" t="n">
        <v>38596</v>
      </c>
      <c r="B469" s="68">
        <f>VLOOKUP(Table4[[#This Row],[Date]],Database!A:E,3,)</f>
        <v/>
      </c>
      <c r="C469" s="14">
        <f>(B469-B468)/B468</f>
        <v/>
      </c>
      <c r="D469" s="14">
        <f>(B469-B457)/B457</f>
        <v/>
      </c>
    </row>
    <row r="470">
      <c r="A470" s="61" t="n">
        <v>38626</v>
      </c>
      <c r="B470" s="68">
        <f>VLOOKUP(Table4[[#This Row],[Date]],Database!A:E,3,)</f>
        <v/>
      </c>
      <c r="C470" s="14">
        <f>(B470-B469)/B469</f>
        <v/>
      </c>
      <c r="D470" s="14">
        <f>(B470-B458)/B458</f>
        <v/>
      </c>
    </row>
    <row r="471">
      <c r="A471" s="61" t="n">
        <v>38657</v>
      </c>
      <c r="B471" s="68">
        <f>VLOOKUP(Table4[[#This Row],[Date]],Database!A:E,3,)</f>
        <v/>
      </c>
      <c r="C471" s="14">
        <f>(B471-B470)/B470</f>
        <v/>
      </c>
      <c r="D471" s="14">
        <f>(B471-B459)/B459</f>
        <v/>
      </c>
    </row>
    <row r="472">
      <c r="A472" s="61" t="n">
        <v>38687</v>
      </c>
      <c r="B472" s="68">
        <f>VLOOKUP(Table4[[#This Row],[Date]],Database!A:E,3,)</f>
        <v/>
      </c>
      <c r="C472" s="14">
        <f>(B472-B471)/B471</f>
        <v/>
      </c>
      <c r="D472" s="14">
        <f>(B472-B460)/B460</f>
        <v/>
      </c>
    </row>
    <row r="473">
      <c r="A473" s="61" t="n">
        <v>38718</v>
      </c>
      <c r="B473" s="68">
        <f>VLOOKUP(Table4[[#This Row],[Date]],Database!A:E,3,)</f>
        <v/>
      </c>
      <c r="C473" s="14">
        <f>(B473-B472)/B472</f>
        <v/>
      </c>
      <c r="D473" s="14">
        <f>(B473-B461)/B461</f>
        <v/>
      </c>
    </row>
    <row r="474">
      <c r="A474" s="61" t="n">
        <v>38749</v>
      </c>
      <c r="B474" s="68">
        <f>VLOOKUP(Table4[[#This Row],[Date]],Database!A:E,3,)</f>
        <v/>
      </c>
      <c r="C474" s="14">
        <f>(B474-B473)/B473</f>
        <v/>
      </c>
      <c r="D474" s="14">
        <f>(B474-B462)/B462</f>
        <v/>
      </c>
    </row>
    <row r="475">
      <c r="A475" s="61" t="n">
        <v>38777</v>
      </c>
      <c r="B475" s="68">
        <f>VLOOKUP(Table4[[#This Row],[Date]],Database!A:E,3,)</f>
        <v/>
      </c>
      <c r="C475" s="14">
        <f>(B475-B474)/B474</f>
        <v/>
      </c>
      <c r="D475" s="14">
        <f>(B475-B463)/B463</f>
        <v/>
      </c>
    </row>
    <row r="476">
      <c r="A476" s="61" t="n">
        <v>38808</v>
      </c>
      <c r="B476" s="68">
        <f>VLOOKUP(Table4[[#This Row],[Date]],Database!A:E,3,)</f>
        <v/>
      </c>
      <c r="C476" s="14">
        <f>(B476-B475)/B475</f>
        <v/>
      </c>
      <c r="D476" s="14">
        <f>(B476-B464)/B464</f>
        <v/>
      </c>
    </row>
    <row r="477">
      <c r="A477" s="61" t="n">
        <v>38838</v>
      </c>
      <c r="B477" s="68">
        <f>VLOOKUP(Table4[[#This Row],[Date]],Database!A:E,3,)</f>
        <v/>
      </c>
      <c r="C477" s="14">
        <f>(B477-B476)/B476</f>
        <v/>
      </c>
      <c r="D477" s="14">
        <f>(B477-B465)/B465</f>
        <v/>
      </c>
    </row>
    <row r="478">
      <c r="A478" s="61" t="n">
        <v>38869</v>
      </c>
      <c r="B478" s="68">
        <f>VLOOKUP(Table4[[#This Row],[Date]],Database!A:E,3,)</f>
        <v/>
      </c>
      <c r="C478" s="14">
        <f>(B478-B477)/B477</f>
        <v/>
      </c>
      <c r="D478" s="14">
        <f>(B478-B466)/B466</f>
        <v/>
      </c>
    </row>
    <row r="479">
      <c r="A479" s="61" t="n">
        <v>38899</v>
      </c>
      <c r="B479" s="68">
        <f>VLOOKUP(Table4[[#This Row],[Date]],Database!A:E,3,)</f>
        <v/>
      </c>
      <c r="C479" s="14">
        <f>(B479-B478)/B478</f>
        <v/>
      </c>
      <c r="D479" s="14">
        <f>(B479-B467)/B467</f>
        <v/>
      </c>
    </row>
    <row r="480">
      <c r="A480" s="61" t="n">
        <v>38930</v>
      </c>
      <c r="B480" s="68">
        <f>VLOOKUP(Table4[[#This Row],[Date]],Database!A:E,3,)</f>
        <v/>
      </c>
      <c r="C480" s="14">
        <f>(B480-B479)/B479</f>
        <v/>
      </c>
      <c r="D480" s="14">
        <f>(B480-B468)/B468</f>
        <v/>
      </c>
    </row>
    <row r="481">
      <c r="A481" s="61" t="n">
        <v>38961</v>
      </c>
      <c r="B481" s="68">
        <f>VLOOKUP(Table4[[#This Row],[Date]],Database!A:E,3,)</f>
        <v/>
      </c>
      <c r="C481" s="14">
        <f>(B481-B480)/B480</f>
        <v/>
      </c>
      <c r="D481" s="14">
        <f>(B481-B469)/B469</f>
        <v/>
      </c>
    </row>
    <row r="482">
      <c r="A482" s="61" t="n">
        <v>38991</v>
      </c>
      <c r="B482" s="68">
        <f>VLOOKUP(Table4[[#This Row],[Date]],Database!A:E,3,)</f>
        <v/>
      </c>
      <c r="C482" s="14">
        <f>(B482-B481)/B481</f>
        <v/>
      </c>
      <c r="D482" s="14">
        <f>(B482-B470)/B470</f>
        <v/>
      </c>
    </row>
    <row r="483">
      <c r="A483" s="61" t="n">
        <v>39022</v>
      </c>
      <c r="B483" s="68">
        <f>VLOOKUP(Table4[[#This Row],[Date]],Database!A:E,3,)</f>
        <v/>
      </c>
      <c r="C483" s="14">
        <f>(B483-B482)/B482</f>
        <v/>
      </c>
      <c r="D483" s="14">
        <f>(B483-B471)/B471</f>
        <v/>
      </c>
    </row>
    <row r="484">
      <c r="A484" s="61" t="n">
        <v>39052</v>
      </c>
      <c r="B484" s="68">
        <f>VLOOKUP(Table4[[#This Row],[Date]],Database!A:E,3,)</f>
        <v/>
      </c>
      <c r="C484" s="14">
        <f>(B484-B483)/B483</f>
        <v/>
      </c>
      <c r="D484" s="14">
        <f>(B484-B472)/B472</f>
        <v/>
      </c>
    </row>
    <row r="485">
      <c r="A485" s="61" t="n">
        <v>39083</v>
      </c>
      <c r="B485" s="68">
        <f>VLOOKUP(Table4[[#This Row],[Date]],Database!A:E,3,)</f>
        <v/>
      </c>
      <c r="C485" s="14">
        <f>(B485-B484)/B484</f>
        <v/>
      </c>
      <c r="D485" s="14">
        <f>(B485-B473)/B473</f>
        <v/>
      </c>
    </row>
    <row r="486">
      <c r="A486" s="61" t="n">
        <v>39114</v>
      </c>
      <c r="B486" s="68">
        <f>VLOOKUP(Table4[[#This Row],[Date]],Database!A:E,3,)</f>
        <v/>
      </c>
      <c r="C486" s="14">
        <f>(B486-B485)/B485</f>
        <v/>
      </c>
      <c r="D486" s="14">
        <f>(B486-B474)/B474</f>
        <v/>
      </c>
    </row>
    <row r="487">
      <c r="A487" s="61" t="n">
        <v>39142</v>
      </c>
      <c r="B487" s="68">
        <f>VLOOKUP(Table4[[#This Row],[Date]],Database!A:E,3,)</f>
        <v/>
      </c>
      <c r="C487" s="14">
        <f>(B487-B486)/B486</f>
        <v/>
      </c>
      <c r="D487" s="14">
        <f>(B487-B475)/B475</f>
        <v/>
      </c>
    </row>
    <row r="488">
      <c r="A488" s="61" t="n">
        <v>39173</v>
      </c>
      <c r="B488" s="68">
        <f>VLOOKUP(Table4[[#This Row],[Date]],Database!A:E,3,)</f>
        <v/>
      </c>
      <c r="C488" s="14">
        <f>(B488-B487)/B487</f>
        <v/>
      </c>
      <c r="D488" s="14">
        <f>(B488-B476)/B476</f>
        <v/>
      </c>
    </row>
    <row r="489">
      <c r="A489" s="61" t="n">
        <v>39203</v>
      </c>
      <c r="B489" s="68">
        <f>VLOOKUP(Table4[[#This Row],[Date]],Database!A:E,3,)</f>
        <v/>
      </c>
      <c r="C489" s="14">
        <f>(B489-B488)/B488</f>
        <v/>
      </c>
      <c r="D489" s="14">
        <f>(B489-B477)/B477</f>
        <v/>
      </c>
    </row>
    <row r="490">
      <c r="A490" s="61" t="n">
        <v>39234</v>
      </c>
      <c r="B490" s="68">
        <f>VLOOKUP(Table4[[#This Row],[Date]],Database!A:E,3,)</f>
        <v/>
      </c>
      <c r="C490" s="14">
        <f>(B490-B489)/B489</f>
        <v/>
      </c>
      <c r="D490" s="14">
        <f>(B490-B478)/B478</f>
        <v/>
      </c>
    </row>
    <row r="491">
      <c r="A491" s="61" t="n">
        <v>39264</v>
      </c>
      <c r="B491" s="68">
        <f>VLOOKUP(Table4[[#This Row],[Date]],Database!A:E,3,)</f>
        <v/>
      </c>
      <c r="C491" s="14">
        <f>(B491-B490)/B490</f>
        <v/>
      </c>
      <c r="D491" s="14">
        <f>(B491-B479)/B479</f>
        <v/>
      </c>
    </row>
    <row r="492">
      <c r="A492" s="61" t="n">
        <v>39295</v>
      </c>
      <c r="B492" s="68">
        <f>VLOOKUP(Table4[[#This Row],[Date]],Database!A:E,3,)</f>
        <v/>
      </c>
      <c r="C492" s="14">
        <f>(B492-B491)/B491</f>
        <v/>
      </c>
      <c r="D492" s="14">
        <f>(B492-B480)/B480</f>
        <v/>
      </c>
    </row>
    <row r="493">
      <c r="A493" s="61" t="n">
        <v>39326</v>
      </c>
      <c r="B493" s="68">
        <f>VLOOKUP(Table4[[#This Row],[Date]],Database!A:E,3,)</f>
        <v/>
      </c>
      <c r="C493" s="14">
        <f>(B493-B492)/B492</f>
        <v/>
      </c>
      <c r="D493" s="14">
        <f>(B493-B481)/B481</f>
        <v/>
      </c>
    </row>
    <row r="494">
      <c r="A494" s="61" t="n">
        <v>39356</v>
      </c>
      <c r="B494" s="68">
        <f>VLOOKUP(Table4[[#This Row],[Date]],Database!A:E,3,)</f>
        <v/>
      </c>
      <c r="C494" s="14">
        <f>(B494-B493)/B493</f>
        <v/>
      </c>
      <c r="D494" s="14">
        <f>(B494-B482)/B482</f>
        <v/>
      </c>
    </row>
    <row r="495">
      <c r="A495" s="61" t="n">
        <v>39387</v>
      </c>
      <c r="B495" s="68">
        <f>VLOOKUP(Table4[[#This Row],[Date]],Database!A:E,3,)</f>
        <v/>
      </c>
      <c r="C495" s="14">
        <f>(B495-B494)/B494</f>
        <v/>
      </c>
      <c r="D495" s="14">
        <f>(B495-B483)/B483</f>
        <v/>
      </c>
    </row>
    <row r="496">
      <c r="A496" s="61" t="n">
        <v>39417</v>
      </c>
      <c r="B496" s="68">
        <f>VLOOKUP(Table4[[#This Row],[Date]],Database!A:E,3,)</f>
        <v/>
      </c>
      <c r="C496" s="14">
        <f>(B496-B495)/B495</f>
        <v/>
      </c>
      <c r="D496" s="14">
        <f>(B496-B484)/B484</f>
        <v/>
      </c>
    </row>
    <row r="497">
      <c r="A497" s="61" t="n">
        <v>39448</v>
      </c>
      <c r="B497" s="68">
        <f>VLOOKUP(Table4[[#This Row],[Date]],Database!A:E,3,)</f>
        <v/>
      </c>
      <c r="C497" s="14">
        <f>(B497-B496)/B496</f>
        <v/>
      </c>
      <c r="D497" s="14">
        <f>(B497-B485)/B485</f>
        <v/>
      </c>
    </row>
    <row r="498">
      <c r="A498" s="61" t="n">
        <v>39479</v>
      </c>
      <c r="B498" s="68">
        <f>VLOOKUP(Table4[[#This Row],[Date]],Database!A:E,3,)</f>
        <v/>
      </c>
      <c r="C498" s="14">
        <f>(B498-B497)/B497</f>
        <v/>
      </c>
      <c r="D498" s="14">
        <f>(B498-B486)/B486</f>
        <v/>
      </c>
    </row>
    <row r="499">
      <c r="A499" s="61" t="n">
        <v>39508</v>
      </c>
      <c r="B499" s="68">
        <f>VLOOKUP(Table4[[#This Row],[Date]],Database!A:E,3,)</f>
        <v/>
      </c>
      <c r="C499" s="14">
        <f>(B499-B498)/B498</f>
        <v/>
      </c>
      <c r="D499" s="14">
        <f>(B499-B487)/B487</f>
        <v/>
      </c>
    </row>
    <row r="500">
      <c r="A500" s="61" t="n">
        <v>39539</v>
      </c>
      <c r="B500" s="68">
        <f>VLOOKUP(Table4[[#This Row],[Date]],Database!A:E,3,)</f>
        <v/>
      </c>
      <c r="C500" s="14">
        <f>(B500-B499)/B499</f>
        <v/>
      </c>
      <c r="D500" s="14">
        <f>(B500-B488)/B488</f>
        <v/>
      </c>
    </row>
    <row r="501">
      <c r="A501" s="61" t="n">
        <v>39569</v>
      </c>
      <c r="B501" s="68">
        <f>VLOOKUP(Table4[[#This Row],[Date]],Database!A:E,3,)</f>
        <v/>
      </c>
      <c r="C501" s="14">
        <f>(B501-B500)/B500</f>
        <v/>
      </c>
      <c r="D501" s="14">
        <f>(B501-B489)/B489</f>
        <v/>
      </c>
    </row>
    <row r="502">
      <c r="A502" s="61" t="n">
        <v>39600</v>
      </c>
      <c r="B502" s="68">
        <f>VLOOKUP(Table4[[#This Row],[Date]],Database!A:E,3,)</f>
        <v/>
      </c>
      <c r="C502" s="14">
        <f>(B502-B501)/B501</f>
        <v/>
      </c>
      <c r="D502" s="14">
        <f>(B502-B490)/B490</f>
        <v/>
      </c>
    </row>
    <row r="503">
      <c r="A503" s="61" t="n">
        <v>39630</v>
      </c>
      <c r="B503" s="68">
        <f>VLOOKUP(Table4[[#This Row],[Date]],Database!A:E,3,)</f>
        <v/>
      </c>
      <c r="C503" s="14">
        <f>(B503-B502)/B502</f>
        <v/>
      </c>
      <c r="D503" s="14">
        <f>(B503-B491)/B491</f>
        <v/>
      </c>
    </row>
    <row r="504">
      <c r="A504" s="61" t="n">
        <v>39661</v>
      </c>
      <c r="B504" s="68">
        <f>VLOOKUP(Table4[[#This Row],[Date]],Database!A:E,3,)</f>
        <v/>
      </c>
      <c r="C504" s="14">
        <f>(B504-B503)/B503</f>
        <v/>
      </c>
      <c r="D504" s="14">
        <f>(B504-B492)/B492</f>
        <v/>
      </c>
    </row>
    <row r="505">
      <c r="A505" s="61" t="n">
        <v>39692</v>
      </c>
      <c r="B505" s="68">
        <f>VLOOKUP(Table4[[#This Row],[Date]],Database!A:E,3,)</f>
        <v/>
      </c>
      <c r="C505" s="14">
        <f>(B505-B504)/B504</f>
        <v/>
      </c>
      <c r="D505" s="14">
        <f>(B505-B493)/B493</f>
        <v/>
      </c>
    </row>
    <row r="506">
      <c r="A506" s="61" t="n">
        <v>39722</v>
      </c>
      <c r="B506" s="68">
        <f>VLOOKUP(Table4[[#This Row],[Date]],Database!A:E,3,)</f>
        <v/>
      </c>
      <c r="C506" s="14">
        <f>(B506-B505)/B505</f>
        <v/>
      </c>
      <c r="D506" s="14">
        <f>(B506-B494)/B494</f>
        <v/>
      </c>
    </row>
    <row r="507">
      <c r="A507" s="61" t="n">
        <v>39753</v>
      </c>
      <c r="B507" s="68">
        <f>VLOOKUP(Table4[[#This Row],[Date]],Database!A:E,3,)</f>
        <v/>
      </c>
      <c r="C507" s="14">
        <f>(B507-B506)/B506</f>
        <v/>
      </c>
      <c r="D507" s="14">
        <f>(B507-B495)/B495</f>
        <v/>
      </c>
    </row>
    <row r="508">
      <c r="A508" s="61" t="n">
        <v>39783</v>
      </c>
      <c r="B508" s="68">
        <f>VLOOKUP(Table4[[#This Row],[Date]],Database!A:E,3,)</f>
        <v/>
      </c>
      <c r="C508" s="14">
        <f>(B508-B507)/B507</f>
        <v/>
      </c>
      <c r="D508" s="14">
        <f>(B508-B496)/B496</f>
        <v/>
      </c>
    </row>
    <row r="509">
      <c r="A509" s="61" t="n">
        <v>39814</v>
      </c>
      <c r="B509" s="68">
        <f>VLOOKUP(Table4[[#This Row],[Date]],Database!A:E,3,)</f>
        <v/>
      </c>
      <c r="C509" s="14">
        <f>(B509-B508)/B508</f>
        <v/>
      </c>
      <c r="D509" s="14">
        <f>(B509-B497)/B497</f>
        <v/>
      </c>
    </row>
    <row r="510">
      <c r="A510" s="61" t="n">
        <v>39845</v>
      </c>
      <c r="B510" s="68">
        <f>VLOOKUP(Table4[[#This Row],[Date]],Database!A:E,3,)</f>
        <v/>
      </c>
      <c r="C510" s="14">
        <f>(B510-B509)/B509</f>
        <v/>
      </c>
      <c r="D510" s="14">
        <f>(B510-B498)/B498</f>
        <v/>
      </c>
    </row>
    <row r="511">
      <c r="A511" s="61" t="n">
        <v>39873</v>
      </c>
      <c r="B511" s="68">
        <f>VLOOKUP(Table4[[#This Row],[Date]],Database!A:E,3,)</f>
        <v/>
      </c>
      <c r="C511" s="14">
        <f>(B511-B510)/B510</f>
        <v/>
      </c>
      <c r="D511" s="14">
        <f>(B511-B499)/B499</f>
        <v/>
      </c>
    </row>
    <row r="512">
      <c r="A512" s="61" t="n">
        <v>39904</v>
      </c>
      <c r="B512" s="68">
        <f>VLOOKUP(Table4[[#This Row],[Date]],Database!A:E,3,)</f>
        <v/>
      </c>
      <c r="C512" s="14">
        <f>(B512-B511)/B511</f>
        <v/>
      </c>
      <c r="D512" s="14">
        <f>(B512-B500)/B500</f>
        <v/>
      </c>
    </row>
    <row r="513">
      <c r="A513" s="61" t="n">
        <v>39934</v>
      </c>
      <c r="B513" s="68">
        <f>VLOOKUP(Table4[[#This Row],[Date]],Database!A:E,3,)</f>
        <v/>
      </c>
      <c r="C513" s="14">
        <f>(B513-B512)/B512</f>
        <v/>
      </c>
      <c r="D513" s="14">
        <f>(B513-B501)/B501</f>
        <v/>
      </c>
    </row>
    <row r="514">
      <c r="A514" s="61" t="n">
        <v>39965</v>
      </c>
      <c r="B514" s="68">
        <f>VLOOKUP(Table4[[#This Row],[Date]],Database!A:E,3,)</f>
        <v/>
      </c>
      <c r="C514" s="14">
        <f>(B514-B513)/B513</f>
        <v/>
      </c>
      <c r="D514" s="14">
        <f>(B514-B502)/B502</f>
        <v/>
      </c>
    </row>
    <row r="515">
      <c r="A515" s="61" t="n">
        <v>39995</v>
      </c>
      <c r="B515" s="68">
        <f>VLOOKUP(Table4[[#This Row],[Date]],Database!A:E,3,)</f>
        <v/>
      </c>
      <c r="C515" s="14">
        <f>(B515-B514)/B514</f>
        <v/>
      </c>
      <c r="D515" s="14">
        <f>(B515-B503)/B503</f>
        <v/>
      </c>
    </row>
    <row r="516">
      <c r="A516" s="61" t="n">
        <v>40026</v>
      </c>
      <c r="B516" s="68">
        <f>VLOOKUP(Table4[[#This Row],[Date]],Database!A:E,3,)</f>
        <v/>
      </c>
      <c r="C516" s="14">
        <f>(B516-B515)/B515</f>
        <v/>
      </c>
      <c r="D516" s="14">
        <f>(B516-B504)/B504</f>
        <v/>
      </c>
    </row>
    <row r="517">
      <c r="A517" s="61" t="n">
        <v>40057</v>
      </c>
      <c r="B517" s="68">
        <f>VLOOKUP(Table4[[#This Row],[Date]],Database!A:E,3,)</f>
        <v/>
      </c>
      <c r="C517" s="14">
        <f>(B517-B516)/B516</f>
        <v/>
      </c>
      <c r="D517" s="14">
        <f>(B517-B505)/B505</f>
        <v/>
      </c>
    </row>
    <row r="518">
      <c r="A518" s="61" t="n">
        <v>40087</v>
      </c>
      <c r="B518" s="68">
        <f>VLOOKUP(Table4[[#This Row],[Date]],Database!A:E,3,)</f>
        <v/>
      </c>
      <c r="C518" s="14">
        <f>(B518-B517)/B517</f>
        <v/>
      </c>
      <c r="D518" s="14">
        <f>(B518-B506)/B506</f>
        <v/>
      </c>
    </row>
    <row r="519">
      <c r="A519" s="61" t="n">
        <v>40118</v>
      </c>
      <c r="B519" s="68">
        <f>VLOOKUP(Table4[[#This Row],[Date]],Database!A:E,3,)</f>
        <v/>
      </c>
      <c r="C519" s="14">
        <f>(B519-B518)/B518</f>
        <v/>
      </c>
      <c r="D519" s="14">
        <f>(B519-B507)/B507</f>
        <v/>
      </c>
    </row>
    <row r="520">
      <c r="A520" s="61" t="n">
        <v>40148</v>
      </c>
      <c r="B520" s="68">
        <f>VLOOKUP(Table4[[#This Row],[Date]],Database!A:E,3,)</f>
        <v/>
      </c>
      <c r="C520" s="14">
        <f>(B520-B519)/B519</f>
        <v/>
      </c>
      <c r="D520" s="14">
        <f>(B520-B508)/B508</f>
        <v/>
      </c>
    </row>
    <row r="521">
      <c r="A521" s="61" t="n">
        <v>40179</v>
      </c>
      <c r="B521" s="68">
        <f>VLOOKUP(Table4[[#This Row],[Date]],Database!A:E,3,)</f>
        <v/>
      </c>
      <c r="C521" s="14">
        <f>(B521-B520)/B520</f>
        <v/>
      </c>
      <c r="D521" s="14">
        <f>(B521-B509)/B509</f>
        <v/>
      </c>
    </row>
    <row r="522">
      <c r="A522" s="61" t="n">
        <v>40210</v>
      </c>
      <c r="B522" s="68">
        <f>VLOOKUP(Table4[[#This Row],[Date]],Database!A:E,3,)</f>
        <v/>
      </c>
      <c r="C522" s="14">
        <f>(B522-B521)/B521</f>
        <v/>
      </c>
      <c r="D522" s="14">
        <f>(B522-B510)/B510</f>
        <v/>
      </c>
    </row>
    <row r="523">
      <c r="A523" s="61" t="n">
        <v>40238</v>
      </c>
      <c r="B523" s="68">
        <f>VLOOKUP(Table4[[#This Row],[Date]],Database!A:E,3,)</f>
        <v/>
      </c>
      <c r="C523" s="14">
        <f>(B523-B522)/B522</f>
        <v/>
      </c>
      <c r="D523" s="14">
        <f>(B523-B511)/B511</f>
        <v/>
      </c>
    </row>
    <row r="524">
      <c r="A524" s="61" t="n">
        <v>40269</v>
      </c>
      <c r="B524" s="68">
        <f>VLOOKUP(Table4[[#This Row],[Date]],Database!A:E,3,)</f>
        <v/>
      </c>
      <c r="C524" s="14">
        <f>(B524-B523)/B523</f>
        <v/>
      </c>
      <c r="D524" s="14">
        <f>(B524-B512)/B512</f>
        <v/>
      </c>
    </row>
    <row r="525">
      <c r="A525" s="61" t="n">
        <v>40299</v>
      </c>
      <c r="B525" s="68">
        <f>VLOOKUP(Table4[[#This Row],[Date]],Database!A:E,3,)</f>
        <v/>
      </c>
      <c r="C525" s="14">
        <f>(B525-B524)/B524</f>
        <v/>
      </c>
      <c r="D525" s="14">
        <f>(B525-B513)/B513</f>
        <v/>
      </c>
    </row>
    <row r="526">
      <c r="A526" s="61" t="n">
        <v>40330</v>
      </c>
      <c r="B526" s="68">
        <f>VLOOKUP(Table4[[#This Row],[Date]],Database!A:E,3,)</f>
        <v/>
      </c>
      <c r="C526" s="14">
        <f>(B526-B525)/B525</f>
        <v/>
      </c>
      <c r="D526" s="14">
        <f>(B526-B514)/B514</f>
        <v/>
      </c>
    </row>
    <row r="527">
      <c r="A527" s="61" t="n">
        <v>40360</v>
      </c>
      <c r="B527" s="68">
        <f>VLOOKUP(Table4[[#This Row],[Date]],Database!A:E,3,)</f>
        <v/>
      </c>
      <c r="C527" s="14">
        <f>(B527-B526)/B526</f>
        <v/>
      </c>
      <c r="D527" s="14">
        <f>(B527-B515)/B515</f>
        <v/>
      </c>
    </row>
    <row r="528">
      <c r="A528" s="61" t="n">
        <v>40391</v>
      </c>
      <c r="B528" s="68">
        <f>VLOOKUP(Table4[[#This Row],[Date]],Database!A:E,3,)</f>
        <v/>
      </c>
      <c r="C528" s="14">
        <f>(B528-B527)/B527</f>
        <v/>
      </c>
      <c r="D528" s="14">
        <f>(B528-B516)/B516</f>
        <v/>
      </c>
    </row>
    <row r="529">
      <c r="A529" s="61" t="n">
        <v>40422</v>
      </c>
      <c r="B529" s="68">
        <f>VLOOKUP(Table4[[#This Row],[Date]],Database!A:E,3,)</f>
        <v/>
      </c>
      <c r="C529" s="14">
        <f>(B529-B528)/B528</f>
        <v/>
      </c>
      <c r="D529" s="14">
        <f>(B529-B517)/B517</f>
        <v/>
      </c>
    </row>
    <row r="530">
      <c r="A530" s="61" t="n">
        <v>40452</v>
      </c>
      <c r="B530" s="68">
        <f>VLOOKUP(Table4[[#This Row],[Date]],Database!A:E,3,)</f>
        <v/>
      </c>
      <c r="C530" s="14">
        <f>(B530-B529)/B529</f>
        <v/>
      </c>
      <c r="D530" s="14">
        <f>(B530-B518)/B518</f>
        <v/>
      </c>
    </row>
    <row r="531">
      <c r="A531" s="61" t="n">
        <v>40483</v>
      </c>
      <c r="B531" s="68">
        <f>VLOOKUP(Table4[[#This Row],[Date]],Database!A:E,3,)</f>
        <v/>
      </c>
      <c r="C531" s="14">
        <f>(B531-B530)/B530</f>
        <v/>
      </c>
      <c r="D531" s="14">
        <f>(B531-B519)/B519</f>
        <v/>
      </c>
    </row>
    <row r="532">
      <c r="A532" s="61" t="n">
        <v>40513</v>
      </c>
      <c r="B532" s="68">
        <f>VLOOKUP(Table4[[#This Row],[Date]],Database!A:E,3,)</f>
        <v/>
      </c>
      <c r="C532" s="14">
        <f>(B532-B531)/B531</f>
        <v/>
      </c>
      <c r="D532" s="14">
        <f>(B532-B520)/B520</f>
        <v/>
      </c>
    </row>
    <row r="533">
      <c r="A533" s="61" t="n">
        <v>40544</v>
      </c>
      <c r="B533" s="68">
        <f>VLOOKUP(Table4[[#This Row],[Date]],Database!A:E,3,)</f>
        <v/>
      </c>
      <c r="C533" s="14">
        <f>(B533-B532)/B532</f>
        <v/>
      </c>
      <c r="D533" s="14">
        <f>(B533-B521)/B521</f>
        <v/>
      </c>
    </row>
    <row r="534">
      <c r="A534" s="61" t="n">
        <v>40575</v>
      </c>
      <c r="B534" s="68">
        <f>VLOOKUP(Table4[[#This Row],[Date]],Database!A:E,3,)</f>
        <v/>
      </c>
      <c r="C534" s="14">
        <f>(B534-B533)/B533</f>
        <v/>
      </c>
      <c r="D534" s="14">
        <f>(B534-B522)/B522</f>
        <v/>
      </c>
    </row>
    <row r="535">
      <c r="A535" s="61" t="n">
        <v>40603</v>
      </c>
      <c r="B535" s="68">
        <f>VLOOKUP(Table4[[#This Row],[Date]],Database!A:E,3,)</f>
        <v/>
      </c>
      <c r="C535" s="14">
        <f>(B535-B534)/B534</f>
        <v/>
      </c>
      <c r="D535" s="14">
        <f>(B535-B523)/B523</f>
        <v/>
      </c>
    </row>
    <row r="536">
      <c r="A536" s="61" t="n">
        <v>40634</v>
      </c>
      <c r="B536" s="68">
        <f>VLOOKUP(Table4[[#This Row],[Date]],Database!A:E,3,)</f>
        <v/>
      </c>
      <c r="C536" s="14">
        <f>(B536-B535)/B535</f>
        <v/>
      </c>
      <c r="D536" s="14">
        <f>(B536-B524)/B524</f>
        <v/>
      </c>
    </row>
    <row r="537">
      <c r="A537" s="61" t="n">
        <v>40664</v>
      </c>
      <c r="B537" s="68">
        <f>VLOOKUP(Table4[[#This Row],[Date]],Database!A:E,3,)</f>
        <v/>
      </c>
      <c r="C537" s="14">
        <f>(B537-B536)/B536</f>
        <v/>
      </c>
      <c r="D537" s="14">
        <f>(B537-B525)/B525</f>
        <v/>
      </c>
    </row>
    <row r="538">
      <c r="A538" s="61" t="n">
        <v>40695</v>
      </c>
      <c r="B538" s="68">
        <f>VLOOKUP(Table4[[#This Row],[Date]],Database!A:E,3,)</f>
        <v/>
      </c>
      <c r="C538" s="14">
        <f>(B538-B537)/B537</f>
        <v/>
      </c>
      <c r="D538" s="14">
        <f>(B538-B526)/B526</f>
        <v/>
      </c>
    </row>
    <row r="539">
      <c r="A539" s="61" t="n">
        <v>40725</v>
      </c>
      <c r="B539" s="68">
        <f>VLOOKUP(Table4[[#This Row],[Date]],Database!A:E,3,)</f>
        <v/>
      </c>
      <c r="C539" s="14">
        <f>(B539-B538)/B538</f>
        <v/>
      </c>
      <c r="D539" s="14">
        <f>(B539-B527)/B527</f>
        <v/>
      </c>
    </row>
    <row r="540">
      <c r="A540" s="61" t="n">
        <v>40756</v>
      </c>
      <c r="B540" s="68">
        <f>VLOOKUP(Table4[[#This Row],[Date]],Database!A:E,3,)</f>
        <v/>
      </c>
      <c r="C540" s="14">
        <f>(B540-B539)/B539</f>
        <v/>
      </c>
      <c r="D540" s="14">
        <f>(B540-B528)/B528</f>
        <v/>
      </c>
    </row>
    <row r="541">
      <c r="A541" s="61" t="n">
        <v>40787</v>
      </c>
      <c r="B541" s="68">
        <f>VLOOKUP(Table4[[#This Row],[Date]],Database!A:E,3,)</f>
        <v/>
      </c>
      <c r="C541" s="14">
        <f>(B541-B540)/B540</f>
        <v/>
      </c>
      <c r="D541" s="14">
        <f>(B541-B529)/B529</f>
        <v/>
      </c>
    </row>
    <row r="542">
      <c r="A542" s="61" t="n">
        <v>40817</v>
      </c>
      <c r="B542" s="68">
        <f>VLOOKUP(Table4[[#This Row],[Date]],Database!A:E,3,)</f>
        <v/>
      </c>
      <c r="C542" s="14">
        <f>(B542-B541)/B541</f>
        <v/>
      </c>
      <c r="D542" s="14">
        <f>(B542-B530)/B530</f>
        <v/>
      </c>
    </row>
    <row r="543">
      <c r="A543" s="61" t="n">
        <v>40848</v>
      </c>
      <c r="B543" s="68">
        <f>VLOOKUP(Table4[[#This Row],[Date]],Database!A:E,3,)</f>
        <v/>
      </c>
      <c r="C543" s="14">
        <f>(B543-B542)/B542</f>
        <v/>
      </c>
      <c r="D543" s="14">
        <f>(B543-B531)/B531</f>
        <v/>
      </c>
    </row>
    <row r="544">
      <c r="A544" s="61" t="n">
        <v>40878</v>
      </c>
      <c r="B544" s="68">
        <f>VLOOKUP(Table4[[#This Row],[Date]],Database!A:E,3,)</f>
        <v/>
      </c>
      <c r="C544" s="14">
        <f>(B544-B543)/B543</f>
        <v/>
      </c>
      <c r="D544" s="14">
        <f>(B544-B532)/B532</f>
        <v/>
      </c>
    </row>
    <row r="545">
      <c r="A545" s="61" t="n">
        <v>40909</v>
      </c>
      <c r="B545" s="68">
        <f>VLOOKUP(Table4[[#This Row],[Date]],Database!A:E,3,)</f>
        <v/>
      </c>
      <c r="C545" s="14">
        <f>(B545-B544)/B544</f>
        <v/>
      </c>
      <c r="D545" s="14">
        <f>(B545-B533)/B533</f>
        <v/>
      </c>
    </row>
    <row r="546">
      <c r="A546" s="61" t="n">
        <v>40940</v>
      </c>
      <c r="B546" s="68">
        <f>VLOOKUP(Table4[[#This Row],[Date]],Database!A:E,3,)</f>
        <v/>
      </c>
      <c r="C546" s="14">
        <f>(B546-B545)/B545</f>
        <v/>
      </c>
      <c r="D546" s="14">
        <f>(B546-B534)/B534</f>
        <v/>
      </c>
    </row>
    <row r="547">
      <c r="A547" s="61" t="n">
        <v>40969</v>
      </c>
      <c r="B547" s="68">
        <f>VLOOKUP(Table4[[#This Row],[Date]],Database!A:E,3,)</f>
        <v/>
      </c>
      <c r="C547" s="14">
        <f>(B547-B546)/B546</f>
        <v/>
      </c>
      <c r="D547" s="14">
        <f>(B547-B535)/B535</f>
        <v/>
      </c>
    </row>
    <row r="548">
      <c r="A548" s="61" t="n">
        <v>41000</v>
      </c>
      <c r="B548" s="68">
        <f>VLOOKUP(Table4[[#This Row],[Date]],Database!A:E,3,)</f>
        <v/>
      </c>
      <c r="C548" s="14">
        <f>(B548-B547)/B547</f>
        <v/>
      </c>
      <c r="D548" s="14">
        <f>(B548-B536)/B536</f>
        <v/>
      </c>
    </row>
    <row r="549">
      <c r="A549" s="61" t="n">
        <v>41030</v>
      </c>
      <c r="B549" s="68">
        <f>VLOOKUP(Table4[[#This Row],[Date]],Database!A:E,3,)</f>
        <v/>
      </c>
      <c r="C549" s="14">
        <f>(B549-B548)/B548</f>
        <v/>
      </c>
      <c r="D549" s="14">
        <f>(B549-B537)/B537</f>
        <v/>
      </c>
    </row>
    <row r="550">
      <c r="A550" s="61" t="n">
        <v>41061</v>
      </c>
      <c r="B550" s="68">
        <f>VLOOKUP(Table4[[#This Row],[Date]],Database!A:E,3,)</f>
        <v/>
      </c>
      <c r="C550" s="14">
        <f>(B550-B549)/B549</f>
        <v/>
      </c>
      <c r="D550" s="14">
        <f>(B550-B538)/B538</f>
        <v/>
      </c>
    </row>
    <row r="551">
      <c r="A551" s="61" t="n">
        <v>41091</v>
      </c>
      <c r="B551" s="68">
        <f>VLOOKUP(Table4[[#This Row],[Date]],Database!A:E,3,)</f>
        <v/>
      </c>
      <c r="C551" s="14">
        <f>(B551-B550)/B550</f>
        <v/>
      </c>
      <c r="D551" s="14">
        <f>(B551-B539)/B539</f>
        <v/>
      </c>
    </row>
    <row r="552">
      <c r="A552" s="61" t="n">
        <v>41122</v>
      </c>
      <c r="B552" s="68">
        <f>VLOOKUP(Table4[[#This Row],[Date]],Database!A:E,3,)</f>
        <v/>
      </c>
      <c r="C552" s="14">
        <f>(B552-B551)/B551</f>
        <v/>
      </c>
      <c r="D552" s="14">
        <f>(B552-B540)/B540</f>
        <v/>
      </c>
    </row>
    <row r="553">
      <c r="A553" s="61" t="n">
        <v>41153</v>
      </c>
      <c r="B553" s="68">
        <f>VLOOKUP(Table4[[#This Row],[Date]],Database!A:E,3,)</f>
        <v/>
      </c>
      <c r="C553" s="14">
        <f>(B553-B552)/B552</f>
        <v/>
      </c>
      <c r="D553" s="14">
        <f>(B553-B541)/B541</f>
        <v/>
      </c>
    </row>
    <row r="554">
      <c r="A554" s="61" t="n">
        <v>41183</v>
      </c>
      <c r="B554" s="68">
        <f>VLOOKUP(Table4[[#This Row],[Date]],Database!A:E,3,)</f>
        <v/>
      </c>
      <c r="C554" s="14">
        <f>(B554-B553)/B553</f>
        <v/>
      </c>
      <c r="D554" s="14">
        <f>(B554-B542)/B542</f>
        <v/>
      </c>
    </row>
    <row r="555">
      <c r="A555" s="61" t="n">
        <v>41214</v>
      </c>
      <c r="B555" s="68">
        <f>VLOOKUP(Table4[[#This Row],[Date]],Database!A:E,3,)</f>
        <v/>
      </c>
      <c r="C555" s="14">
        <f>(B555-B554)/B554</f>
        <v/>
      </c>
      <c r="D555" s="14">
        <f>(B555-B543)/B543</f>
        <v/>
      </c>
    </row>
    <row r="556">
      <c r="A556" s="61" t="n">
        <v>41244</v>
      </c>
      <c r="B556" s="68">
        <f>VLOOKUP(Table4[[#This Row],[Date]],Database!A:E,3,)</f>
        <v/>
      </c>
      <c r="C556" s="14">
        <f>(B556-B555)/B555</f>
        <v/>
      </c>
      <c r="D556" s="14">
        <f>(B556-B544)/B544</f>
        <v/>
      </c>
    </row>
    <row r="557">
      <c r="A557" s="61" t="n">
        <v>41275</v>
      </c>
      <c r="B557" s="68">
        <f>VLOOKUP(Table4[[#This Row],[Date]],Database!A:E,3,)</f>
        <v/>
      </c>
      <c r="C557" s="14">
        <f>(B557-B556)/B556</f>
        <v/>
      </c>
      <c r="D557" s="14">
        <f>(B557-B545)/B545</f>
        <v/>
      </c>
    </row>
    <row r="558">
      <c r="A558" s="61" t="n">
        <v>41306</v>
      </c>
      <c r="B558" s="68">
        <f>VLOOKUP(Table4[[#This Row],[Date]],Database!A:E,3,)</f>
        <v/>
      </c>
      <c r="C558" s="14">
        <f>(B558-B557)/B557</f>
        <v/>
      </c>
      <c r="D558" s="14">
        <f>(B558-B546)/B546</f>
        <v/>
      </c>
    </row>
    <row r="559">
      <c r="A559" s="61" t="n">
        <v>41334</v>
      </c>
      <c r="B559" s="68">
        <f>VLOOKUP(Table4[[#This Row],[Date]],Database!A:E,3,)</f>
        <v/>
      </c>
      <c r="C559" s="14">
        <f>(B559-B558)/B558</f>
        <v/>
      </c>
      <c r="D559" s="14">
        <f>(B559-B547)/B547</f>
        <v/>
      </c>
    </row>
    <row r="560">
      <c r="A560" s="61" t="n">
        <v>41365</v>
      </c>
      <c r="B560" s="68">
        <f>VLOOKUP(Table4[[#This Row],[Date]],Database!A:E,3,)</f>
        <v/>
      </c>
      <c r="C560" s="14">
        <f>(B560-B559)/B559</f>
        <v/>
      </c>
      <c r="D560" s="14">
        <f>(B560-B548)/B548</f>
        <v/>
      </c>
    </row>
    <row r="561">
      <c r="A561" s="61" t="n">
        <v>41395</v>
      </c>
      <c r="B561" s="68">
        <f>VLOOKUP(Table4[[#This Row],[Date]],Database!A:E,3,)</f>
        <v/>
      </c>
      <c r="C561" s="14">
        <f>(B561-B560)/B560</f>
        <v/>
      </c>
      <c r="D561" s="14">
        <f>(B561-B549)/B549</f>
        <v/>
      </c>
    </row>
    <row r="562">
      <c r="A562" s="61" t="n">
        <v>41426</v>
      </c>
      <c r="B562" s="68">
        <f>VLOOKUP(Table4[[#This Row],[Date]],Database!A:E,3,)</f>
        <v/>
      </c>
      <c r="C562" s="14">
        <f>(B562-B561)/B561</f>
        <v/>
      </c>
      <c r="D562" s="14">
        <f>(B562-B550)/B550</f>
        <v/>
      </c>
    </row>
    <row r="563">
      <c r="A563" s="61" t="n">
        <v>41456</v>
      </c>
      <c r="B563" s="68">
        <f>VLOOKUP(Table4[[#This Row],[Date]],Database!A:E,3,)</f>
        <v/>
      </c>
      <c r="C563" s="14">
        <f>(B563-B562)/B562</f>
        <v/>
      </c>
      <c r="D563" s="14">
        <f>(B563-B551)/B551</f>
        <v/>
      </c>
    </row>
    <row r="564">
      <c r="A564" s="61" t="n">
        <v>41487</v>
      </c>
      <c r="B564" s="68">
        <f>VLOOKUP(Table4[[#This Row],[Date]],Database!A:E,3,)</f>
        <v/>
      </c>
      <c r="C564" s="14">
        <f>(B564-B563)/B563</f>
        <v/>
      </c>
      <c r="D564" s="14">
        <f>(B564-B552)/B552</f>
        <v/>
      </c>
    </row>
    <row r="565">
      <c r="A565" s="61" t="n">
        <v>41518</v>
      </c>
      <c r="B565" s="68">
        <f>VLOOKUP(Table4[[#This Row],[Date]],Database!A:E,3,)</f>
        <v/>
      </c>
      <c r="C565" s="14">
        <f>(B565-B564)/B564</f>
        <v/>
      </c>
      <c r="D565" s="14">
        <f>(B565-B553)/B553</f>
        <v/>
      </c>
    </row>
    <row r="566">
      <c r="A566" s="61" t="n">
        <v>41548</v>
      </c>
      <c r="B566" s="68">
        <f>VLOOKUP(Table4[[#This Row],[Date]],Database!A:E,3,)</f>
        <v/>
      </c>
      <c r="C566" s="14">
        <f>(B566-B565)/B565</f>
        <v/>
      </c>
      <c r="D566" s="14">
        <f>(B566-B554)/B554</f>
        <v/>
      </c>
    </row>
    <row r="567">
      <c r="A567" s="61" t="n">
        <v>41579</v>
      </c>
      <c r="B567" s="68">
        <f>VLOOKUP(Table4[[#This Row],[Date]],Database!A:E,3,)</f>
        <v/>
      </c>
      <c r="C567" s="14">
        <f>(B567-B566)/B566</f>
        <v/>
      </c>
      <c r="D567" s="14">
        <f>(B567-B555)/B555</f>
        <v/>
      </c>
    </row>
    <row r="568">
      <c r="A568" s="61" t="n">
        <v>41609</v>
      </c>
      <c r="B568" s="68">
        <f>VLOOKUP(Table4[[#This Row],[Date]],Database!A:E,3,)</f>
        <v/>
      </c>
      <c r="C568" s="14">
        <f>(B568-B567)/B567</f>
        <v/>
      </c>
      <c r="D568" s="14">
        <f>(B568-B556)/B556</f>
        <v/>
      </c>
    </row>
    <row r="569">
      <c r="A569" s="61" t="n">
        <v>41640</v>
      </c>
      <c r="B569" s="68">
        <f>VLOOKUP(Table4[[#This Row],[Date]],Database!A:E,3,)</f>
        <v/>
      </c>
      <c r="C569" s="14">
        <f>(B569-B568)/B568</f>
        <v/>
      </c>
      <c r="D569" s="14">
        <f>(B569-B557)/B557</f>
        <v/>
      </c>
    </row>
    <row r="570">
      <c r="A570" s="61" t="n">
        <v>41671</v>
      </c>
      <c r="B570" s="68">
        <f>VLOOKUP(Table4[[#This Row],[Date]],Database!A:E,3,)</f>
        <v/>
      </c>
      <c r="C570" s="14" t="n">
        <v>-0.005</v>
      </c>
      <c r="D570" s="14" t="n">
        <v>-0.025</v>
      </c>
    </row>
    <row r="571">
      <c r="A571" s="61" t="n">
        <v>41699</v>
      </c>
      <c r="B571" s="68">
        <f>VLOOKUP(Table4[[#This Row],[Date]],Database!A:E,3,)</f>
        <v/>
      </c>
      <c r="C571" s="14">
        <f>(B571-B570)/B570</f>
        <v/>
      </c>
      <c r="D571" s="14">
        <f>(B571-B559)/B559</f>
        <v/>
      </c>
    </row>
    <row r="572">
      <c r="A572" s="61" t="n">
        <v>41730</v>
      </c>
      <c r="B572" s="68">
        <f>VLOOKUP(Table4[[#This Row],[Date]],Database!A:E,3,)</f>
        <v/>
      </c>
      <c r="C572" s="14">
        <f>(B572-B571)/B571</f>
        <v/>
      </c>
      <c r="D572" s="14">
        <f>(B572-B560)/B560</f>
        <v/>
      </c>
    </row>
    <row r="573">
      <c r="A573" s="61" t="n">
        <v>41760</v>
      </c>
      <c r="B573" s="68">
        <f>VLOOKUP(Table4[[#This Row],[Date]],Database!A:E,3,)</f>
        <v/>
      </c>
      <c r="C573" s="14">
        <f>(B573-B572)/B572</f>
        <v/>
      </c>
      <c r="D573" s="14">
        <f>(B573-B561)/B561</f>
        <v/>
      </c>
    </row>
    <row r="574">
      <c r="A574" s="61" t="n">
        <v>41791</v>
      </c>
      <c r="B574" s="68">
        <f>VLOOKUP(Table4[[#This Row],[Date]],Database!A:E,3,)</f>
        <v/>
      </c>
      <c r="C574" s="14">
        <f>(B574-B573)/B573</f>
        <v/>
      </c>
      <c r="D574" s="14">
        <f>(B574-B562)/B562</f>
        <v/>
      </c>
    </row>
    <row r="575">
      <c r="A575" s="61" t="n">
        <v>41821</v>
      </c>
      <c r="B575" s="68">
        <f>VLOOKUP(Table4[[#This Row],[Date]],Database!A:E,3,)</f>
        <v/>
      </c>
      <c r="C575" s="14">
        <f>(B575-B574)/B574</f>
        <v/>
      </c>
      <c r="D575" s="14">
        <f>(B575-B563)/B563</f>
        <v/>
      </c>
    </row>
    <row r="576">
      <c r="A576" s="61" t="n">
        <v>41852</v>
      </c>
      <c r="B576" s="68">
        <f>VLOOKUP(Table4[[#This Row],[Date]],Database!A:E,3,)</f>
        <v/>
      </c>
      <c r="C576" s="14">
        <f>(B576-B575)/B575</f>
        <v/>
      </c>
      <c r="D576" s="14">
        <f>(B576-B564)/B564</f>
        <v/>
      </c>
    </row>
    <row r="577">
      <c r="A577" s="61" t="n">
        <v>41883</v>
      </c>
      <c r="B577" s="68">
        <f>VLOOKUP(Table4[[#This Row],[Date]],Database!A:E,3,)</f>
        <v/>
      </c>
      <c r="C577" s="14" t="n">
        <v>-0.015</v>
      </c>
      <c r="D577" s="14">
        <f>(B577-B565)/B565</f>
        <v/>
      </c>
    </row>
    <row r="578">
      <c r="A578" s="61" t="n">
        <v>41913</v>
      </c>
      <c r="B578" s="68">
        <f>VLOOKUP(Table4[[#This Row],[Date]],Database!A:E,3,)</f>
        <v/>
      </c>
      <c r="C578" s="14">
        <f>(B578-B577)/B577</f>
        <v/>
      </c>
      <c r="D578" s="14">
        <f>(B578-B566)/B566</f>
        <v/>
      </c>
    </row>
    <row r="579">
      <c r="A579" s="61" t="n">
        <v>41944</v>
      </c>
      <c r="B579" s="68">
        <f>VLOOKUP(Table4[[#This Row],[Date]],Database!A:E,3,)</f>
        <v/>
      </c>
      <c r="C579" s="14">
        <f>(B579-B578)/B578</f>
        <v/>
      </c>
      <c r="D579" s="14">
        <f>(B579-B567)/B567</f>
        <v/>
      </c>
    </row>
    <row r="580">
      <c r="A580" s="61" t="n">
        <v>41974</v>
      </c>
      <c r="B580" s="68">
        <f>VLOOKUP(Table4[[#This Row],[Date]],Database!A:E,3,)</f>
        <v/>
      </c>
      <c r="C580" s="14">
        <f>(B580-B579)/B579</f>
        <v/>
      </c>
      <c r="D580" s="14">
        <f>(B580-B568)/B568</f>
        <v/>
      </c>
    </row>
    <row r="581">
      <c r="A581" s="61" t="n">
        <v>42005</v>
      </c>
      <c r="B581" s="68">
        <f>VLOOKUP(Table4[[#This Row],[Date]],Database!A:E,3,)</f>
        <v/>
      </c>
      <c r="C581" s="14">
        <f>(B581-B580)/B580</f>
        <v/>
      </c>
      <c r="D581" s="14">
        <f>(B581-B569)/B569</f>
        <v/>
      </c>
    </row>
    <row r="582">
      <c r="A582" s="61" t="n">
        <v>42036</v>
      </c>
      <c r="B582" s="68">
        <f>VLOOKUP(Table4[[#This Row],[Date]],Database!A:E,3,)</f>
        <v/>
      </c>
      <c r="C582" s="14">
        <f>(B582-B581)/B581</f>
        <v/>
      </c>
      <c r="D582" s="14">
        <f>(B582-B570)/B570</f>
        <v/>
      </c>
    </row>
    <row r="583">
      <c r="A583" s="61" t="n">
        <v>42064</v>
      </c>
      <c r="B583" s="68">
        <f>VLOOKUP(Table4[[#This Row],[Date]],Database!A:E,3,)</f>
        <v/>
      </c>
      <c r="C583" s="14">
        <f>(B583-B582)/B582</f>
        <v/>
      </c>
      <c r="D583" s="14">
        <f>(B583-B571)/B571</f>
        <v/>
      </c>
    </row>
    <row r="584">
      <c r="A584" s="61" t="n">
        <v>42095</v>
      </c>
      <c r="B584" s="68">
        <f>VLOOKUP(Table4[[#This Row],[Date]],Database!A:E,3,)</f>
        <v/>
      </c>
      <c r="C584" s="14">
        <f>(B584-B583)/B583</f>
        <v/>
      </c>
      <c r="D584" s="14">
        <f>(B584-B572)/B572</f>
        <v/>
      </c>
    </row>
    <row r="585">
      <c r="A585" s="61" t="n">
        <v>42125</v>
      </c>
      <c r="B585" s="68">
        <f>VLOOKUP(Table4[[#This Row],[Date]],Database!A:E,3,)</f>
        <v/>
      </c>
      <c r="C585" s="14">
        <f>(B585-B584)/B584</f>
        <v/>
      </c>
      <c r="D585" s="14">
        <f>(B585-B573)/B573</f>
        <v/>
      </c>
    </row>
    <row r="586">
      <c r="A586" s="61" t="n">
        <v>42156</v>
      </c>
      <c r="B586" s="68">
        <f>VLOOKUP(Table4[[#This Row],[Date]],Database!A:E,3,)</f>
        <v/>
      </c>
      <c r="C586" s="14">
        <f>(B586-B585)/B585</f>
        <v/>
      </c>
      <c r="D586" s="14">
        <f>(B586-B574)/B574</f>
        <v/>
      </c>
    </row>
    <row r="587">
      <c r="A587" s="61" t="n">
        <v>42186</v>
      </c>
      <c r="B587" s="68">
        <f>VLOOKUP(Table4[[#This Row],[Date]],Database!A:E,3,)</f>
        <v/>
      </c>
      <c r="C587" s="14">
        <f>(B587-B586)/B586</f>
        <v/>
      </c>
      <c r="D587" s="14">
        <f>(B587-B575)/B575</f>
        <v/>
      </c>
    </row>
    <row r="588">
      <c r="A588" s="61" t="n">
        <v>42217</v>
      </c>
      <c r="B588" s="68">
        <f>VLOOKUP(Table4[[#This Row],[Date]],Database!A:E,3,)</f>
        <v/>
      </c>
      <c r="C588" s="14">
        <f>(B588-B587)/B587</f>
        <v/>
      </c>
      <c r="D588" s="14">
        <f>(B588-B576)/B576</f>
        <v/>
      </c>
    </row>
    <row r="589">
      <c r="A589" s="61" t="n">
        <v>42248</v>
      </c>
      <c r="B589" s="68">
        <f>VLOOKUP(Table4[[#This Row],[Date]],Database!A:E,3,)</f>
        <v/>
      </c>
      <c r="C589" s="14">
        <f>(B589-B588)/B588</f>
        <v/>
      </c>
      <c r="D589" s="14">
        <f>(B589-B577)/B577</f>
        <v/>
      </c>
    </row>
    <row r="590">
      <c r="A590" s="61" t="n">
        <v>42278</v>
      </c>
      <c r="B590" s="68">
        <f>VLOOKUP(Table4[[#This Row],[Date]],Database!A:E,3,)</f>
        <v/>
      </c>
      <c r="C590" s="14">
        <f>(B590-B589)/B589</f>
        <v/>
      </c>
      <c r="D590" s="14">
        <f>(B590-B578)/B578</f>
        <v/>
      </c>
    </row>
    <row r="591">
      <c r="A591" s="61" t="n">
        <v>42309</v>
      </c>
      <c r="B591" s="68">
        <f>VLOOKUP(Table4[[#This Row],[Date]],Database!A:E,3,)</f>
        <v/>
      </c>
      <c r="C591" s="14">
        <f>(B591-B590)/B590</f>
        <v/>
      </c>
      <c r="D591" s="14">
        <f>(B591-B579)/B579</f>
        <v/>
      </c>
    </row>
    <row r="592">
      <c r="A592" s="61" t="n">
        <v>42339</v>
      </c>
      <c r="B592" s="68">
        <f>VLOOKUP(Table4[[#This Row],[Date]],Database!A:E,3,)</f>
        <v/>
      </c>
      <c r="C592" s="14">
        <f>(B592-B591)/B591</f>
        <v/>
      </c>
      <c r="D592" s="14">
        <f>(B592-B580)/B580</f>
        <v/>
      </c>
    </row>
    <row r="593">
      <c r="A593" s="61" t="n">
        <v>42370</v>
      </c>
      <c r="B593" s="68">
        <f>VLOOKUP(Table4[[#This Row],[Date]],Database!A:E,3,)</f>
        <v/>
      </c>
      <c r="C593" s="14">
        <f>(B593-B592)/B592</f>
        <v/>
      </c>
      <c r="D593" s="14">
        <f>(B593-B581)/B581</f>
        <v/>
      </c>
    </row>
    <row r="594">
      <c r="A594" s="61" t="n">
        <v>42401</v>
      </c>
      <c r="B594" s="68">
        <f>VLOOKUP(Table4[[#This Row],[Date]],Database!A:E,3,)</f>
        <v/>
      </c>
      <c r="C594" s="14">
        <f>(B594-B593)/B593</f>
        <v/>
      </c>
      <c r="D594" s="14">
        <f>(B594-B582)/B582</f>
        <v/>
      </c>
    </row>
    <row r="595">
      <c r="A595" s="61" t="n">
        <v>42430</v>
      </c>
      <c r="B595" s="68">
        <f>VLOOKUP(Table4[[#This Row],[Date]],Database!A:E,3,)</f>
        <v/>
      </c>
      <c r="C595" s="14">
        <f>(B595-B594)/B594</f>
        <v/>
      </c>
      <c r="D595" s="14">
        <f>(B595-B583)/B583</f>
        <v/>
      </c>
    </row>
    <row r="596">
      <c r="A596" s="61" t="n">
        <v>42461</v>
      </c>
      <c r="B596" s="68">
        <f>VLOOKUP(Table4[[#This Row],[Date]],Database!A:E,3,)</f>
        <v/>
      </c>
      <c r="C596" s="14">
        <f>(B596-B595)/B595</f>
        <v/>
      </c>
      <c r="D596" s="14">
        <f>(B596-B584)/B584</f>
        <v/>
      </c>
    </row>
    <row r="597">
      <c r="A597" s="61" t="n">
        <v>42491</v>
      </c>
      <c r="B597" s="68">
        <f>VLOOKUP(Table4[[#This Row],[Date]],Database!A:E,3,)</f>
        <v/>
      </c>
      <c r="C597" s="14">
        <f>(B597-B596)/B596</f>
        <v/>
      </c>
      <c r="D597" s="14">
        <f>(B597-B585)/B585</f>
        <v/>
      </c>
    </row>
    <row r="598">
      <c r="A598" s="61" t="n">
        <v>42522</v>
      </c>
      <c r="B598" s="68">
        <f>VLOOKUP(Table4[[#This Row],[Date]],Database!A:E,3,)</f>
        <v/>
      </c>
      <c r="C598" s="14">
        <f>(B598-B597)/B597</f>
        <v/>
      </c>
      <c r="D598" s="14">
        <f>(B598-B586)/B586</f>
        <v/>
      </c>
    </row>
    <row r="599">
      <c r="A599" s="61" t="n">
        <v>42552</v>
      </c>
      <c r="B599" s="68">
        <f>VLOOKUP(Table4[[#This Row],[Date]],Database!A:E,3,)</f>
        <v/>
      </c>
      <c r="C599" s="14">
        <f>(B599-B598)/B598</f>
        <v/>
      </c>
      <c r="D599" s="14">
        <f>(B599-B587)/B587</f>
        <v/>
      </c>
    </row>
    <row r="600">
      <c r="A600" s="61" t="n">
        <v>42583</v>
      </c>
      <c r="B600" s="68">
        <f>VLOOKUP(Table4[[#This Row],[Date]],Database!A:E,3,)</f>
        <v/>
      </c>
      <c r="C600" s="14">
        <f>(B600-B599)/B599</f>
        <v/>
      </c>
      <c r="D600" s="14">
        <f>(B600-B588)/B588</f>
        <v/>
      </c>
    </row>
    <row r="601">
      <c r="A601" s="61" t="n">
        <v>42614</v>
      </c>
      <c r="B601" s="68">
        <f>VLOOKUP(Table4[[#This Row],[Date]],Database!A:E,3,)</f>
        <v/>
      </c>
      <c r="C601" s="14">
        <f>(B601-B600)/B600</f>
        <v/>
      </c>
      <c r="D601" s="14">
        <f>(B601-B589)/B589</f>
        <v/>
      </c>
    </row>
    <row r="602">
      <c r="A602" s="61" t="n">
        <v>42644</v>
      </c>
      <c r="B602" s="68">
        <f>VLOOKUP(Table4[[#This Row],[Date]],Database!A:E,3,)</f>
        <v/>
      </c>
      <c r="C602" s="14">
        <f>(B602-B601)/B601</f>
        <v/>
      </c>
      <c r="D602" s="14">
        <f>(B602-B590)/B590</f>
        <v/>
      </c>
    </row>
    <row r="603">
      <c r="A603" s="61" t="n">
        <v>42675</v>
      </c>
      <c r="B603" s="68">
        <f>VLOOKUP(Table4[[#This Row],[Date]],Database!A:E,3,)</f>
        <v/>
      </c>
      <c r="C603" s="14">
        <f>(B603-B602)/B602</f>
        <v/>
      </c>
      <c r="D603" s="14">
        <f>(B603-B591)/B591</f>
        <v/>
      </c>
    </row>
    <row r="604">
      <c r="A604" s="61" t="n">
        <v>42705</v>
      </c>
      <c r="B604" s="68">
        <f>VLOOKUP(Table4[[#This Row],[Date]],Database!A:E,3,)</f>
        <v/>
      </c>
      <c r="C604" s="14">
        <f>(B604-B603)/B603</f>
        <v/>
      </c>
      <c r="D604" s="14">
        <f>(B604-B592)/B592</f>
        <v/>
      </c>
    </row>
    <row r="605">
      <c r="A605" s="61" t="n">
        <v>42736</v>
      </c>
      <c r="B605" s="68">
        <f>VLOOKUP(Table4[[#This Row],[Date]],Database!A:E,3,)</f>
        <v/>
      </c>
      <c r="C605" s="14">
        <f>(B605-B604)/B604</f>
        <v/>
      </c>
      <c r="D605" s="14">
        <f>(B605-B593)/B593</f>
        <v/>
      </c>
    </row>
    <row r="606">
      <c r="A606" s="61" t="n">
        <v>42767</v>
      </c>
      <c r="B606" s="68">
        <f>VLOOKUP(Table4[[#This Row],[Date]],Database!A:E,3,)</f>
        <v/>
      </c>
      <c r="C606" s="14">
        <f>(B606-B605)/B605</f>
        <v/>
      </c>
      <c r="D606" s="14">
        <f>(B606-B594)/B594</f>
        <v/>
      </c>
    </row>
    <row r="607">
      <c r="A607" s="61" t="n">
        <v>42795</v>
      </c>
      <c r="B607" s="68">
        <f>VLOOKUP(Table4[[#This Row],[Date]],Database!A:E,3,)</f>
        <v/>
      </c>
      <c r="C607" s="14">
        <f>(B607-B606)/B606</f>
        <v/>
      </c>
      <c r="D607" s="14">
        <f>(B607-B595)/B595</f>
        <v/>
      </c>
    </row>
    <row r="608">
      <c r="A608" s="61" t="n">
        <v>42826</v>
      </c>
      <c r="B608" s="68">
        <f>VLOOKUP(Table4[[#This Row],[Date]],Database!A:E,3,)</f>
        <v/>
      </c>
      <c r="C608" s="14">
        <f>(B608-B607)/B607</f>
        <v/>
      </c>
      <c r="D608" s="14">
        <f>(B608-B596)/B596</f>
        <v/>
      </c>
    </row>
    <row r="609">
      <c r="A609" s="61" t="n">
        <v>42856</v>
      </c>
      <c r="B609" s="68">
        <f>VLOOKUP(Table4[[#This Row],[Date]],Database!A:E,3,)</f>
        <v/>
      </c>
      <c r="C609" s="14">
        <f>(B609-B608)/B608</f>
        <v/>
      </c>
      <c r="D609" s="14">
        <f>(B609-B597)/B597</f>
        <v/>
      </c>
    </row>
    <row r="610">
      <c r="A610" s="61" t="n">
        <v>42887</v>
      </c>
      <c r="B610" s="68">
        <f>VLOOKUP(Table4[[#This Row],[Date]],Database!A:E,3,)</f>
        <v/>
      </c>
      <c r="C610" s="14">
        <f>(B610-B609)/B609</f>
        <v/>
      </c>
      <c r="D610" s="14">
        <f>(B610-B598)/B598</f>
        <v/>
      </c>
    </row>
    <row r="611">
      <c r="A611" s="61" t="n">
        <v>42917</v>
      </c>
      <c r="B611" s="68">
        <f>VLOOKUP(Table4[[#This Row],[Date]],Database!A:E,3,)</f>
        <v/>
      </c>
      <c r="C611" s="14">
        <f>(B611-B610)/B610</f>
        <v/>
      </c>
      <c r="D611" s="14">
        <f>(B611-B599)/B599</f>
        <v/>
      </c>
    </row>
    <row r="612">
      <c r="A612" s="61" t="n">
        <v>42948</v>
      </c>
      <c r="B612" s="68">
        <f>VLOOKUP(Table4[[#This Row],[Date]],Database!A:E,3,)</f>
        <v/>
      </c>
      <c r="C612" s="14">
        <f>(B612-B611)/B611</f>
        <v/>
      </c>
      <c r="D612" s="14">
        <f>(B612-B600)/B600</f>
        <v/>
      </c>
    </row>
    <row r="613">
      <c r="A613" s="61" t="n">
        <v>42979</v>
      </c>
      <c r="B613" s="68">
        <f>VLOOKUP(Table4[[#This Row],[Date]],Database!A:E,3,)</f>
        <v/>
      </c>
      <c r="C613" s="14">
        <f>(B613-B612)/B612</f>
        <v/>
      </c>
      <c r="D613" s="14">
        <f>(B613-B601)/B601</f>
        <v/>
      </c>
    </row>
    <row r="614">
      <c r="A614" s="61" t="n">
        <v>43009</v>
      </c>
      <c r="B614" s="68">
        <f>VLOOKUP(Table4[[#This Row],[Date]],Database!A:E,3,)</f>
        <v/>
      </c>
      <c r="C614" s="14">
        <f>(B614-B613)/B613</f>
        <v/>
      </c>
      <c r="D614" s="14">
        <f>(B614-B602)/B602</f>
        <v/>
      </c>
    </row>
    <row r="615">
      <c r="A615" s="61" t="n">
        <v>43040</v>
      </c>
      <c r="B615" s="68">
        <f>VLOOKUP(Table4[[#This Row],[Date]],Database!A:E,3,)</f>
        <v/>
      </c>
      <c r="C615" s="14">
        <f>(B615-B614)/B614</f>
        <v/>
      </c>
      <c r="D615" s="14">
        <f>(B615-B603)/B603</f>
        <v/>
      </c>
    </row>
    <row r="616">
      <c r="A616" s="61" t="n">
        <v>43070</v>
      </c>
      <c r="B616" s="68">
        <f>VLOOKUP(Table4[[#This Row],[Date]],Database!A:E,3,)</f>
        <v/>
      </c>
      <c r="C616" s="14">
        <f>(B616-B615)/B615</f>
        <v/>
      </c>
      <c r="D616" s="14">
        <f>(B616-B604)/B604</f>
        <v/>
      </c>
    </row>
    <row r="617">
      <c r="A617" s="61" t="n">
        <v>43101</v>
      </c>
      <c r="B617" s="68">
        <f>VLOOKUP(Table4[[#This Row],[Date]],Database!A:E,3,)</f>
        <v/>
      </c>
      <c r="C617" s="14">
        <f>(B617-B616)/B616</f>
        <v/>
      </c>
      <c r="D617" s="14">
        <f>(B617-B605)/B605</f>
        <v/>
      </c>
    </row>
    <row r="618">
      <c r="A618" s="61" t="n">
        <v>43132</v>
      </c>
      <c r="B618" s="68">
        <f>VLOOKUP(Table4[[#This Row],[Date]],Database!A:E,3,)</f>
        <v/>
      </c>
      <c r="C618" s="14">
        <f>(B618-B617)/B617</f>
        <v/>
      </c>
      <c r="D618" s="14">
        <f>(B618-B606)/B606</f>
        <v/>
      </c>
    </row>
    <row r="619">
      <c r="A619" s="61" t="n">
        <v>43160</v>
      </c>
      <c r="B619" s="68">
        <f>VLOOKUP(Table4[[#This Row],[Date]],Database!A:E,3,)</f>
        <v/>
      </c>
      <c r="C619" s="14">
        <f>(B619-B618)/B618</f>
        <v/>
      </c>
      <c r="D619" s="14">
        <f>(B619-B607)/B607</f>
        <v/>
      </c>
    </row>
    <row r="620">
      <c r="A620" s="61" t="n">
        <v>43191</v>
      </c>
      <c r="B620" s="68">
        <f>VLOOKUP(Table4[[#This Row],[Date]],Database!A:E,3,)</f>
        <v/>
      </c>
      <c r="C620" s="14">
        <f>(B620-B619)/B619</f>
        <v/>
      </c>
      <c r="D620" s="14">
        <f>(B620-B608)/B608</f>
        <v/>
      </c>
    </row>
    <row r="621">
      <c r="A621" s="61" t="n">
        <v>43221</v>
      </c>
      <c r="B621" s="68">
        <f>VLOOKUP(Table4[[#This Row],[Date]],Database!A:E,3,)</f>
        <v/>
      </c>
      <c r="C621" s="14">
        <f>(B621-B620)/B620</f>
        <v/>
      </c>
      <c r="D621" s="14">
        <f>(B621-B609)/B609</f>
        <v/>
      </c>
    </row>
    <row r="622">
      <c r="A622" s="61" t="n">
        <v>43252</v>
      </c>
      <c r="B622" s="68">
        <f>VLOOKUP(Table4[[#This Row],[Date]],Database!A:E,3,)</f>
        <v/>
      </c>
      <c r="C622" s="14">
        <f>(B622-B621)/B621</f>
        <v/>
      </c>
      <c r="D622" s="14">
        <f>(B622-B610)/B610</f>
        <v/>
      </c>
    </row>
    <row r="623">
      <c r="A623" s="61" t="n">
        <v>43282</v>
      </c>
      <c r="B623" s="68">
        <f>VLOOKUP(Table4[[#This Row],[Date]],Database!A:E,3,)</f>
        <v/>
      </c>
      <c r="C623" s="14">
        <f>(B623-B622)/B622</f>
        <v/>
      </c>
      <c r="D623" s="14">
        <f>(B623-B611)/B611</f>
        <v/>
      </c>
    </row>
    <row r="624">
      <c r="A624" s="61" t="n">
        <v>43313</v>
      </c>
      <c r="B624" s="68">
        <f>VLOOKUP(Table4[[#This Row],[Date]],Database!A:E,3,)</f>
        <v/>
      </c>
      <c r="C624" s="14">
        <f>(B624-B623)/B623</f>
        <v/>
      </c>
      <c r="D624" s="14">
        <f>(B624-B612)/B612</f>
        <v/>
      </c>
    </row>
    <row r="625">
      <c r="A625" s="61" t="n">
        <v>43344</v>
      </c>
      <c r="B625" s="68">
        <f>VLOOKUP(Table4[[#This Row],[Date]],Database!A:E,3,)</f>
        <v/>
      </c>
      <c r="C625" s="14">
        <f>(B625-B624)/B624</f>
        <v/>
      </c>
      <c r="D625" s="14">
        <f>(B625-B613)/B613</f>
        <v/>
      </c>
    </row>
    <row r="626">
      <c r="A626" s="61" t="n">
        <v>43374</v>
      </c>
      <c r="B626" s="68">
        <f>VLOOKUP(Table4[[#This Row],[Date]],Database!A:E,3,)</f>
        <v/>
      </c>
      <c r="C626" s="14">
        <f>(B626-B625)/B625</f>
        <v/>
      </c>
      <c r="D626" s="14">
        <f>(B626-B614)/B614</f>
        <v/>
      </c>
    </row>
    <row r="627">
      <c r="A627" s="61" t="n">
        <v>43405</v>
      </c>
      <c r="B627" s="68">
        <f>VLOOKUP(Table4[[#This Row],[Date]],Database!A:E,3,)</f>
        <v/>
      </c>
      <c r="C627" s="14">
        <f>(B627-B626)/B626</f>
        <v/>
      </c>
      <c r="D627" s="14">
        <f>(B627-B615)/B615</f>
        <v/>
      </c>
    </row>
    <row r="628">
      <c r="A628" s="61" t="n">
        <v>43435</v>
      </c>
      <c r="B628" s="68">
        <f>VLOOKUP(Table4[[#This Row],[Date]],Database!A:E,3,)</f>
        <v/>
      </c>
      <c r="C628" s="14">
        <f>(B628-B627)/B627</f>
        <v/>
      </c>
      <c r="D628" s="14">
        <f>(B628-B616)/B616</f>
        <v/>
      </c>
    </row>
    <row r="629">
      <c r="A629" s="61" t="n">
        <v>43466</v>
      </c>
      <c r="B629" s="68">
        <f>VLOOKUP(Table4[[#This Row],[Date]],Database!A:E,3,)</f>
        <v/>
      </c>
      <c r="C629" s="14">
        <f>(B629-B628)/B628</f>
        <v/>
      </c>
      <c r="D629" s="14">
        <f>(B629-B617)/B617</f>
        <v/>
      </c>
    </row>
    <row r="630">
      <c r="A630" s="61" t="n">
        <v>43497</v>
      </c>
      <c r="B630" s="68">
        <f>VLOOKUP(Table4[[#This Row],[Date]],Database!A:E,3,)</f>
        <v/>
      </c>
      <c r="C630" s="14">
        <f>(B630-B629)/B629</f>
        <v/>
      </c>
      <c r="D630" s="14">
        <f>(B630-B618)/B618</f>
        <v/>
      </c>
    </row>
    <row r="631">
      <c r="A631" s="61" t="n">
        <v>43525</v>
      </c>
      <c r="B631" s="68">
        <f>VLOOKUP(Table4[[#This Row],[Date]],Database!A:E,3,)</f>
        <v/>
      </c>
      <c r="C631" s="14">
        <f>(B631-B630)/B630</f>
        <v/>
      </c>
      <c r="D631" s="14">
        <f>(B631-B619)/B619</f>
        <v/>
      </c>
    </row>
    <row r="632">
      <c r="A632" s="61" t="n">
        <v>43556</v>
      </c>
      <c r="B632" s="68">
        <f>VLOOKUP(Table4[[#This Row],[Date]],Database!A:E,3,)</f>
        <v/>
      </c>
      <c r="C632" s="14">
        <f>(B632-B631)/B631</f>
        <v/>
      </c>
      <c r="D632" s="14">
        <f>(B632-B620)/B620</f>
        <v/>
      </c>
    </row>
    <row r="633">
      <c r="A633" s="61" t="n">
        <v>43586</v>
      </c>
      <c r="B633" s="68">
        <f>VLOOKUP(Table4[[#This Row],[Date]],Database!A:E,3,)</f>
        <v/>
      </c>
      <c r="C633" s="14">
        <f>(B633-B632)/B632</f>
        <v/>
      </c>
      <c r="D633" s="14">
        <f>(B633-B621)/B621</f>
        <v/>
      </c>
    </row>
    <row r="634">
      <c r="A634" s="61" t="n">
        <v>43617</v>
      </c>
      <c r="B634" s="68">
        <f>VLOOKUP(Table4[[#This Row],[Date]],Database!A:E,3,)</f>
        <v/>
      </c>
      <c r="C634" s="14">
        <f>(B634-B633)/B633</f>
        <v/>
      </c>
      <c r="D634" s="14">
        <f>(B634-B622)/B622</f>
        <v/>
      </c>
    </row>
    <row r="635">
      <c r="A635" s="61" t="n">
        <v>43647</v>
      </c>
      <c r="B635" s="68">
        <f>VLOOKUP(Table4[[#This Row],[Date]],Database!A:E,3,)</f>
        <v/>
      </c>
      <c r="C635" s="14">
        <f>(B635-B634)/B634</f>
        <v/>
      </c>
      <c r="D635" s="14">
        <f>(B635-B623)/B623</f>
        <v/>
      </c>
    </row>
    <row r="636" customFormat="1" s="77">
      <c r="A636" s="61" t="n">
        <v>43678</v>
      </c>
      <c r="B636" s="68">
        <f>VLOOKUP(Table4[[#This Row],[Date]],Database!A:E,3,)</f>
        <v/>
      </c>
      <c r="C636" s="14">
        <f>(B636-B635)/B635</f>
        <v/>
      </c>
      <c r="D636" s="14">
        <f>(B636-B624)/B624</f>
        <v/>
      </c>
    </row>
    <row r="637" customFormat="1" s="77">
      <c r="A637" s="61" t="n">
        <v>43709</v>
      </c>
      <c r="B637" s="68">
        <f>VLOOKUP(Table4[[#This Row],[Date]],Database!A:E,3,)</f>
        <v/>
      </c>
      <c r="C637" s="14">
        <f>(B637-B636)/B636</f>
        <v/>
      </c>
      <c r="D637" s="14">
        <f>(B637-B625)/B625</f>
        <v/>
      </c>
    </row>
    <row r="638" customFormat="1" s="77">
      <c r="A638" s="61" t="n">
        <v>43739</v>
      </c>
      <c r="B638" s="68">
        <f>VLOOKUP(Table4[[#This Row],[Date]],Database!A:E,3,)</f>
        <v/>
      </c>
      <c r="C638" s="14">
        <f>(B638-B637)/B637</f>
        <v/>
      </c>
      <c r="D638" s="14">
        <f>(B638-B626)/B626</f>
        <v/>
      </c>
    </row>
    <row r="639" customFormat="1" s="77">
      <c r="A639" s="61" t="n">
        <v>43770</v>
      </c>
      <c r="B639" s="68">
        <f>VLOOKUP(Table4[[#This Row],[Date]],Database!A:E,3,)</f>
        <v/>
      </c>
      <c r="C639" s="14">
        <f>(B639-B638)/B638</f>
        <v/>
      </c>
      <c r="D639" s="14">
        <f>(B639-B627)/B627</f>
        <v/>
      </c>
    </row>
    <row r="640" customFormat="1" s="77">
      <c r="A640" s="61" t="n">
        <v>43800</v>
      </c>
      <c r="B640" s="68">
        <f>VLOOKUP(Table4[[#This Row],[Date]],Database!A:E,3,)</f>
        <v/>
      </c>
      <c r="C640" s="14">
        <f>(B640-B639)/B639</f>
        <v/>
      </c>
      <c r="D640" s="14">
        <f>(B640-B628)/B628</f>
        <v/>
      </c>
    </row>
    <row r="641" customFormat="1" s="77">
      <c r="A641" s="61" t="n">
        <v>43831</v>
      </c>
      <c r="B641" s="68">
        <f>VLOOKUP(Table4[[#This Row],[Date]],Database!A:E,3,)</f>
        <v/>
      </c>
      <c r="C641" s="14">
        <f>(B641-B640)/B640</f>
        <v/>
      </c>
      <c r="D641" s="14">
        <f>(B641-B629)/B629</f>
        <v/>
      </c>
    </row>
    <row r="642" customFormat="1" s="77">
      <c r="A642" s="61" t="n">
        <v>43862</v>
      </c>
      <c r="B642" s="68">
        <f>VLOOKUP(Table4[[#This Row],[Date]],Database!A:E,3,)</f>
        <v/>
      </c>
      <c r="C642" s="14">
        <f>(B642-B641)/B641</f>
        <v/>
      </c>
      <c r="D642" s="14">
        <f>(B642-B630)/B630</f>
        <v/>
      </c>
    </row>
    <row r="643" customFormat="1" s="77">
      <c r="A643" s="61" t="n">
        <v>43891</v>
      </c>
      <c r="B643" s="68">
        <f>VLOOKUP(Table4[[#This Row],[Date]],Database!A:E,3,)</f>
        <v/>
      </c>
      <c r="C643" s="14">
        <f>(B643-B642)/B642</f>
        <v/>
      </c>
      <c r="D643" s="14">
        <f>(B643-B631)/B631</f>
        <v/>
      </c>
    </row>
    <row r="644" customFormat="1" s="77">
      <c r="A644" s="61" t="n">
        <v>43922</v>
      </c>
      <c r="B644" s="68">
        <f>VLOOKUP(Table4[[#This Row],[Date]],Database!A:E,3,)</f>
        <v/>
      </c>
      <c r="C644" s="14">
        <f>(B644-B643)/B643</f>
        <v/>
      </c>
      <c r="D644" s="14">
        <f>(B644-B632)/B632</f>
        <v/>
      </c>
    </row>
    <row r="645" customFormat="1" s="77">
      <c r="A645" s="61" t="n">
        <v>43952</v>
      </c>
      <c r="B645" s="68">
        <f>VLOOKUP(Table4[[#This Row],[Date]],Database!A:E,3,)</f>
        <v/>
      </c>
      <c r="C645" s="14">
        <f>(B645-B644)/B644</f>
        <v/>
      </c>
      <c r="D645" s="14">
        <f>(B645-B633)/B633</f>
        <v/>
      </c>
    </row>
    <row r="646" customFormat="1" s="77">
      <c r="A646" s="61" t="n">
        <v>43983</v>
      </c>
      <c r="B646" s="68">
        <f>VLOOKUP(Table4[[#This Row],[Date]],Database!A:E,3,)</f>
        <v/>
      </c>
      <c r="C646" s="14">
        <f>(B646-B645)/B645</f>
        <v/>
      </c>
      <c r="D646" s="14">
        <f>(B646-B634)/B634</f>
        <v/>
      </c>
    </row>
    <row r="647" customFormat="1" s="77">
      <c r="A647" s="61" t="n">
        <v>44013</v>
      </c>
      <c r="B647" s="68">
        <f>VLOOKUP(Table4[[#This Row],[Date]],Database!A:E,3,)</f>
        <v/>
      </c>
      <c r="C647" s="14">
        <f>(B647-B646)/B646</f>
        <v/>
      </c>
      <c r="D647" s="14">
        <f>(B647-B635)/B635</f>
        <v/>
      </c>
    </row>
    <row r="648" customFormat="1" s="77">
      <c r="A648" s="61" t="n">
        <v>44044</v>
      </c>
      <c r="B648" s="68">
        <f>VLOOKUP(Table4[[#This Row],[Date]],Database!A:E,3,)</f>
        <v/>
      </c>
      <c r="C648" s="14">
        <f>(B648-B647)/B647</f>
        <v/>
      </c>
      <c r="D648" s="14">
        <f>(B648-B636)/B636</f>
        <v/>
      </c>
    </row>
    <row r="649" customFormat="1" s="77">
      <c r="A649" s="61" t="n">
        <v>44075</v>
      </c>
      <c r="B649" s="68">
        <f>VLOOKUP(Table4[[#This Row],[Date]],Database!A:E,3,)</f>
        <v/>
      </c>
      <c r="C649" s="14">
        <f>(B649-B648)/B648</f>
        <v/>
      </c>
      <c r="D649" s="14">
        <f>(B649-B637)/B637</f>
        <v/>
      </c>
    </row>
    <row r="650" customFormat="1" s="77">
      <c r="A650" s="61" t="n">
        <v>44105</v>
      </c>
      <c r="B650" s="68">
        <f>VLOOKUP(Table4[[#This Row],[Date]],Database!A:E,3,)</f>
        <v/>
      </c>
      <c r="C650" s="14">
        <f>(B650-B649)/B649</f>
        <v/>
      </c>
      <c r="D650" s="14">
        <f>(B650-B638)/B638</f>
        <v/>
      </c>
    </row>
    <row r="651" customFormat="1" s="77">
      <c r="A651" s="61" t="n">
        <v>44136</v>
      </c>
      <c r="B651" s="68">
        <f>VLOOKUP(Table4[[#This Row],[Date]],Database!A:E,3,)</f>
        <v/>
      </c>
      <c r="C651" s="14">
        <f>(B651-B650)/B650</f>
        <v/>
      </c>
      <c r="D651" s="14">
        <f>(B651-B639)/B639</f>
        <v/>
      </c>
    </row>
    <row r="652" customFormat="1" s="77">
      <c r="A652" s="61" t="n">
        <v>44166</v>
      </c>
      <c r="B652" s="68">
        <f>VLOOKUP(Table4[[#This Row],[Date]],Database!A:E,3,)</f>
        <v/>
      </c>
      <c r="C652" s="14">
        <f>(B652-B651)/B651</f>
        <v/>
      </c>
      <c r="D652" s="14">
        <f>(B652-B640)/B640</f>
        <v/>
      </c>
    </row>
    <row r="653" customFormat="1" s="77">
      <c r="A653" s="61" t="n">
        <v>44197</v>
      </c>
      <c r="B653" s="68">
        <f>VLOOKUP(Table4[[#This Row],[Date]],Database!A:E,3,)</f>
        <v/>
      </c>
      <c r="C653" s="14">
        <f>(B653-B652)/B652</f>
        <v/>
      </c>
      <c r="D653" s="14">
        <f>(B653-B641)/B641</f>
        <v/>
      </c>
    </row>
    <row r="654" customFormat="1" s="77">
      <c r="A654" s="61" t="n">
        <v>44228</v>
      </c>
      <c r="B654" s="68">
        <f>VLOOKUP(Table4[[#This Row],[Date]],Database!A:E,3,)</f>
        <v/>
      </c>
      <c r="C654" s="14">
        <f>(B654-B653)/B653</f>
        <v/>
      </c>
      <c r="D654" s="14">
        <f>(B654-B642)/B642</f>
        <v/>
      </c>
    </row>
    <row r="655" customFormat="1" s="77">
      <c r="A655" s="61" t="n">
        <v>44256</v>
      </c>
      <c r="B655" s="68">
        <f>VLOOKUP(Table4[[#This Row],[Date]],Database!A:E,3,)</f>
        <v/>
      </c>
      <c r="C655" s="14">
        <f>(B655-B654)/B654</f>
        <v/>
      </c>
      <c r="D655" s="14">
        <f>(B655-B643)/B643</f>
        <v/>
      </c>
    </row>
    <row r="656" customFormat="1" s="77">
      <c r="A656" s="61" t="n">
        <v>44287</v>
      </c>
      <c r="B656" s="68">
        <f>VLOOKUP(Table4[[#This Row],[Date]],Database!A:E,3,)</f>
        <v/>
      </c>
      <c r="C656" s="14">
        <f>(B656-B655)/B655</f>
        <v/>
      </c>
      <c r="D656" s="14">
        <f>(B656-B644)/B644</f>
        <v/>
      </c>
    </row>
    <row r="657" customFormat="1" s="77">
      <c r="A657" s="61" t="n">
        <v>44317</v>
      </c>
      <c r="B657" s="68">
        <f>VLOOKUP(Table4[[#This Row],[Date]],Database!A:E,3,)</f>
        <v/>
      </c>
      <c r="C657" s="14">
        <f>(B657-B656)/B656</f>
        <v/>
      </c>
      <c r="D657" s="14">
        <f>(B657-B645)/B645</f>
        <v/>
      </c>
    </row>
    <row r="658" customFormat="1" s="77">
      <c r="A658" s="61" t="n">
        <v>44348</v>
      </c>
      <c r="B658" s="68">
        <f>VLOOKUP(Table4[[#This Row],[Date]],Database!A:E,3,)</f>
        <v/>
      </c>
      <c r="C658" s="14">
        <f>(B658-B657)/B657</f>
        <v/>
      </c>
      <c r="D658" s="14">
        <f>(B658-B646)/B646</f>
        <v/>
      </c>
    </row>
    <row r="659" customFormat="1" s="77">
      <c r="A659" s="61" t="n">
        <v>44378</v>
      </c>
      <c r="B659" s="68">
        <f>VLOOKUP(Table4[[#This Row],[Date]],Database!A:E,3,)</f>
        <v/>
      </c>
      <c r="C659" s="14">
        <f>(B659-B658)/B658</f>
        <v/>
      </c>
      <c r="D659" s="14">
        <f>(B659-B647)/B647</f>
        <v/>
      </c>
    </row>
    <row r="660" customFormat="1" s="77">
      <c r="A660" s="61" t="n">
        <v>44409</v>
      </c>
      <c r="B660" s="68">
        <f>VLOOKUP(Table4[[#This Row],[Date]],Database!A:E,3,)</f>
        <v/>
      </c>
      <c r="C660" s="14">
        <f>(B660-B659)/B659</f>
        <v/>
      </c>
      <c r="D660" s="14">
        <f>(B660-B648)/B648</f>
        <v/>
      </c>
    </row>
    <row r="661" customFormat="1" s="77">
      <c r="A661" s="61" t="n">
        <v>44440</v>
      </c>
      <c r="B661" s="68">
        <f>VLOOKUP(Table4[[#This Row],[Date]],Database!A:E,3,)</f>
        <v/>
      </c>
      <c r="C661" s="14">
        <f>(B661-B660)/B660</f>
        <v/>
      </c>
      <c r="D661" s="14">
        <f>(B661-B649)/B649</f>
        <v/>
      </c>
    </row>
    <row r="662" customFormat="1" s="77">
      <c r="A662" s="61" t="n">
        <v>44470</v>
      </c>
      <c r="B662" s="68">
        <f>VLOOKUP(Table4[[#This Row],[Date]],Database!A:E,3,)</f>
        <v/>
      </c>
      <c r="C662" s="14">
        <f>(B662-B661)/B661</f>
        <v/>
      </c>
      <c r="D662" s="14">
        <f>(B662-B650)/B650</f>
        <v/>
      </c>
    </row>
    <row r="663" customFormat="1" s="77">
      <c r="A663" s="61" t="n">
        <v>44501</v>
      </c>
      <c r="B663" s="68">
        <f>VLOOKUP(Table4[[#This Row],[Date]],Database!A:E,3,)</f>
        <v/>
      </c>
      <c r="C663" s="14">
        <f>(B663-B662)/B662</f>
        <v/>
      </c>
      <c r="D663" s="14">
        <f>(B663-B651)/B651</f>
        <v/>
      </c>
    </row>
    <row r="664" customFormat="1" s="77">
      <c r="A664" s="61" t="n">
        <v>44531</v>
      </c>
      <c r="B664" s="68">
        <f>VLOOKUP(Table4[[#This Row],[Date]],Database!A:E,3,)</f>
        <v/>
      </c>
      <c r="C664" s="14">
        <f>(B664-B663)/B663</f>
        <v/>
      </c>
      <c r="D664" s="14">
        <f>(B664-B652)/B652</f>
        <v/>
      </c>
    </row>
    <row r="665" customFormat="1" s="77">
      <c r="A665" s="61" t="n">
        <v>44562</v>
      </c>
      <c r="B665" s="68">
        <f>VLOOKUP(Table4[[#This Row],[Date]],Database!A:E,3,)</f>
        <v/>
      </c>
      <c r="C665" s="14">
        <f>(B665-B664)/B664</f>
        <v/>
      </c>
      <c r="D665" s="14">
        <f>(B665-B653)/B653</f>
        <v/>
      </c>
    </row>
    <row r="666" customFormat="1" s="77">
      <c r="A666" s="61" t="n">
        <v>44593</v>
      </c>
      <c r="B666" s="68">
        <f>VLOOKUP(Table4[[#This Row],[Date]],Database!A:E,3,)</f>
        <v/>
      </c>
      <c r="C666" s="14">
        <f>(B666-B665)/B665</f>
        <v/>
      </c>
      <c r="D666" s="14">
        <f>(B666-B654)/B654</f>
        <v/>
      </c>
    </row>
    <row r="667" customFormat="1" s="77">
      <c r="A667" s="2" t="n"/>
      <c r="B667" s="64" t="n"/>
      <c r="C667" s="2" t="n"/>
      <c r="D667" s="2" t="n"/>
    </row>
    <row r="668" customFormat="1" s="77">
      <c r="A668" s="2" t="n"/>
      <c r="B668" s="64" t="n"/>
      <c r="C668" s="2" t="n"/>
      <c r="D668" s="2" t="n"/>
    </row>
    <row r="669" customFormat="1" s="77">
      <c r="A669" s="2" t="n"/>
      <c r="B669" s="64" t="n"/>
      <c r="C669" s="2" t="n"/>
      <c r="D669" s="2" t="n"/>
    </row>
    <row r="670" customFormat="1" s="77">
      <c r="A670" s="2" t="n"/>
      <c r="B670" s="64" t="n"/>
      <c r="C670" s="2" t="n"/>
      <c r="D670" s="2" t="n"/>
    </row>
    <row r="671" customFormat="1" s="77">
      <c r="A671" s="2" t="n"/>
      <c r="B671" s="64" t="n"/>
      <c r="C671" s="2" t="n"/>
      <c r="D671" s="2" t="n"/>
    </row>
    <row r="672" customFormat="1" s="77">
      <c r="A672" s="2" t="n"/>
      <c r="B672" s="64" t="n"/>
      <c r="C672" s="2" t="n"/>
      <c r="D672" s="2" t="n"/>
    </row>
    <row r="673" customFormat="1" s="77">
      <c r="A673" s="2" t="n"/>
      <c r="B673" s="64" t="n"/>
      <c r="C673" s="2" t="n"/>
      <c r="D673" s="2" t="n"/>
    </row>
    <row r="674" customFormat="1" s="77">
      <c r="A674" s="2" t="n"/>
      <c r="B674" s="64" t="n"/>
      <c r="C674" s="2" t="n"/>
      <c r="D674" s="2" t="n"/>
    </row>
    <row r="675" customFormat="1" s="77">
      <c r="A675" s="2" t="n"/>
      <c r="B675" s="64" t="n"/>
      <c r="C675" s="2" t="n"/>
      <c r="D675" s="2" t="n"/>
    </row>
    <row r="676" customFormat="1" s="77">
      <c r="A676" s="2" t="n"/>
      <c r="B676" s="64" t="n"/>
      <c r="C676" s="2" t="n"/>
      <c r="D676" s="2" t="n"/>
    </row>
    <row r="677" customFormat="1" s="77">
      <c r="A677" s="2" t="n"/>
      <c r="B677" s="64" t="n"/>
      <c r="C677" s="2" t="n"/>
      <c r="D677" s="2" t="n"/>
    </row>
    <row r="678" customFormat="1" s="77">
      <c r="A678" s="2" t="n"/>
      <c r="B678" s="64" t="n"/>
      <c r="C678" s="2" t="n"/>
      <c r="D678" s="2" t="n"/>
    </row>
    <row r="679" customFormat="1" s="77">
      <c r="A679" s="2" t="n"/>
      <c r="B679" s="64" t="n"/>
      <c r="C679" s="2" t="n"/>
      <c r="D679" s="2" t="n"/>
    </row>
    <row r="680" customFormat="1" s="77">
      <c r="A680" s="2" t="n"/>
      <c r="B680" s="64" t="n"/>
      <c r="C680" s="2" t="n"/>
      <c r="D680" s="2" t="n"/>
    </row>
    <row r="681" customFormat="1" s="77">
      <c r="A681" s="2" t="n"/>
      <c r="B681" s="64" t="n"/>
      <c r="C681" s="2" t="n"/>
      <c r="D681" s="2" t="n"/>
    </row>
    <row r="682" customFormat="1" s="77">
      <c r="A682" s="2" t="n"/>
      <c r="B682" s="64" t="n"/>
      <c r="C682" s="2" t="n"/>
      <c r="D682" s="2" t="n"/>
    </row>
    <row r="683" customFormat="1" s="77">
      <c r="A683" s="2" t="n"/>
      <c r="B683" s="64" t="n"/>
      <c r="C683" s="2" t="n"/>
      <c r="D683" s="2" t="n"/>
    </row>
    <row r="684" customFormat="1" s="77">
      <c r="A684" s="2" t="n"/>
      <c r="B684" s="64" t="n"/>
      <c r="C684" s="2" t="n"/>
      <c r="D684" s="2" t="n"/>
    </row>
    <row r="685" customFormat="1" s="77">
      <c r="A685" s="2" t="n"/>
      <c r="B685" s="64" t="n"/>
      <c r="C685" s="2" t="n"/>
      <c r="D685" s="2" t="n"/>
    </row>
    <row r="686" customFormat="1" s="77">
      <c r="A686" s="2" t="n"/>
      <c r="B686" s="64" t="n"/>
      <c r="C686" s="2" t="n"/>
      <c r="D686" s="2" t="n"/>
    </row>
    <row r="687" customFormat="1" s="77">
      <c r="A687" s="2" t="n"/>
      <c r="B687" s="64" t="n"/>
      <c r="C687" s="2" t="n"/>
      <c r="D687" s="2" t="n"/>
    </row>
    <row r="688" customFormat="1" s="77">
      <c r="A688" s="2" t="n"/>
      <c r="B688" s="64" t="n"/>
      <c r="C688" s="2" t="n"/>
      <c r="D688" s="2" t="n"/>
    </row>
    <row r="689" customFormat="1" s="77">
      <c r="A689" s="2" t="n"/>
      <c r="B689" s="64" t="n"/>
      <c r="C689" s="2" t="n"/>
      <c r="D689" s="2" t="n"/>
    </row>
    <row r="690" customFormat="1" s="77">
      <c r="A690" s="2" t="n"/>
      <c r="B690" s="64" t="n"/>
      <c r="C690" s="2" t="n"/>
      <c r="D690" s="2" t="n"/>
    </row>
    <row r="691" customFormat="1" s="77">
      <c r="A691" s="2" t="n"/>
      <c r="B691" s="64" t="n"/>
      <c r="C691" s="2" t="n"/>
      <c r="D691" s="2" t="n"/>
    </row>
    <row r="692" customFormat="1" s="77">
      <c r="A692" s="2" t="n"/>
      <c r="B692" s="64" t="n"/>
      <c r="C692" s="2" t="n"/>
      <c r="D692" s="2" t="n"/>
    </row>
    <row r="693" customFormat="1" s="77">
      <c r="A693" s="2" t="n"/>
      <c r="B693" s="64" t="n"/>
      <c r="C693" s="2" t="n"/>
      <c r="D693" s="2" t="n"/>
    </row>
    <row r="694" customFormat="1" s="77">
      <c r="A694" s="2" t="n"/>
      <c r="B694" s="64" t="n"/>
      <c r="C694" s="2" t="n"/>
      <c r="D694" s="2" t="n"/>
    </row>
    <row r="695" customFormat="1" s="77">
      <c r="A695" s="2" t="n"/>
      <c r="B695" s="64" t="n"/>
      <c r="C695" s="2" t="n"/>
      <c r="D695" s="2" t="n"/>
    </row>
    <row r="696" customFormat="1" s="77">
      <c r="A696" s="2" t="n"/>
      <c r="B696" s="64" t="n"/>
      <c r="C696" s="2" t="n"/>
      <c r="D696" s="2" t="n"/>
    </row>
    <row r="697" customFormat="1" s="77">
      <c r="A697" s="2" t="n"/>
      <c r="B697" s="64" t="n"/>
      <c r="C697" s="2" t="n"/>
      <c r="D697" s="2" t="n"/>
    </row>
    <row r="698" customFormat="1" s="77">
      <c r="A698" s="2" t="n"/>
      <c r="B698" s="64" t="n"/>
      <c r="C698" s="2" t="n"/>
      <c r="D698" s="2" t="n"/>
    </row>
    <row r="699" customFormat="1" s="77">
      <c r="A699" s="2" t="n"/>
      <c r="B699" s="64" t="n"/>
      <c r="C699" s="2" t="n"/>
      <c r="D699" s="2" t="n"/>
    </row>
    <row r="700" customFormat="1" s="77">
      <c r="A700" s="2" t="n"/>
      <c r="B700" s="64" t="n"/>
      <c r="C700" s="2" t="n"/>
      <c r="D700" s="2" t="n"/>
    </row>
    <row r="701" customFormat="1" s="77">
      <c r="A701" s="2" t="n"/>
      <c r="B701" s="64" t="n"/>
      <c r="C701" s="2" t="n"/>
      <c r="D701" s="2" t="n"/>
    </row>
    <row r="702" customFormat="1" s="77">
      <c r="A702" s="2" t="n"/>
      <c r="B702" s="64" t="n"/>
      <c r="C702" s="2" t="n"/>
      <c r="D702" s="2" t="n"/>
    </row>
    <row r="703" customFormat="1" s="77">
      <c r="A703" s="2" t="n"/>
      <c r="B703" s="64" t="n"/>
      <c r="C703" s="2" t="n"/>
      <c r="D703" s="2" t="n"/>
    </row>
    <row r="704" customFormat="1" s="77">
      <c r="A704" s="2" t="n"/>
      <c r="B704" s="64" t="n"/>
      <c r="C704" s="2" t="n"/>
      <c r="D704" s="2" t="n"/>
    </row>
    <row r="705" customFormat="1" s="77">
      <c r="A705" s="2" t="n"/>
      <c r="B705" s="64" t="n"/>
      <c r="C705" s="2" t="n"/>
      <c r="D705" s="2" t="n"/>
    </row>
    <row r="706" customFormat="1" s="77">
      <c r="A706" s="2" t="n"/>
      <c r="B706" s="64" t="n"/>
      <c r="C706" s="2" t="n"/>
      <c r="D706" s="2" t="n"/>
    </row>
    <row r="707" customFormat="1" s="77">
      <c r="A707" s="2" t="n"/>
      <c r="B707" s="64" t="n"/>
      <c r="C707" s="2" t="n"/>
      <c r="D707" s="2" t="n"/>
    </row>
    <row r="708" customFormat="1" s="77">
      <c r="A708" s="2" t="n"/>
      <c r="B708" s="64" t="n"/>
      <c r="C708" s="2" t="n"/>
      <c r="D708" s="2" t="n"/>
    </row>
    <row r="709" customFormat="1" s="77">
      <c r="A709" s="2" t="n"/>
      <c r="B709" s="64" t="n"/>
      <c r="C709" s="2" t="n"/>
      <c r="D709" s="2" t="n"/>
    </row>
    <row r="710" customFormat="1" s="77">
      <c r="A710" s="2" t="n"/>
      <c r="B710" s="64" t="n"/>
      <c r="C710" s="2" t="n"/>
      <c r="D710" s="2" t="n"/>
    </row>
    <row r="711" customFormat="1" s="77">
      <c r="A711" s="2" t="n"/>
      <c r="B711" s="64" t="n"/>
      <c r="C711" s="2" t="n"/>
      <c r="D711" s="2" t="n"/>
    </row>
    <row r="712" customFormat="1" s="77">
      <c r="A712" s="2" t="n"/>
      <c r="B712" s="64" t="n"/>
      <c r="C712" s="2" t="n"/>
      <c r="D712" s="2" t="n"/>
    </row>
    <row r="713" customFormat="1" s="77">
      <c r="A713" s="2" t="n"/>
      <c r="B713" s="64" t="n"/>
      <c r="C713" s="2" t="n"/>
      <c r="D713" s="2" t="n"/>
    </row>
    <row r="714" customFormat="1" s="77">
      <c r="A714" s="2" t="n"/>
      <c r="B714" s="64" t="n"/>
      <c r="C714" s="2" t="n"/>
      <c r="D714" s="2" t="n"/>
    </row>
    <row r="715" customFormat="1" s="77">
      <c r="A715" s="2" t="n"/>
      <c r="B715" s="64" t="n"/>
      <c r="C715" s="2" t="n"/>
      <c r="D715" s="2" t="n"/>
    </row>
    <row r="716" customFormat="1" s="77">
      <c r="A716" s="2" t="n"/>
      <c r="B716" s="64" t="n"/>
      <c r="C716" s="2" t="n"/>
      <c r="D716" s="2" t="n"/>
    </row>
    <row r="717" customFormat="1" s="77">
      <c r="A717" s="2" t="n"/>
      <c r="B717" s="64" t="n"/>
      <c r="C717" s="2" t="n"/>
      <c r="D717" s="2" t="n"/>
    </row>
    <row r="718" customFormat="1" s="77">
      <c r="A718" s="2" t="n"/>
      <c r="B718" s="64" t="n"/>
      <c r="C718" s="2" t="n"/>
      <c r="D718" s="2" t="n"/>
    </row>
    <row r="719" customFormat="1" s="77">
      <c r="A719" s="2" t="n"/>
      <c r="B719" s="64" t="n"/>
      <c r="C719" s="2" t="n"/>
      <c r="D719" s="2" t="n"/>
    </row>
    <row r="720" customFormat="1" s="77">
      <c r="A720" s="2" t="n"/>
      <c r="B720" s="64" t="n"/>
      <c r="C720" s="2" t="n"/>
      <c r="D720" s="2" t="n"/>
    </row>
    <row r="721" customFormat="1" s="77">
      <c r="A721" s="2" t="n"/>
      <c r="B721" s="64" t="n"/>
      <c r="C721" s="2" t="n"/>
      <c r="D721" s="2" t="n"/>
    </row>
    <row r="722" customFormat="1" s="77">
      <c r="A722" s="2" t="n"/>
      <c r="B722" s="64" t="n"/>
      <c r="C722" s="2" t="n"/>
      <c r="D722" s="2" t="n"/>
    </row>
    <row r="723" customFormat="1" s="77">
      <c r="A723" s="2" t="n"/>
      <c r="B723" s="64" t="n"/>
      <c r="C723" s="2" t="n"/>
      <c r="D723" s="2" t="n"/>
    </row>
    <row r="724" customFormat="1" s="77">
      <c r="A724" s="2" t="n"/>
      <c r="B724" s="64" t="n"/>
      <c r="C724" s="2" t="n"/>
      <c r="D724" s="2" t="n"/>
    </row>
    <row r="725" customFormat="1" s="77">
      <c r="A725" s="2" t="n"/>
      <c r="B725" s="64" t="n"/>
      <c r="C725" s="2" t="n"/>
      <c r="D725" s="2" t="n"/>
    </row>
    <row r="726" customFormat="1" s="77">
      <c r="A726" s="2" t="n"/>
      <c r="B726" s="64" t="n"/>
      <c r="C726" s="2" t="n"/>
      <c r="D726" s="2" t="n"/>
    </row>
    <row r="727" customFormat="1" s="77">
      <c r="A727" s="2" t="n"/>
      <c r="B727" s="64" t="n"/>
      <c r="C727" s="2" t="n"/>
      <c r="D727" s="2" t="n"/>
    </row>
    <row r="728" customFormat="1" s="77">
      <c r="A728" s="2" t="n"/>
      <c r="B728" s="64" t="n"/>
      <c r="C728" s="2" t="n"/>
      <c r="D728" s="2" t="n"/>
    </row>
    <row r="729" customFormat="1" s="77">
      <c r="A729" s="2" t="n"/>
      <c r="B729" s="64" t="n"/>
      <c r="C729" s="2" t="n"/>
      <c r="D729" s="2" t="n"/>
    </row>
    <row r="730" customFormat="1" s="77">
      <c r="A730" s="2" t="n"/>
      <c r="B730" s="64" t="n"/>
      <c r="C730" s="2" t="n"/>
      <c r="D730" s="2" t="n"/>
    </row>
    <row r="731" customFormat="1" s="77">
      <c r="A731" s="2" t="n"/>
      <c r="B731" s="64" t="n"/>
      <c r="C731" s="2" t="n"/>
      <c r="D731" s="2" t="n"/>
    </row>
    <row r="732" customFormat="1" s="77">
      <c r="A732" s="2" t="n"/>
      <c r="B732" s="64" t="n"/>
      <c r="C732" s="2" t="n"/>
      <c r="D732" s="2" t="n"/>
    </row>
    <row r="733" customFormat="1" s="77">
      <c r="A733" s="2" t="n"/>
      <c r="B733" s="64" t="n"/>
      <c r="C733" s="2" t="n"/>
      <c r="D733" s="2" t="n"/>
    </row>
    <row r="734" customFormat="1" s="77">
      <c r="A734" s="2" t="n"/>
      <c r="B734" s="64" t="n"/>
      <c r="C734" s="2" t="n"/>
      <c r="D734" s="2" t="n"/>
    </row>
    <row r="735" customFormat="1" s="77">
      <c r="A735" s="2" t="n"/>
      <c r="B735" s="64" t="n"/>
      <c r="C735" s="2" t="n"/>
      <c r="D735" s="2" t="n"/>
    </row>
    <row r="736" customFormat="1" s="77">
      <c r="A736" s="2" t="n"/>
      <c r="B736" s="64" t="n"/>
      <c r="C736" s="2" t="n"/>
      <c r="D736" s="2" t="n"/>
    </row>
    <row r="737" customFormat="1" s="77">
      <c r="A737" s="2" t="n"/>
      <c r="B737" s="64" t="n"/>
      <c r="C737" s="2" t="n"/>
      <c r="D737" s="2" t="n"/>
    </row>
    <row r="738" customFormat="1" s="77">
      <c r="A738" s="2" t="n"/>
      <c r="B738" s="64" t="n"/>
      <c r="C738" s="2" t="n"/>
      <c r="D738" s="2" t="n"/>
    </row>
    <row r="739" customFormat="1" s="77">
      <c r="A739" s="2" t="n"/>
      <c r="B739" s="64" t="n"/>
      <c r="C739" s="2" t="n"/>
      <c r="D739" s="2" t="n"/>
    </row>
    <row r="740" customFormat="1" s="77">
      <c r="A740" s="2" t="n"/>
      <c r="B740" s="64" t="n"/>
      <c r="C740" s="2" t="n"/>
      <c r="D740" s="2" t="n"/>
    </row>
    <row r="741" customFormat="1" s="77">
      <c r="A741" s="2" t="n"/>
      <c r="B741" s="64" t="n"/>
      <c r="C741" s="2" t="n"/>
      <c r="D741" s="2" t="n"/>
    </row>
    <row r="742" customFormat="1" s="77">
      <c r="A742" s="2" t="n"/>
      <c r="B742" s="64" t="n"/>
      <c r="C742" s="2" t="n"/>
      <c r="D742" s="2" t="n"/>
    </row>
    <row r="743" customFormat="1" s="77">
      <c r="A743" s="2" t="n"/>
      <c r="B743" s="64" t="n"/>
      <c r="C743" s="2" t="n"/>
      <c r="D743" s="2" t="n"/>
    </row>
    <row r="744" customFormat="1" s="77">
      <c r="A744" s="2" t="n"/>
      <c r="B744" s="64" t="n"/>
      <c r="C744" s="2" t="n"/>
      <c r="D744" s="2" t="n"/>
    </row>
    <row r="745" customFormat="1" s="77">
      <c r="A745" s="2" t="n"/>
      <c r="B745" s="64" t="n"/>
      <c r="C745" s="2" t="n"/>
      <c r="D745" s="2" t="n"/>
    </row>
    <row r="746" customFormat="1" s="77">
      <c r="A746" s="2" t="n"/>
      <c r="B746" s="64" t="n"/>
      <c r="C746" s="2" t="n"/>
      <c r="D746" s="2" t="n"/>
    </row>
    <row r="747" customFormat="1" s="77">
      <c r="A747" s="2" t="n"/>
      <c r="B747" s="64" t="n"/>
      <c r="C747" s="2" t="n"/>
      <c r="D747" s="2" t="n"/>
    </row>
    <row r="748" customFormat="1" s="77">
      <c r="A748" s="2" t="n"/>
      <c r="B748" s="64" t="n"/>
      <c r="C748" s="2" t="n"/>
      <c r="D748" s="2" t="n"/>
    </row>
    <row r="749" customFormat="1" s="77">
      <c r="A749" s="2" t="n"/>
      <c r="B749" s="64" t="n"/>
      <c r="C749" s="2" t="n"/>
      <c r="D749" s="2" t="n"/>
    </row>
    <row r="750" customFormat="1" s="77">
      <c r="A750" s="2" t="n"/>
      <c r="B750" s="64" t="n"/>
      <c r="C750" s="2" t="n"/>
      <c r="D750" s="2" t="n"/>
    </row>
    <row r="751" customFormat="1" s="77">
      <c r="A751" s="2" t="n"/>
      <c r="B751" s="64" t="n"/>
      <c r="C751" s="2" t="n"/>
      <c r="D751" s="2" t="n"/>
    </row>
    <row r="752" customFormat="1" s="77">
      <c r="A752" s="2" t="n"/>
      <c r="B752" s="64" t="n"/>
      <c r="C752" s="2" t="n"/>
      <c r="D752" s="2" t="n"/>
    </row>
    <row r="753" customFormat="1" s="77">
      <c r="A753" s="2" t="n"/>
      <c r="B753" s="64" t="n"/>
      <c r="C753" s="2" t="n"/>
      <c r="D753" s="2" t="n"/>
    </row>
    <row r="754" customFormat="1" s="77">
      <c r="A754" s="2" t="n"/>
      <c r="B754" s="64" t="n"/>
      <c r="C754" s="2" t="n"/>
      <c r="D754" s="2" t="n"/>
    </row>
    <row r="755" customFormat="1" s="77">
      <c r="A755" s="2" t="n"/>
      <c r="B755" s="64" t="n"/>
      <c r="C755" s="2" t="n"/>
      <c r="D755" s="2" t="n"/>
    </row>
    <row r="756" customFormat="1" s="77">
      <c r="A756" s="2" t="n"/>
      <c r="B756" s="64" t="n"/>
      <c r="C756" s="2" t="n"/>
      <c r="D756" s="2" t="n"/>
    </row>
    <row r="757" customFormat="1" s="77">
      <c r="A757" s="2" t="n"/>
      <c r="B757" s="64" t="n"/>
      <c r="C757" s="2" t="n"/>
      <c r="D757" s="2" t="n"/>
    </row>
    <row r="758" customFormat="1" s="77">
      <c r="A758" s="2" t="n"/>
      <c r="B758" s="64" t="n"/>
      <c r="C758" s="2" t="n"/>
      <c r="D758" s="2" t="n"/>
    </row>
    <row r="759" customFormat="1" s="77">
      <c r="A759" s="2" t="n"/>
      <c r="B759" s="64" t="n"/>
      <c r="C759" s="2" t="n"/>
      <c r="D759" s="2" t="n"/>
    </row>
    <row r="760" customFormat="1" s="77">
      <c r="A760" s="2" t="n"/>
      <c r="B760" s="64" t="n"/>
      <c r="C760" s="2" t="n"/>
      <c r="D760" s="2" t="n"/>
    </row>
    <row r="761" customFormat="1" s="77">
      <c r="A761" s="2" t="n"/>
      <c r="B761" s="64" t="n"/>
      <c r="C761" s="2" t="n"/>
      <c r="D761" s="2" t="n"/>
    </row>
    <row r="762" customFormat="1" s="77">
      <c r="A762" s="2" t="n"/>
      <c r="B762" s="64" t="n"/>
      <c r="C762" s="2" t="n"/>
      <c r="D762" s="2" t="n"/>
    </row>
    <row r="763" customFormat="1" s="77">
      <c r="A763" s="2" t="n"/>
      <c r="B763" s="64" t="n"/>
      <c r="C763" s="2" t="n"/>
      <c r="D763" s="2" t="n"/>
    </row>
    <row r="764" customFormat="1" s="77">
      <c r="A764" s="2" t="n"/>
      <c r="B764" s="64" t="n"/>
      <c r="C764" s="2" t="n"/>
      <c r="D764" s="2" t="n"/>
    </row>
    <row r="765" customFormat="1" s="77">
      <c r="A765" s="2" t="n"/>
      <c r="B765" s="64" t="n"/>
      <c r="C765" s="2" t="n"/>
      <c r="D765" s="2" t="n"/>
    </row>
    <row r="766" customFormat="1" s="77">
      <c r="A766" s="2" t="n"/>
      <c r="B766" s="64" t="n"/>
      <c r="C766" s="2" t="n"/>
      <c r="D766" s="2" t="n"/>
    </row>
    <row r="767" customFormat="1" s="77">
      <c r="A767" s="2" t="n"/>
      <c r="B767" s="64" t="n"/>
      <c r="C767" s="2" t="n"/>
      <c r="D767" s="2" t="n"/>
    </row>
    <row r="768" customFormat="1" s="77">
      <c r="A768" s="2" t="n"/>
      <c r="B768" s="64" t="n"/>
      <c r="C768" s="2" t="n"/>
      <c r="D768" s="2" t="n"/>
    </row>
    <row r="769" customFormat="1" s="77">
      <c r="A769" s="2" t="n"/>
      <c r="B769" s="64" t="n"/>
      <c r="C769" s="2" t="n"/>
      <c r="D769" s="2" t="n"/>
    </row>
    <row r="770" customFormat="1" s="77">
      <c r="A770" s="2" t="n"/>
      <c r="B770" s="64" t="n"/>
      <c r="C770" s="2" t="n"/>
      <c r="D770" s="2" t="n"/>
    </row>
    <row r="771" customFormat="1" s="77">
      <c r="A771" s="2" t="n"/>
      <c r="B771" s="64" t="n"/>
      <c r="C771" s="2" t="n"/>
      <c r="D771" s="2" t="n"/>
    </row>
    <row r="772" customFormat="1" s="77">
      <c r="A772" s="2" t="n"/>
      <c r="B772" s="64" t="n"/>
      <c r="C772" s="2" t="n"/>
      <c r="D772" s="2" t="n"/>
    </row>
    <row r="773" customFormat="1" s="77">
      <c r="A773" s="2" t="n"/>
      <c r="B773" s="64" t="n"/>
      <c r="C773" s="2" t="n"/>
      <c r="D773" s="2" t="n"/>
    </row>
    <row r="774" customFormat="1" s="77">
      <c r="A774" s="2" t="n"/>
      <c r="B774" s="64" t="n"/>
      <c r="C774" s="2" t="n"/>
      <c r="D774" s="2" t="n"/>
    </row>
    <row r="775" customFormat="1" s="77">
      <c r="A775" s="2" t="n"/>
      <c r="B775" s="64" t="n"/>
      <c r="C775" s="2" t="n"/>
      <c r="D775" s="2" t="n"/>
    </row>
    <row r="776" customFormat="1" s="77">
      <c r="A776" s="2" t="n"/>
      <c r="B776" s="64" t="n"/>
      <c r="C776" s="2" t="n"/>
      <c r="D776" s="2" t="n"/>
    </row>
    <row r="777" customFormat="1" s="77">
      <c r="A777" s="2" t="n"/>
      <c r="B777" s="64" t="n"/>
      <c r="C777" s="2" t="n"/>
      <c r="D777" s="2" t="n"/>
    </row>
    <row r="778" customFormat="1" s="77">
      <c r="A778" s="2" t="n"/>
      <c r="B778" s="64" t="n"/>
      <c r="C778" s="2" t="n"/>
      <c r="D778" s="2" t="n"/>
    </row>
    <row r="779" customFormat="1" s="77">
      <c r="A779" s="2" t="n"/>
      <c r="B779" s="64" t="n"/>
      <c r="C779" s="2" t="n"/>
      <c r="D779" s="2" t="n"/>
    </row>
    <row r="780" customFormat="1" s="77">
      <c r="A780" s="2" t="n"/>
      <c r="B780" s="64" t="n"/>
      <c r="C780" s="2" t="n"/>
      <c r="D780" s="2" t="n"/>
    </row>
    <row r="781" customFormat="1" s="77">
      <c r="A781" s="2" t="n"/>
      <c r="B781" s="64" t="n"/>
      <c r="C781" s="2" t="n"/>
      <c r="D781" s="2" t="n"/>
    </row>
    <row r="782" customFormat="1" s="77">
      <c r="A782" s="2" t="n"/>
      <c r="B782" s="64" t="n"/>
      <c r="C782" s="2" t="n"/>
      <c r="D782" s="2" t="n"/>
    </row>
    <row r="783" customFormat="1" s="77">
      <c r="A783" s="2" t="n"/>
      <c r="B783" s="64" t="n"/>
      <c r="C783" s="2" t="n"/>
      <c r="D783" s="2" t="n"/>
    </row>
    <row r="784" customFormat="1" s="77">
      <c r="A784" s="2" t="n"/>
      <c r="B784" s="64" t="n"/>
      <c r="C784" s="2" t="n"/>
      <c r="D784" s="2" t="n"/>
    </row>
    <row r="785" customFormat="1" s="77">
      <c r="A785" s="2" t="n"/>
      <c r="B785" s="64" t="n"/>
      <c r="C785" s="2" t="n"/>
      <c r="D785" s="2" t="n"/>
    </row>
    <row r="786" customFormat="1" s="77">
      <c r="A786" s="2" t="n"/>
      <c r="B786" s="64" t="n"/>
      <c r="C786" s="2" t="n"/>
      <c r="D786" s="2" t="n"/>
    </row>
    <row r="787" customFormat="1" s="77">
      <c r="A787" s="2" t="n"/>
      <c r="B787" s="64" t="n"/>
      <c r="C787" s="2" t="n"/>
      <c r="D787" s="2" t="n"/>
    </row>
    <row r="788" customFormat="1" s="77">
      <c r="A788" s="2" t="n"/>
      <c r="B788" s="64" t="n"/>
      <c r="C788" s="2" t="n"/>
      <c r="D788" s="2" t="n"/>
    </row>
    <row r="789" customFormat="1" s="77">
      <c r="A789" s="2" t="n"/>
      <c r="B789" s="64" t="n"/>
      <c r="C789" s="2" t="n"/>
      <c r="D789" s="2" t="n"/>
    </row>
    <row r="790" customFormat="1" s="77">
      <c r="A790" s="2" t="n"/>
      <c r="B790" s="64" t="n"/>
      <c r="C790" s="2" t="n"/>
      <c r="D790" s="2" t="n"/>
    </row>
    <row r="791" customFormat="1" s="77">
      <c r="A791" s="2" t="n"/>
      <c r="B791" s="64" t="n"/>
      <c r="C791" s="2" t="n"/>
      <c r="D791" s="2" t="n"/>
    </row>
    <row r="792" customFormat="1" s="77">
      <c r="A792" s="2" t="n"/>
      <c r="B792" s="64" t="n"/>
      <c r="C792" s="2" t="n"/>
      <c r="D792" s="2" t="n"/>
    </row>
    <row r="793" customFormat="1" s="77">
      <c r="A793" s="2" t="n"/>
      <c r="B793" s="64" t="n"/>
      <c r="C793" s="2" t="n"/>
      <c r="D793" s="2" t="n"/>
    </row>
    <row r="794" customFormat="1" s="77">
      <c r="A794" s="2" t="n"/>
      <c r="B794" s="64" t="n"/>
      <c r="C794" s="2" t="n"/>
      <c r="D794" s="2" t="n"/>
    </row>
    <row r="795" customFormat="1" s="77">
      <c r="A795" s="2" t="n"/>
      <c r="B795" s="64" t="n"/>
      <c r="C795" s="2" t="n"/>
      <c r="D795" s="2" t="n"/>
    </row>
    <row r="796" customFormat="1" s="77">
      <c r="A796" s="2" t="n"/>
      <c r="B796" s="64" t="n"/>
      <c r="C796" s="2" t="n"/>
      <c r="D796" s="2" t="n"/>
    </row>
    <row r="797" customFormat="1" s="77">
      <c r="A797" s="2" t="n"/>
      <c r="B797" s="64" t="n"/>
      <c r="C797" s="2" t="n"/>
      <c r="D797" s="2" t="n"/>
    </row>
    <row r="798" customFormat="1" s="77">
      <c r="A798" s="2" t="n"/>
      <c r="B798" s="64" t="n"/>
      <c r="C798" s="2" t="n"/>
      <c r="D798" s="2" t="n"/>
    </row>
    <row r="799" customFormat="1" s="77">
      <c r="A799" s="2" t="n"/>
      <c r="B799" s="64" t="n"/>
      <c r="C799" s="2" t="n"/>
      <c r="D799" s="2" t="n"/>
    </row>
    <row r="800" customFormat="1" s="77">
      <c r="A800" s="2" t="n"/>
      <c r="B800" s="64" t="n"/>
      <c r="C800" s="2" t="n"/>
      <c r="D800" s="2" t="n"/>
    </row>
    <row r="801" customFormat="1" s="77">
      <c r="A801" s="2" t="n"/>
      <c r="B801" s="64" t="n"/>
      <c r="C801" s="2" t="n"/>
      <c r="D801" s="2" t="n"/>
    </row>
    <row r="802" customFormat="1" s="77">
      <c r="A802" s="2" t="n"/>
      <c r="B802" s="64" t="n"/>
      <c r="C802" s="2" t="n"/>
      <c r="D802" s="2" t="n"/>
    </row>
    <row r="803" customFormat="1" s="77">
      <c r="A803" s="2" t="n"/>
      <c r="B803" s="64" t="n"/>
      <c r="C803" s="2" t="n"/>
      <c r="D803" s="2" t="n"/>
    </row>
    <row r="804" customFormat="1" s="77">
      <c r="A804" s="2" t="n"/>
      <c r="B804" s="64" t="n"/>
      <c r="C804" s="2" t="n"/>
      <c r="D804" s="2" t="n"/>
    </row>
    <row r="805" customFormat="1" s="77">
      <c r="A805" s="2" t="n"/>
      <c r="B805" s="64" t="n"/>
      <c r="C805" s="2" t="n"/>
      <c r="D805" s="2" t="n"/>
    </row>
    <row r="806" customFormat="1" s="77">
      <c r="A806" s="2" t="n"/>
      <c r="B806" s="64" t="n"/>
      <c r="C806" s="2" t="n"/>
      <c r="D806" s="2" t="n"/>
    </row>
    <row r="807" customFormat="1" s="77">
      <c r="A807" s="2" t="n"/>
      <c r="B807" s="64" t="n"/>
      <c r="C807" s="2" t="n"/>
      <c r="D807" s="2" t="n"/>
    </row>
    <row r="808" customFormat="1" s="77">
      <c r="A808" s="2" t="n"/>
      <c r="B808" s="64" t="n"/>
      <c r="C808" s="2" t="n"/>
      <c r="D808" s="2" t="n"/>
    </row>
    <row r="809" customFormat="1" s="77">
      <c r="A809" s="2" t="n"/>
      <c r="B809" s="64" t="n"/>
      <c r="C809" s="2" t="n"/>
      <c r="D809" s="2" t="n"/>
    </row>
    <row r="810" customFormat="1" s="77">
      <c r="A810" s="2" t="n"/>
      <c r="B810" s="64" t="n"/>
      <c r="C810" s="2" t="n"/>
      <c r="D810" s="2" t="n"/>
    </row>
    <row r="811" customFormat="1" s="77">
      <c r="A811" s="2" t="n"/>
      <c r="B811" s="64" t="n"/>
      <c r="C811" s="2" t="n"/>
      <c r="D811" s="2" t="n"/>
    </row>
    <row r="812" customFormat="1" s="77">
      <c r="A812" s="2" t="n"/>
      <c r="B812" s="64" t="n"/>
      <c r="C812" s="2" t="n"/>
      <c r="D812" s="2" t="n"/>
    </row>
    <row r="813" customFormat="1" s="77">
      <c r="A813" s="2" t="n"/>
      <c r="B813" s="64" t="n"/>
      <c r="C813" s="2" t="n"/>
      <c r="D813" s="2" t="n"/>
    </row>
    <row r="814" customFormat="1" s="77">
      <c r="A814" s="2" t="n"/>
      <c r="B814" s="64" t="n"/>
      <c r="C814" s="2" t="n"/>
      <c r="D814" s="2" t="n"/>
    </row>
    <row r="815" customFormat="1" s="77">
      <c r="A815" s="2" t="n"/>
      <c r="B815" s="64" t="n"/>
      <c r="C815" s="2" t="n"/>
      <c r="D815" s="2" t="n"/>
    </row>
    <row r="816" customFormat="1" s="77">
      <c r="A816" s="2" t="n"/>
      <c r="B816" s="64" t="n"/>
      <c r="C816" s="2" t="n"/>
      <c r="D816" s="2" t="n"/>
    </row>
    <row r="817" customFormat="1" s="77">
      <c r="A817" s="2" t="n"/>
      <c r="B817" s="64" t="n"/>
      <c r="C817" s="2" t="n"/>
      <c r="D817" s="2" t="n"/>
    </row>
    <row r="818" customFormat="1" s="77">
      <c r="A818" s="2" t="n"/>
      <c r="B818" s="64" t="n"/>
      <c r="C818" s="2" t="n"/>
      <c r="D818" s="2" t="n"/>
    </row>
    <row r="819" customFormat="1" s="77">
      <c r="A819" s="2" t="n"/>
      <c r="B819" s="64" t="n"/>
      <c r="C819" s="2" t="n"/>
      <c r="D819" s="2" t="n"/>
    </row>
    <row r="820" customFormat="1" s="77">
      <c r="A820" s="2" t="n"/>
      <c r="B820" s="64" t="n"/>
      <c r="C820" s="2" t="n"/>
      <c r="D820" s="2" t="n"/>
    </row>
    <row r="821" customFormat="1" s="77">
      <c r="A821" s="2" t="n"/>
      <c r="B821" s="64" t="n"/>
      <c r="C821" s="2" t="n"/>
      <c r="D821" s="2" t="n"/>
    </row>
    <row r="822" customFormat="1" s="77">
      <c r="A822" s="2" t="n"/>
      <c r="B822" s="64" t="n"/>
      <c r="C822" s="2" t="n"/>
      <c r="D822" s="2" t="n"/>
    </row>
    <row r="823" customFormat="1" s="77">
      <c r="A823" s="2" t="n"/>
      <c r="B823" s="64" t="n"/>
      <c r="C823" s="2" t="n"/>
      <c r="D823" s="2" t="n"/>
    </row>
    <row r="824" customFormat="1" s="77">
      <c r="A824" s="2" t="n"/>
      <c r="B824" s="64" t="n"/>
      <c r="C824" s="2" t="n"/>
      <c r="D824" s="2" t="n"/>
    </row>
    <row r="825" customFormat="1" s="77">
      <c r="A825" s="2" t="n"/>
      <c r="B825" s="64" t="n"/>
      <c r="C825" s="2" t="n"/>
      <c r="D825" s="2" t="n"/>
    </row>
    <row r="826" customFormat="1" s="77">
      <c r="A826" s="2" t="n"/>
      <c r="B826" s="64" t="n"/>
      <c r="C826" s="2" t="n"/>
      <c r="D826" s="2" t="n"/>
    </row>
    <row r="827" customFormat="1" s="77">
      <c r="A827" s="2" t="n"/>
      <c r="B827" s="64" t="n"/>
      <c r="C827" s="2" t="n"/>
      <c r="D827" s="2" t="n"/>
    </row>
    <row r="828" customFormat="1" s="77">
      <c r="A828" s="2" t="n"/>
      <c r="B828" s="64" t="n"/>
      <c r="C828" s="2" t="n"/>
      <c r="D828" s="2" t="n"/>
    </row>
    <row r="829" customFormat="1" s="77">
      <c r="A829" s="2" t="n"/>
      <c r="B829" s="64" t="n"/>
      <c r="C829" s="2" t="n"/>
      <c r="D829" s="2" t="n"/>
    </row>
    <row r="830" customFormat="1" s="77">
      <c r="A830" s="2" t="n"/>
      <c r="B830" s="64" t="n"/>
      <c r="C830" s="2" t="n"/>
      <c r="D830" s="2" t="n"/>
    </row>
    <row r="831" customFormat="1" s="77">
      <c r="A831" s="2" t="n"/>
      <c r="B831" s="64" t="n"/>
      <c r="C831" s="2" t="n"/>
      <c r="D831" s="2" t="n"/>
    </row>
    <row r="832" customFormat="1" s="77">
      <c r="A832" s="2" t="n"/>
      <c r="B832" s="64" t="n"/>
      <c r="C832" s="2" t="n"/>
      <c r="D832" s="2" t="n"/>
    </row>
    <row r="833" customFormat="1" s="77">
      <c r="A833" s="2" t="n"/>
      <c r="B833" s="64" t="n"/>
      <c r="C833" s="2" t="n"/>
      <c r="D833" s="2" t="n"/>
    </row>
    <row r="834" customFormat="1" s="77">
      <c r="A834" s="2" t="n"/>
      <c r="B834" s="64" t="n"/>
      <c r="C834" s="2" t="n"/>
      <c r="D834" s="2" t="n"/>
    </row>
    <row r="835" customFormat="1" s="77">
      <c r="A835" s="2" t="n"/>
      <c r="B835" s="64" t="n"/>
      <c r="C835" s="2" t="n"/>
      <c r="D835" s="2" t="n"/>
    </row>
    <row r="836" customFormat="1" s="77">
      <c r="A836" s="2" t="n"/>
      <c r="B836" s="64" t="n"/>
      <c r="C836" s="2" t="n"/>
      <c r="D836" s="2" t="n"/>
    </row>
    <row r="837" customFormat="1" s="77">
      <c r="A837" s="2" t="n"/>
      <c r="B837" s="64" t="n"/>
      <c r="C837" s="2" t="n"/>
      <c r="D837" s="2" t="n"/>
    </row>
    <row r="838" customFormat="1" s="77">
      <c r="A838" s="2" t="n"/>
      <c r="B838" s="64" t="n"/>
      <c r="C838" s="2" t="n"/>
      <c r="D838" s="2" t="n"/>
    </row>
    <row r="839" customFormat="1" s="77">
      <c r="A839" s="2" t="n"/>
      <c r="B839" s="64" t="n"/>
      <c r="C839" s="2" t="n"/>
      <c r="D839" s="2" t="n"/>
    </row>
    <row r="840" customFormat="1" s="77">
      <c r="A840" s="2" t="n"/>
      <c r="B840" s="64" t="n"/>
      <c r="C840" s="2" t="n"/>
      <c r="D840" s="2" t="n"/>
    </row>
    <row r="841" customFormat="1" s="77">
      <c r="A841" s="2" t="n"/>
      <c r="B841" s="64" t="n"/>
      <c r="C841" s="2" t="n"/>
      <c r="D841" s="2" t="n"/>
    </row>
    <row r="842" customFormat="1" s="77">
      <c r="A842" s="2" t="n"/>
      <c r="B842" s="64" t="n"/>
      <c r="C842" s="2" t="n"/>
      <c r="D842" s="2" t="n"/>
    </row>
    <row r="843" customFormat="1" s="77">
      <c r="A843" s="2" t="n"/>
      <c r="B843" s="64" t="n"/>
      <c r="C843" s="2" t="n"/>
      <c r="D843" s="2" t="n"/>
    </row>
    <row r="844" customFormat="1" s="77">
      <c r="A844" s="2" t="n"/>
      <c r="B844" s="64" t="n"/>
      <c r="C844" s="2" t="n"/>
      <c r="D844" s="2" t="n"/>
    </row>
    <row r="845" customFormat="1" s="77">
      <c r="A845" s="2" t="n"/>
      <c r="B845" s="64" t="n"/>
      <c r="C845" s="2" t="n"/>
      <c r="D845" s="2" t="n"/>
    </row>
    <row r="846" customFormat="1" s="77">
      <c r="A846" s="2" t="n"/>
      <c r="B846" s="64" t="n"/>
      <c r="C846" s="2" t="n"/>
      <c r="D846" s="2" t="n"/>
    </row>
    <row r="847" customFormat="1" s="77">
      <c r="A847" s="2" t="n"/>
      <c r="B847" s="64" t="n"/>
      <c r="C847" s="2" t="n"/>
      <c r="D847" s="2" t="n"/>
    </row>
    <row r="848" customFormat="1" s="77">
      <c r="A848" s="2" t="n"/>
      <c r="B848" s="64" t="n"/>
      <c r="C848" s="2" t="n"/>
      <c r="D848" s="2" t="n"/>
    </row>
    <row r="849" customFormat="1" s="77">
      <c r="A849" s="2" t="n"/>
      <c r="B849" s="64" t="n"/>
      <c r="C849" s="2" t="n"/>
      <c r="D849" s="2" t="n"/>
    </row>
    <row r="850" customFormat="1" s="77">
      <c r="A850" s="2" t="n"/>
      <c r="B850" s="64" t="n"/>
      <c r="C850" s="2" t="n"/>
      <c r="D850" s="2" t="n"/>
    </row>
    <row r="851" customFormat="1" s="77">
      <c r="A851" s="2" t="n"/>
      <c r="B851" s="64" t="n"/>
      <c r="C851" s="2" t="n"/>
      <c r="D851" s="2" t="n"/>
    </row>
    <row r="852" customFormat="1" s="77">
      <c r="A852" s="2" t="n"/>
      <c r="B852" s="64" t="n"/>
      <c r="C852" s="2" t="n"/>
      <c r="D852" s="2" t="n"/>
    </row>
    <row r="853" customFormat="1" s="77">
      <c r="A853" s="2" t="n"/>
      <c r="B853" s="64" t="n"/>
      <c r="C853" s="2" t="n"/>
      <c r="D853" s="2" t="n"/>
    </row>
    <row r="854" customFormat="1" s="77">
      <c r="A854" s="2" t="n"/>
      <c r="B854" s="64" t="n"/>
      <c r="C854" s="2" t="n"/>
      <c r="D854" s="2" t="n"/>
    </row>
    <row r="855" customFormat="1" s="77">
      <c r="A855" s="2" t="n"/>
      <c r="B855" s="64" t="n"/>
      <c r="C855" s="2" t="n"/>
      <c r="D855" s="2" t="n"/>
    </row>
    <row r="856" customFormat="1" s="77">
      <c r="A856" s="2" t="n"/>
      <c r="B856" s="64" t="n"/>
      <c r="C856" s="2" t="n"/>
      <c r="D856" s="2" t="n"/>
    </row>
    <row r="857" customFormat="1" s="77">
      <c r="A857" s="2" t="n"/>
      <c r="B857" s="64" t="n"/>
      <c r="C857" s="2" t="n"/>
      <c r="D857" s="2" t="n"/>
    </row>
    <row r="858" customFormat="1" s="77">
      <c r="A858" s="2" t="n"/>
      <c r="B858" s="64" t="n"/>
      <c r="C858" s="2" t="n"/>
      <c r="D858" s="2" t="n"/>
    </row>
    <row r="859" customFormat="1" s="77">
      <c r="A859" s="2" t="n"/>
      <c r="B859" s="64" t="n"/>
      <c r="C859" s="2" t="n"/>
      <c r="D859" s="2" t="n"/>
    </row>
    <row r="860" customFormat="1" s="77">
      <c r="A860" s="2" t="n"/>
      <c r="B860" s="64" t="n"/>
      <c r="C860" s="2" t="n"/>
      <c r="D860" s="2" t="n"/>
    </row>
    <row r="861" customFormat="1" s="77">
      <c r="A861" s="2" t="n"/>
      <c r="B861" s="64" t="n"/>
      <c r="C861" s="2" t="n"/>
      <c r="D861" s="2" t="n"/>
    </row>
    <row r="862" customFormat="1" s="77">
      <c r="A862" s="2" t="n"/>
      <c r="B862" s="64" t="n"/>
      <c r="C862" s="2" t="n"/>
      <c r="D862" s="2" t="n"/>
    </row>
    <row r="863" customFormat="1" s="77">
      <c r="A863" s="2" t="n"/>
      <c r="B863" s="64" t="n"/>
      <c r="C863" s="2" t="n"/>
      <c r="D863" s="2" t="n"/>
    </row>
    <row r="864" customFormat="1" s="77">
      <c r="A864" s="2" t="n"/>
      <c r="B864" s="64" t="n"/>
      <c r="C864" s="2" t="n"/>
      <c r="D864" s="2" t="n"/>
    </row>
    <row r="865" customFormat="1" s="77">
      <c r="A865" s="2" t="n"/>
      <c r="B865" s="64" t="n"/>
      <c r="C865" s="2" t="n"/>
      <c r="D865" s="2" t="n"/>
    </row>
    <row r="866" customFormat="1" s="77">
      <c r="A866" s="2" t="n"/>
      <c r="B866" s="64" t="n"/>
      <c r="C866" s="2" t="n"/>
      <c r="D866" s="2" t="n"/>
    </row>
    <row r="867" customFormat="1" s="77">
      <c r="A867" s="2" t="n"/>
      <c r="B867" s="64" t="n"/>
      <c r="C867" s="2" t="n"/>
      <c r="D867" s="2" t="n"/>
    </row>
    <row r="868" customFormat="1" s="77">
      <c r="A868" s="2" t="n"/>
      <c r="B868" s="64" t="n"/>
      <c r="C868" s="2" t="n"/>
      <c r="D868" s="2" t="n"/>
    </row>
    <row r="869" customFormat="1" s="77">
      <c r="A869" s="2" t="n"/>
      <c r="B869" s="64" t="n"/>
      <c r="C869" s="2" t="n"/>
      <c r="D869" s="2" t="n"/>
    </row>
    <row r="870" customFormat="1" s="77">
      <c r="A870" s="2" t="n"/>
      <c r="B870" s="64" t="n"/>
      <c r="C870" s="2" t="n"/>
      <c r="D870" s="2" t="n"/>
    </row>
    <row r="871" customFormat="1" s="77">
      <c r="A871" s="2" t="n"/>
      <c r="B871" s="64" t="n"/>
      <c r="C871" s="2" t="n"/>
      <c r="D871" s="2" t="n"/>
    </row>
    <row r="872" customFormat="1" s="77">
      <c r="A872" s="2" t="n"/>
      <c r="B872" s="64" t="n"/>
      <c r="C872" s="2" t="n"/>
      <c r="D872" s="2" t="n"/>
    </row>
    <row r="873" customFormat="1" s="77">
      <c r="A873" s="2" t="n"/>
      <c r="B873" s="64" t="n"/>
      <c r="C873" s="2" t="n"/>
      <c r="D873" s="2" t="n"/>
    </row>
    <row r="874" customFormat="1" s="77">
      <c r="A874" s="2" t="n"/>
      <c r="B874" s="64" t="n"/>
      <c r="C874" s="2" t="n"/>
      <c r="D874" s="2" t="n"/>
    </row>
    <row r="875" customFormat="1" s="77">
      <c r="A875" s="2" t="n"/>
      <c r="B875" s="64" t="n"/>
      <c r="C875" s="2" t="n"/>
      <c r="D875" s="2" t="n"/>
    </row>
    <row r="876" customFormat="1" s="77">
      <c r="A876" s="2" t="n"/>
      <c r="B876" s="64" t="n"/>
      <c r="C876" s="2" t="n"/>
      <c r="D876" s="2" t="n"/>
    </row>
    <row r="877" customFormat="1" s="77">
      <c r="A877" s="2" t="n"/>
      <c r="B877" s="64" t="n"/>
      <c r="C877" s="2" t="n"/>
      <c r="D877" s="2" t="n"/>
    </row>
    <row r="878" customFormat="1" s="77">
      <c r="A878" s="2" t="n"/>
      <c r="B878" s="64" t="n"/>
      <c r="C878" s="2" t="n"/>
      <c r="D878" s="2" t="n"/>
    </row>
    <row r="879" customFormat="1" s="77">
      <c r="A879" s="2" t="n"/>
      <c r="B879" s="64" t="n"/>
      <c r="C879" s="2" t="n"/>
      <c r="D879" s="2" t="n"/>
    </row>
    <row r="880" customFormat="1" s="77">
      <c r="A880" s="2" t="n"/>
      <c r="B880" s="64" t="n"/>
      <c r="C880" s="2" t="n"/>
      <c r="D880" s="2" t="n"/>
    </row>
    <row r="881" customFormat="1" s="77">
      <c r="A881" s="2" t="n"/>
      <c r="B881" s="64" t="n"/>
      <c r="C881" s="2" t="n"/>
      <c r="D881" s="2" t="n"/>
    </row>
    <row r="882" customFormat="1" s="77">
      <c r="A882" s="2" t="n"/>
      <c r="B882" s="64" t="n"/>
      <c r="C882" s="2" t="n"/>
      <c r="D882" s="2" t="n"/>
    </row>
    <row r="883" customFormat="1" s="77">
      <c r="A883" s="2" t="n"/>
      <c r="B883" s="64" t="n"/>
      <c r="C883" s="2" t="n"/>
      <c r="D883" s="2" t="n"/>
    </row>
    <row r="884" customFormat="1" s="77">
      <c r="A884" s="2" t="n"/>
      <c r="B884" s="64" t="n"/>
      <c r="C884" s="2" t="n"/>
      <c r="D884" s="2" t="n"/>
    </row>
    <row r="885" customFormat="1" s="77">
      <c r="A885" s="2" t="n"/>
      <c r="B885" s="64" t="n"/>
      <c r="C885" s="2" t="n"/>
      <c r="D885" s="2" t="n"/>
    </row>
    <row r="886" customFormat="1" s="77">
      <c r="A886" s="2" t="n"/>
      <c r="B886" s="64" t="n"/>
      <c r="C886" s="2" t="n"/>
      <c r="D886" s="2" t="n"/>
    </row>
    <row r="887" customFormat="1" s="77">
      <c r="A887" s="2" t="n"/>
      <c r="B887" s="64" t="n"/>
      <c r="C887" s="2" t="n"/>
      <c r="D887" s="2" t="n"/>
    </row>
    <row r="888" customFormat="1" s="77">
      <c r="A888" s="2" t="n"/>
      <c r="B888" s="64" t="n"/>
      <c r="C888" s="2" t="n"/>
      <c r="D888" s="2" t="n"/>
    </row>
    <row r="889" customFormat="1" s="77">
      <c r="A889" s="2" t="n"/>
      <c r="B889" s="64" t="n"/>
      <c r="C889" s="2" t="n"/>
      <c r="D889" s="2" t="n"/>
    </row>
    <row r="890" customFormat="1" s="77">
      <c r="A890" s="2" t="n"/>
      <c r="B890" s="64" t="n"/>
      <c r="C890" s="2" t="n"/>
      <c r="D890" s="2" t="n"/>
    </row>
    <row r="891" customFormat="1" s="77">
      <c r="A891" s="2" t="n"/>
      <c r="B891" s="64" t="n"/>
      <c r="C891" s="2" t="n"/>
      <c r="D891" s="2" t="n"/>
    </row>
    <row r="892" customFormat="1" s="77">
      <c r="A892" s="2" t="n"/>
      <c r="B892" s="64" t="n"/>
      <c r="C892" s="2" t="n"/>
      <c r="D892" s="2" t="n"/>
    </row>
    <row r="893" customFormat="1" s="77">
      <c r="A893" s="2" t="n"/>
      <c r="B893" s="64" t="n"/>
      <c r="C893" s="2" t="n"/>
      <c r="D893" s="2" t="n"/>
    </row>
    <row r="894" customFormat="1" s="77">
      <c r="A894" s="2" t="n"/>
      <c r="B894" s="64" t="n"/>
      <c r="C894" s="2" t="n"/>
      <c r="D894" s="2" t="n"/>
    </row>
    <row r="895" customFormat="1" s="77">
      <c r="A895" s="2" t="n"/>
      <c r="B895" s="64" t="n"/>
      <c r="C895" s="2" t="n"/>
      <c r="D895" s="2" t="n"/>
    </row>
    <row r="896" customFormat="1" s="77">
      <c r="A896" s="2" t="n"/>
      <c r="B896" s="64" t="n"/>
      <c r="C896" s="2" t="n"/>
      <c r="D896" s="2" t="n"/>
    </row>
    <row r="897" customFormat="1" s="77">
      <c r="A897" s="2" t="n"/>
      <c r="B897" s="64" t="n"/>
      <c r="C897" s="2" t="n"/>
      <c r="D897" s="2" t="n"/>
    </row>
    <row r="898" customFormat="1" s="77">
      <c r="A898" s="2" t="n"/>
      <c r="B898" s="64" t="n"/>
      <c r="C898" s="2" t="n"/>
      <c r="D898" s="2" t="n"/>
    </row>
    <row r="899" customFormat="1" s="77">
      <c r="A899" s="2" t="n"/>
      <c r="B899" s="64" t="n"/>
      <c r="C899" s="2" t="n"/>
      <c r="D899" s="2" t="n"/>
    </row>
    <row r="900" customFormat="1" s="77">
      <c r="A900" s="2" t="n"/>
      <c r="B900" s="64" t="n"/>
      <c r="C900" s="2" t="n"/>
      <c r="D900" s="2" t="n"/>
    </row>
    <row r="901" customFormat="1" s="77">
      <c r="A901" s="2" t="n"/>
      <c r="B901" s="64" t="n"/>
      <c r="C901" s="2" t="n"/>
      <c r="D901" s="2" t="n"/>
    </row>
    <row r="902" customFormat="1" s="77">
      <c r="A902" s="2" t="n"/>
      <c r="B902" s="64" t="n"/>
      <c r="C902" s="2" t="n"/>
      <c r="D902" s="2" t="n"/>
    </row>
    <row r="903" customFormat="1" s="77">
      <c r="A903" s="2" t="n"/>
      <c r="B903" s="64" t="n"/>
      <c r="C903" s="2" t="n"/>
      <c r="D903" s="2" t="n"/>
    </row>
    <row r="904" customFormat="1" s="77">
      <c r="A904" s="2" t="n"/>
      <c r="B904" s="64" t="n"/>
      <c r="C904" s="2" t="n"/>
      <c r="D904" s="2" t="n"/>
    </row>
    <row r="905" customFormat="1" s="77">
      <c r="A905" s="2" t="n"/>
      <c r="B905" s="64" t="n"/>
      <c r="C905" s="2" t="n"/>
      <c r="D905" s="2" t="n"/>
    </row>
    <row r="906" customFormat="1" s="77">
      <c r="A906" s="2" t="n"/>
      <c r="B906" s="64" t="n"/>
      <c r="C906" s="2" t="n"/>
      <c r="D906" s="2" t="n"/>
    </row>
    <row r="907" customFormat="1" s="77">
      <c r="A907" s="2" t="n"/>
      <c r="B907" s="64" t="n"/>
      <c r="C907" s="2" t="n"/>
      <c r="D907" s="2" t="n"/>
    </row>
    <row r="908" customFormat="1" s="77">
      <c r="A908" s="2" t="n"/>
      <c r="B908" s="64" t="n"/>
      <c r="C908" s="2" t="n"/>
      <c r="D908" s="2" t="n"/>
    </row>
    <row r="909" customFormat="1" s="77">
      <c r="A909" s="2" t="n"/>
      <c r="B909" s="64" t="n"/>
      <c r="C909" s="2" t="n"/>
      <c r="D909" s="2" t="n"/>
    </row>
    <row r="910" customFormat="1" s="77">
      <c r="A910" s="2" t="n"/>
      <c r="B910" s="64" t="n"/>
      <c r="C910" s="2" t="n"/>
      <c r="D910" s="2" t="n"/>
    </row>
    <row r="911" customFormat="1" s="77">
      <c r="A911" s="2" t="n"/>
      <c r="B911" s="64" t="n"/>
      <c r="C911" s="2" t="n"/>
      <c r="D911" s="2" t="n"/>
    </row>
    <row r="912" customFormat="1" s="77">
      <c r="A912" s="2" t="n"/>
      <c r="B912" s="64" t="n"/>
      <c r="C912" s="2" t="n"/>
      <c r="D912" s="2" t="n"/>
    </row>
    <row r="913" customFormat="1" s="77">
      <c r="A913" s="2" t="n"/>
      <c r="B913" s="64" t="n"/>
      <c r="C913" s="2" t="n"/>
      <c r="D913" s="2" t="n"/>
    </row>
    <row r="914" customFormat="1" s="77">
      <c r="A914" s="2" t="n"/>
      <c r="B914" s="64" t="n"/>
      <c r="C914" s="2" t="n"/>
      <c r="D914" s="2" t="n"/>
    </row>
    <row r="915" customFormat="1" s="77">
      <c r="A915" s="2" t="n"/>
      <c r="B915" s="64" t="n"/>
      <c r="C915" s="2" t="n"/>
      <c r="D915" s="2" t="n"/>
    </row>
    <row r="916" customFormat="1" s="77">
      <c r="A916" s="2" t="n"/>
      <c r="B916" s="64" t="n"/>
      <c r="C916" s="2" t="n"/>
      <c r="D916" s="2" t="n"/>
    </row>
    <row r="917" customFormat="1" s="77">
      <c r="A917" s="2" t="n"/>
      <c r="B917" s="64" t="n"/>
      <c r="C917" s="2" t="n"/>
      <c r="D917" s="2" t="n"/>
    </row>
    <row r="918" customFormat="1" s="77">
      <c r="A918" s="2" t="n"/>
      <c r="B918" s="64" t="n"/>
      <c r="C918" s="2" t="n"/>
      <c r="D918" s="2" t="n"/>
    </row>
    <row r="919" customFormat="1" s="77">
      <c r="A919" s="2" t="n"/>
      <c r="B919" s="64" t="n"/>
      <c r="C919" s="2" t="n"/>
      <c r="D919" s="2" t="n"/>
    </row>
    <row r="920" customFormat="1" s="77">
      <c r="A920" s="2" t="n"/>
      <c r="B920" s="64" t="n"/>
      <c r="C920" s="2" t="n"/>
      <c r="D920" s="2" t="n"/>
    </row>
    <row r="921" customFormat="1" s="77">
      <c r="A921" s="2" t="n"/>
      <c r="B921" s="64" t="n"/>
      <c r="C921" s="2" t="n"/>
      <c r="D921" s="2" t="n"/>
    </row>
    <row r="922" customFormat="1" s="77">
      <c r="A922" s="2" t="n"/>
      <c r="B922" s="64" t="n"/>
      <c r="C922" s="2" t="n"/>
      <c r="D922" s="2" t="n"/>
    </row>
    <row r="923" customFormat="1" s="77">
      <c r="A923" s="2" t="n"/>
      <c r="B923" s="64" t="n"/>
      <c r="C923" s="2" t="n"/>
      <c r="D923" s="2" t="n"/>
    </row>
    <row r="924" customFormat="1" s="77">
      <c r="A924" s="2" t="n"/>
      <c r="B924" s="64" t="n"/>
      <c r="C924" s="2" t="n"/>
      <c r="D924" s="2" t="n"/>
    </row>
    <row r="925" customFormat="1" s="77">
      <c r="A925" s="2" t="n"/>
      <c r="B925" s="64" t="n"/>
      <c r="C925" s="2" t="n"/>
      <c r="D925" s="2" t="n"/>
    </row>
    <row r="926" customFormat="1" s="77">
      <c r="A926" s="2" t="n"/>
      <c r="B926" s="64" t="n"/>
      <c r="C926" s="2" t="n"/>
      <c r="D926" s="2" t="n"/>
    </row>
    <row r="927" customFormat="1" s="77">
      <c r="A927" s="2" t="n"/>
      <c r="B927" s="64" t="n"/>
      <c r="C927" s="2" t="n"/>
      <c r="D927" s="2" t="n"/>
    </row>
    <row r="928" customFormat="1" s="77">
      <c r="A928" s="2" t="n"/>
      <c r="B928" s="64" t="n"/>
      <c r="C928" s="2" t="n"/>
      <c r="D928" s="2" t="n"/>
    </row>
    <row r="929" customFormat="1" s="77">
      <c r="A929" s="2" t="n"/>
      <c r="B929" s="64" t="n"/>
      <c r="C929" s="2" t="n"/>
      <c r="D929" s="2" t="n"/>
    </row>
    <row r="930" customFormat="1" s="77">
      <c r="A930" s="2" t="n"/>
      <c r="B930" s="64" t="n"/>
      <c r="C930" s="2" t="n"/>
      <c r="D930" s="2" t="n"/>
    </row>
    <row r="931" customFormat="1" s="77">
      <c r="A931" s="2" t="n"/>
      <c r="B931" s="64" t="n"/>
      <c r="C931" s="2" t="n"/>
      <c r="D931" s="2" t="n"/>
    </row>
    <row r="932" customFormat="1" s="77">
      <c r="A932" s="2" t="n"/>
      <c r="B932" s="64" t="n"/>
      <c r="C932" s="2" t="n"/>
      <c r="D932" s="2" t="n"/>
    </row>
    <row r="933" customFormat="1" s="77">
      <c r="A933" s="2" t="n"/>
      <c r="B933" s="64" t="n"/>
      <c r="C933" s="2" t="n"/>
      <c r="D933" s="2" t="n"/>
    </row>
    <row r="934" customFormat="1" s="77">
      <c r="A934" s="2" t="n"/>
      <c r="B934" s="64" t="n"/>
      <c r="C934" s="2" t="n"/>
      <c r="D934" s="2" t="n"/>
    </row>
    <row r="935" customFormat="1" s="77">
      <c r="A935" s="2" t="n"/>
      <c r="B935" s="64" t="n"/>
      <c r="C935" s="2" t="n"/>
      <c r="D935" s="2" t="n"/>
    </row>
    <row r="936" customFormat="1" s="77">
      <c r="A936" s="2" t="n"/>
      <c r="B936" s="64" t="n"/>
      <c r="C936" s="2" t="n"/>
      <c r="D936" s="2" t="n"/>
    </row>
    <row r="937" customFormat="1" s="77">
      <c r="A937" s="2" t="n"/>
      <c r="B937" s="64" t="n"/>
      <c r="C937" s="2" t="n"/>
      <c r="D937" s="2" t="n"/>
    </row>
    <row r="938" customFormat="1" s="77">
      <c r="A938" s="2" t="n"/>
      <c r="B938" s="64" t="n"/>
      <c r="C938" s="2" t="n"/>
      <c r="D938" s="2" t="n"/>
    </row>
    <row r="939" customFormat="1" s="77">
      <c r="A939" s="2" t="n"/>
      <c r="B939" s="64" t="n"/>
      <c r="C939" s="2" t="n"/>
      <c r="D939" s="2" t="n"/>
    </row>
    <row r="940" customFormat="1" s="77">
      <c r="A940" s="2" t="n"/>
      <c r="B940" s="64" t="n"/>
      <c r="C940" s="2" t="n"/>
      <c r="D940" s="2" t="n"/>
    </row>
    <row r="941" customFormat="1" s="77">
      <c r="A941" s="2" t="n"/>
      <c r="B941" s="64" t="n"/>
      <c r="C941" s="2" t="n"/>
      <c r="D941" s="2" t="n"/>
    </row>
    <row r="942" customFormat="1" s="77">
      <c r="A942" s="2" t="n"/>
      <c r="B942" s="64" t="n"/>
      <c r="C942" s="2" t="n"/>
      <c r="D942" s="2" t="n"/>
    </row>
    <row r="943" customFormat="1" s="77">
      <c r="A943" s="2" t="n"/>
      <c r="B943" s="64" t="n"/>
      <c r="C943" s="2" t="n"/>
      <c r="D943" s="2" t="n"/>
    </row>
    <row r="944" customFormat="1" s="77">
      <c r="A944" s="2" t="n"/>
      <c r="B944" s="64" t="n"/>
      <c r="C944" s="2" t="n"/>
      <c r="D944" s="2" t="n"/>
    </row>
    <row r="945" customFormat="1" s="77">
      <c r="A945" s="2" t="n"/>
      <c r="B945" s="64" t="n"/>
      <c r="C945" s="2" t="n"/>
      <c r="D945" s="2" t="n"/>
    </row>
    <row r="946" customFormat="1" s="77">
      <c r="A946" s="2" t="n"/>
      <c r="B946" s="64" t="n"/>
      <c r="C946" s="2" t="n"/>
      <c r="D946" s="2" t="n"/>
    </row>
    <row r="947" customFormat="1" s="77">
      <c r="A947" s="2" t="n"/>
      <c r="B947" s="64" t="n"/>
      <c r="C947" s="2" t="n"/>
      <c r="D947" s="2" t="n"/>
    </row>
    <row r="948" customFormat="1" s="77">
      <c r="A948" s="2" t="n"/>
      <c r="B948" s="64" t="n"/>
      <c r="C948" s="2" t="n"/>
      <c r="D948" s="2" t="n"/>
    </row>
    <row r="949" customFormat="1" s="77">
      <c r="A949" s="2" t="n"/>
      <c r="B949" s="64" t="n"/>
      <c r="C949" s="2" t="n"/>
      <c r="D949" s="2" t="n"/>
    </row>
    <row r="950" customFormat="1" s="77">
      <c r="A950" s="2" t="n"/>
      <c r="B950" s="64" t="n"/>
      <c r="C950" s="2" t="n"/>
      <c r="D950" s="2" t="n"/>
    </row>
    <row r="951" customFormat="1" s="77">
      <c r="A951" s="2" t="n"/>
      <c r="B951" s="64" t="n"/>
      <c r="C951" s="2" t="n"/>
      <c r="D951" s="2" t="n"/>
    </row>
    <row r="952" customFormat="1" s="77">
      <c r="A952" s="2" t="n"/>
      <c r="B952" s="64" t="n"/>
      <c r="C952" s="2" t="n"/>
      <c r="D952" s="2" t="n"/>
    </row>
    <row r="953" customFormat="1" s="77">
      <c r="A953" s="2" t="n"/>
      <c r="B953" s="64" t="n"/>
      <c r="C953" s="2" t="n"/>
      <c r="D953" s="2" t="n"/>
    </row>
    <row r="954" customFormat="1" s="77">
      <c r="A954" s="2" t="n"/>
      <c r="B954" s="64" t="n"/>
      <c r="C954" s="2" t="n"/>
      <c r="D954" s="2" t="n"/>
    </row>
    <row r="955" customFormat="1" s="77">
      <c r="A955" s="2" t="n"/>
      <c r="B955" s="64" t="n"/>
      <c r="C955" s="2" t="n"/>
      <c r="D955" s="2" t="n"/>
    </row>
    <row r="956" customFormat="1" s="77">
      <c r="A956" s="2" t="n"/>
      <c r="B956" s="64" t="n"/>
      <c r="C956" s="2" t="n"/>
      <c r="D956" s="2" t="n"/>
    </row>
    <row r="957" customFormat="1" s="77">
      <c r="A957" s="2" t="n"/>
      <c r="B957" s="64" t="n"/>
      <c r="C957" s="2" t="n"/>
      <c r="D957" s="2" t="n"/>
    </row>
    <row r="958" customFormat="1" s="77">
      <c r="A958" s="2" t="n"/>
      <c r="B958" s="64" t="n"/>
      <c r="C958" s="2" t="n"/>
      <c r="D958" s="2" t="n"/>
    </row>
    <row r="959" customFormat="1" s="77">
      <c r="A959" s="2" t="n"/>
      <c r="B959" s="64" t="n"/>
      <c r="C959" s="2" t="n"/>
      <c r="D959" s="2" t="n"/>
    </row>
    <row r="960" customFormat="1" s="77">
      <c r="A960" s="2" t="n"/>
      <c r="B960" s="64" t="n"/>
      <c r="C960" s="2" t="n"/>
      <c r="D960" s="2" t="n"/>
    </row>
    <row r="961" customFormat="1" s="77">
      <c r="A961" s="2" t="n"/>
      <c r="B961" s="64" t="n"/>
      <c r="C961" s="2" t="n"/>
      <c r="D961" s="2" t="n"/>
    </row>
    <row r="962" customFormat="1" s="77">
      <c r="A962" s="2" t="n"/>
      <c r="B962" s="64" t="n"/>
      <c r="C962" s="2" t="n"/>
      <c r="D962" s="2" t="n"/>
    </row>
    <row r="963" customFormat="1" s="77">
      <c r="A963" s="2" t="n"/>
      <c r="B963" s="64" t="n"/>
      <c r="C963" s="2" t="n"/>
      <c r="D963" s="2" t="n"/>
    </row>
    <row r="964" customFormat="1" s="77">
      <c r="A964" s="2" t="n"/>
      <c r="B964" s="64" t="n"/>
      <c r="C964" s="2" t="n"/>
      <c r="D964" s="2" t="n"/>
    </row>
    <row r="965" customFormat="1" s="77">
      <c r="A965" s="2" t="n"/>
      <c r="B965" s="64" t="n"/>
      <c r="C965" s="2" t="n"/>
      <c r="D965" s="2" t="n"/>
    </row>
    <row r="966" customFormat="1" s="77">
      <c r="A966" s="2" t="n"/>
      <c r="B966" s="64" t="n"/>
      <c r="C966" s="2" t="n"/>
      <c r="D966" s="2" t="n"/>
    </row>
    <row r="967" customFormat="1" s="77">
      <c r="A967" s="2" t="n"/>
      <c r="B967" s="64" t="n"/>
      <c r="C967" s="2" t="n"/>
      <c r="D967" s="2" t="n"/>
    </row>
    <row r="968" customFormat="1" s="77">
      <c r="A968" s="2" t="n"/>
      <c r="B968" s="64" t="n"/>
      <c r="C968" s="2" t="n"/>
      <c r="D968" s="2" t="n"/>
    </row>
    <row r="969" customFormat="1" s="77">
      <c r="A969" s="2" t="n"/>
      <c r="B969" s="64" t="n"/>
      <c r="C969" s="2" t="n"/>
      <c r="D969" s="2" t="n"/>
    </row>
    <row r="970" customFormat="1" s="77">
      <c r="A970" s="2" t="n"/>
      <c r="B970" s="64" t="n"/>
      <c r="C970" s="2" t="n"/>
      <c r="D970" s="2" t="n"/>
    </row>
    <row r="971" customFormat="1" s="77">
      <c r="A971" s="2" t="n"/>
      <c r="B971" s="64" t="n"/>
      <c r="C971" s="2" t="n"/>
      <c r="D971" s="2" t="n"/>
    </row>
    <row r="972" customFormat="1" s="77">
      <c r="A972" s="2" t="n"/>
      <c r="B972" s="64" t="n"/>
      <c r="C972" s="2" t="n"/>
      <c r="D972" s="2" t="n"/>
    </row>
    <row r="973" customFormat="1" s="77">
      <c r="A973" s="2" t="n"/>
      <c r="B973" s="64" t="n"/>
      <c r="C973" s="2" t="n"/>
      <c r="D973" s="2" t="n"/>
    </row>
    <row r="974" customFormat="1" s="77">
      <c r="A974" s="2" t="n"/>
      <c r="B974" s="64" t="n"/>
      <c r="C974" s="2" t="n"/>
      <c r="D974" s="2" t="n"/>
    </row>
    <row r="975" customFormat="1" s="77">
      <c r="A975" s="2" t="n"/>
      <c r="B975" s="64" t="n"/>
      <c r="C975" s="2" t="n"/>
      <c r="D975" s="2" t="n"/>
    </row>
    <row r="976" customFormat="1" s="77">
      <c r="A976" s="2" t="n"/>
      <c r="B976" s="64" t="n"/>
      <c r="C976" s="2" t="n"/>
      <c r="D976" s="2" t="n"/>
    </row>
    <row r="977" customFormat="1" s="77">
      <c r="A977" s="2" t="n"/>
      <c r="B977" s="64" t="n"/>
      <c r="C977" s="2" t="n"/>
      <c r="D977" s="2" t="n"/>
    </row>
    <row r="978" customFormat="1" s="77">
      <c r="A978" s="2" t="n"/>
      <c r="B978" s="64" t="n"/>
      <c r="C978" s="2" t="n"/>
      <c r="D978" s="2" t="n"/>
    </row>
    <row r="979" customFormat="1" s="77">
      <c r="A979" s="2" t="n"/>
      <c r="B979" s="64" t="n"/>
      <c r="C979" s="2" t="n"/>
      <c r="D979" s="2" t="n"/>
    </row>
    <row r="980" customFormat="1" s="77">
      <c r="A980" s="2" t="n"/>
      <c r="B980" s="64" t="n"/>
      <c r="C980" s="2" t="n"/>
      <c r="D980" s="2" t="n"/>
    </row>
    <row r="981" customFormat="1" s="77">
      <c r="A981" s="2" t="n"/>
      <c r="B981" s="64" t="n"/>
      <c r="C981" s="2" t="n"/>
      <c r="D981" s="2" t="n"/>
    </row>
    <row r="982" customFormat="1" s="77">
      <c r="A982" s="2" t="n"/>
      <c r="B982" s="64" t="n"/>
      <c r="C982" s="2" t="n"/>
      <c r="D982" s="2" t="n"/>
    </row>
    <row r="983" customFormat="1" s="77">
      <c r="A983" s="2" t="n"/>
      <c r="B983" s="64" t="n"/>
      <c r="C983" s="2" t="n"/>
      <c r="D983" s="2" t="n"/>
    </row>
    <row r="984" customFormat="1" s="77">
      <c r="A984" s="2" t="n"/>
      <c r="B984" s="64" t="n"/>
      <c r="C984" s="2" t="n"/>
      <c r="D984" s="2" t="n"/>
    </row>
    <row r="985" customFormat="1" s="77">
      <c r="A985" s="2" t="n"/>
      <c r="B985" s="64" t="n"/>
      <c r="C985" s="2" t="n"/>
      <c r="D985" s="2" t="n"/>
    </row>
    <row r="986" customFormat="1" s="77">
      <c r="A986" s="2" t="n"/>
      <c r="B986" s="64" t="n"/>
      <c r="C986" s="2" t="n"/>
      <c r="D986" s="2" t="n"/>
    </row>
    <row r="987" customFormat="1" s="77">
      <c r="A987" s="2" t="n"/>
      <c r="B987" s="64" t="n"/>
      <c r="C987" s="2" t="n"/>
      <c r="D987" s="2" t="n"/>
    </row>
    <row r="988" customFormat="1" s="77">
      <c r="A988" s="2" t="n"/>
      <c r="B988" s="64" t="n"/>
      <c r="C988" s="2" t="n"/>
      <c r="D988" s="2" t="n"/>
    </row>
    <row r="989" customFormat="1" s="77">
      <c r="A989" s="2" t="n"/>
      <c r="B989" s="64" t="n"/>
      <c r="C989" s="2" t="n"/>
      <c r="D989" s="2" t="n"/>
    </row>
    <row r="990" customFormat="1" s="77">
      <c r="A990" s="2" t="n"/>
      <c r="B990" s="64" t="n"/>
      <c r="C990" s="2" t="n"/>
      <c r="D990" s="2" t="n"/>
    </row>
    <row r="991" customFormat="1" s="77">
      <c r="A991" s="2" t="n"/>
      <c r="B991" s="64" t="n"/>
      <c r="C991" s="2" t="n"/>
      <c r="D991" s="2" t="n"/>
    </row>
    <row r="992" customFormat="1" s="77">
      <c r="A992" s="2" t="n"/>
      <c r="B992" s="64" t="n"/>
      <c r="C992" s="2" t="n"/>
      <c r="D992" s="2" t="n"/>
    </row>
    <row r="993" customFormat="1" s="77">
      <c r="A993" s="2" t="n"/>
      <c r="B993" s="64" t="n"/>
      <c r="C993" s="2" t="n"/>
      <c r="D993" s="2" t="n"/>
    </row>
    <row r="994" customFormat="1" s="77">
      <c r="A994" s="2" t="n"/>
      <c r="B994" s="64" t="n"/>
      <c r="C994" s="2" t="n"/>
      <c r="D994" s="2" t="n"/>
    </row>
    <row r="995" customFormat="1" s="77">
      <c r="A995" s="2" t="n"/>
      <c r="B995" s="64" t="n"/>
      <c r="C995" s="2" t="n"/>
      <c r="D995" s="2" t="n"/>
    </row>
    <row r="996" customFormat="1" s="77">
      <c r="A996" s="2" t="n"/>
      <c r="B996" s="64" t="n"/>
      <c r="C996" s="2" t="n"/>
      <c r="D996" s="2" t="n"/>
    </row>
    <row r="997" customFormat="1" s="77">
      <c r="A997" s="2" t="n"/>
      <c r="B997" s="64" t="n"/>
      <c r="C997" s="2" t="n"/>
      <c r="D997" s="2" t="n"/>
    </row>
    <row r="998" customFormat="1" s="77">
      <c r="A998" s="2" t="n"/>
      <c r="B998" s="64" t="n"/>
      <c r="C998" s="2" t="n"/>
      <c r="D998" s="2" t="n"/>
    </row>
    <row r="999" customFormat="1" s="77">
      <c r="A999" s="2" t="n"/>
      <c r="B999" s="64" t="n"/>
      <c r="C999" s="2" t="n"/>
      <c r="D999" s="2" t="n"/>
    </row>
    <row r="1000" customFormat="1" s="77">
      <c r="A1000" s="2" t="n"/>
      <c r="B1000" s="64" t="n"/>
      <c r="C1000" s="2" t="n"/>
      <c r="D1000" s="2" t="n"/>
    </row>
    <row r="1001" customFormat="1" s="77">
      <c r="A1001" s="2" t="n"/>
      <c r="B1001" s="64" t="n"/>
      <c r="C1001" s="2" t="n"/>
      <c r="D1001" s="2" t="n"/>
    </row>
    <row r="1002" customFormat="1" s="77">
      <c r="A1002" s="2" t="n"/>
      <c r="B1002" s="64" t="n"/>
      <c r="C1002" s="2" t="n"/>
      <c r="D1002" s="2" t="n"/>
    </row>
    <row r="1003" customFormat="1" s="77">
      <c r="A1003" s="2" t="n"/>
      <c r="B1003" s="64" t="n"/>
      <c r="C1003" s="2" t="n"/>
      <c r="D1003" s="2" t="n"/>
    </row>
    <row r="1004" customFormat="1" s="77">
      <c r="A1004" s="2" t="n"/>
      <c r="B1004" s="64" t="n"/>
      <c r="C1004" s="2" t="n"/>
      <c r="D1004" s="2" t="n"/>
    </row>
    <row r="1005" customFormat="1" s="77">
      <c r="A1005" s="2" t="n"/>
      <c r="B1005" s="64" t="n"/>
      <c r="C1005" s="2" t="n"/>
      <c r="D1005" s="2" t="n"/>
    </row>
    <row r="1006" customFormat="1" s="77">
      <c r="A1006" s="2" t="n"/>
      <c r="B1006" s="64" t="n"/>
      <c r="C1006" s="2" t="n"/>
      <c r="D1006" s="2" t="n"/>
    </row>
    <row r="1007" customFormat="1" s="77">
      <c r="A1007" s="2" t="n"/>
      <c r="B1007" s="64" t="n"/>
      <c r="C1007" s="2" t="n"/>
      <c r="D1007" s="2" t="n"/>
    </row>
    <row r="1008" customFormat="1" s="77">
      <c r="A1008" s="2" t="n"/>
      <c r="B1008" s="64" t="n"/>
      <c r="C1008" s="2" t="n"/>
      <c r="D1008" s="2" t="n"/>
    </row>
    <row r="1009" customFormat="1" s="77">
      <c r="A1009" s="2" t="n"/>
      <c r="B1009" s="64" t="n"/>
      <c r="C1009" s="2" t="n"/>
      <c r="D1009" s="2" t="n"/>
    </row>
    <row r="1010" customFormat="1" s="77">
      <c r="A1010" s="2" t="n"/>
      <c r="B1010" s="64" t="n"/>
      <c r="C1010" s="2" t="n"/>
      <c r="D1010" s="2" t="n"/>
    </row>
    <row r="1011" customFormat="1" s="77">
      <c r="A1011" s="2" t="n"/>
      <c r="B1011" s="64" t="n"/>
      <c r="C1011" s="2" t="n"/>
      <c r="D1011" s="2" t="n"/>
    </row>
    <row r="1012" customFormat="1" s="77">
      <c r="A1012" s="2" t="n"/>
      <c r="B1012" s="64" t="n"/>
      <c r="C1012" s="2" t="n"/>
      <c r="D1012" s="2" t="n"/>
    </row>
    <row r="1013" customFormat="1" s="77">
      <c r="A1013" s="2" t="n"/>
      <c r="B1013" s="64" t="n"/>
      <c r="C1013" s="2" t="n"/>
      <c r="D1013" s="2" t="n"/>
    </row>
    <row r="1014" customFormat="1" s="77">
      <c r="A1014" s="2" t="n"/>
      <c r="B1014" s="64" t="n"/>
      <c r="C1014" s="2" t="n"/>
      <c r="D1014" s="2" t="n"/>
    </row>
    <row r="1015" customFormat="1" s="77">
      <c r="A1015" s="2" t="n"/>
      <c r="B1015" s="64" t="n"/>
      <c r="C1015" s="2" t="n"/>
      <c r="D1015" s="2" t="n"/>
    </row>
    <row r="1016" customFormat="1" s="77">
      <c r="A1016" s="2" t="n"/>
      <c r="B1016" s="64" t="n"/>
      <c r="C1016" s="2" t="n"/>
      <c r="D1016" s="2" t="n"/>
    </row>
    <row r="1017" customFormat="1" s="77">
      <c r="A1017" s="2" t="n"/>
      <c r="B1017" s="64" t="n"/>
      <c r="C1017" s="2" t="n"/>
      <c r="D1017" s="2" t="n"/>
    </row>
    <row r="1018" customFormat="1" s="77">
      <c r="A1018" s="2" t="n"/>
      <c r="B1018" s="64" t="n"/>
      <c r="C1018" s="2" t="n"/>
      <c r="D1018" s="2" t="n"/>
    </row>
    <row r="1019" customFormat="1" s="77">
      <c r="A1019" s="2" t="n"/>
      <c r="B1019" s="64" t="n"/>
      <c r="C1019" s="2" t="n"/>
      <c r="D1019" s="2" t="n"/>
    </row>
    <row r="1020" customFormat="1" s="77">
      <c r="A1020" s="2" t="n"/>
      <c r="B1020" s="64" t="n"/>
      <c r="C1020" s="2" t="n"/>
      <c r="D1020" s="2" t="n"/>
    </row>
    <row r="1021" customFormat="1" s="77">
      <c r="A1021" s="2" t="n"/>
      <c r="B1021" s="64" t="n"/>
      <c r="C1021" s="2" t="n"/>
      <c r="D1021" s="2" t="n"/>
    </row>
    <row r="1022" customFormat="1" s="77">
      <c r="A1022" s="2" t="n"/>
      <c r="B1022" s="64" t="n"/>
      <c r="C1022" s="2" t="n"/>
      <c r="D1022" s="2" t="n"/>
    </row>
    <row r="1023" customFormat="1" s="77">
      <c r="A1023" s="2" t="n"/>
      <c r="B1023" s="64" t="n"/>
      <c r="C1023" s="2" t="n"/>
      <c r="D1023" s="2" t="n"/>
    </row>
    <row r="1024" customFormat="1" s="77">
      <c r="A1024" s="2" t="n"/>
      <c r="B1024" s="64" t="n"/>
      <c r="C1024" s="2" t="n"/>
      <c r="D1024" s="2" t="n"/>
    </row>
    <row r="1025" customFormat="1" s="77">
      <c r="A1025" s="2" t="n"/>
      <c r="B1025" s="64" t="n"/>
      <c r="C1025" s="2" t="n"/>
      <c r="D1025" s="2" t="n"/>
    </row>
    <row r="1026" customFormat="1" s="77">
      <c r="A1026" s="2" t="n"/>
      <c r="B1026" s="64" t="n"/>
      <c r="C1026" s="2" t="n"/>
      <c r="D1026" s="2" t="n"/>
    </row>
    <row r="1027" customFormat="1" s="77">
      <c r="A1027" s="2" t="n"/>
      <c r="B1027" s="64" t="n"/>
      <c r="C1027" s="2" t="n"/>
      <c r="D1027" s="2" t="n"/>
    </row>
    <row r="1028">
      <c r="A1028" s="2" t="n"/>
      <c r="B1028" s="64" t="n"/>
      <c r="C1028" s="2" t="n"/>
      <c r="D1028" s="2" t="n"/>
    </row>
    <row r="1029">
      <c r="A1029" s="2" t="n"/>
      <c r="B1029" s="64" t="n"/>
      <c r="C1029" s="2" t="n"/>
      <c r="D1029" s="2" t="n"/>
    </row>
    <row r="1030">
      <c r="A1030" s="2" t="n"/>
      <c r="B1030" s="64" t="n"/>
      <c r="C1030" s="2" t="n"/>
      <c r="D1030" s="2" t="n"/>
    </row>
    <row r="1031">
      <c r="A1031" s="2" t="n"/>
      <c r="B1031" s="64" t="n"/>
      <c r="C1031" s="2" t="n"/>
      <c r="D1031" s="2" t="n"/>
    </row>
    <row r="1032">
      <c r="A1032" s="2" t="n"/>
      <c r="B1032" s="64" t="n"/>
      <c r="C1032" s="2" t="n"/>
      <c r="D1032" s="2" t="n"/>
    </row>
    <row r="1033">
      <c r="A1033" s="2" t="n"/>
      <c r="B1033" s="64" t="n"/>
      <c r="C1033" s="2" t="n"/>
      <c r="D1033" s="2" t="n"/>
    </row>
    <row r="1034">
      <c r="A1034" s="2" t="n"/>
      <c r="B1034" s="64" t="n"/>
      <c r="C1034" s="2" t="n"/>
      <c r="D1034" s="2" t="n"/>
    </row>
    <row r="1035">
      <c r="A1035" s="2" t="n"/>
      <c r="B1035" s="64" t="n"/>
      <c r="C1035" s="2" t="n"/>
      <c r="D1035" s="2" t="n"/>
    </row>
    <row r="1036">
      <c r="A1036" s="2" t="n"/>
      <c r="B1036" s="64" t="n"/>
      <c r="C1036" s="2" t="n"/>
      <c r="D1036" s="2" t="n"/>
    </row>
    <row r="1037">
      <c r="A1037" s="2" t="n"/>
      <c r="B1037" s="64" t="n"/>
      <c r="C1037" s="2" t="n"/>
      <c r="D1037" s="2" t="n"/>
    </row>
    <row r="1038">
      <c r="A1038" s="2" t="n"/>
      <c r="B1038" s="64" t="n"/>
      <c r="C1038" s="2" t="n"/>
      <c r="D1038" s="2" t="n"/>
    </row>
    <row r="1039">
      <c r="A1039" s="2" t="n"/>
      <c r="B1039" s="64" t="n"/>
      <c r="C1039" s="2" t="n"/>
      <c r="D1039" s="2" t="n"/>
    </row>
    <row r="1040">
      <c r="A1040" s="2" t="n"/>
      <c r="B1040" s="64" t="n"/>
      <c r="C1040" s="2" t="n"/>
      <c r="D1040" s="2" t="n"/>
    </row>
    <row r="1041">
      <c r="A1041" s="2" t="n"/>
      <c r="B1041" s="64" t="n"/>
      <c r="C1041" s="2" t="n"/>
      <c r="D1041" s="2" t="n"/>
    </row>
    <row r="1042">
      <c r="A1042" s="2" t="n"/>
      <c r="B1042" s="64" t="n"/>
      <c r="C1042" s="2" t="n"/>
      <c r="D1042" s="2" t="n"/>
    </row>
    <row r="1043">
      <c r="A1043" s="2" t="n"/>
      <c r="B1043" s="64" t="n"/>
      <c r="C1043" s="2" t="n"/>
      <c r="D1043" s="2" t="n"/>
    </row>
    <row r="1044">
      <c r="A1044" s="2" t="n"/>
      <c r="B1044" s="64" t="n"/>
      <c r="C1044" s="2" t="n"/>
      <c r="D1044" s="2" t="n"/>
    </row>
    <row r="1045">
      <c r="A1045" s="2" t="n"/>
      <c r="B1045" s="64" t="n"/>
      <c r="C1045" s="2" t="n"/>
      <c r="D1045" s="2" t="n"/>
    </row>
    <row r="1046">
      <c r="A1046" s="2" t="n"/>
      <c r="B1046" s="64" t="n"/>
      <c r="C1046" s="2" t="n"/>
      <c r="D1046" s="2" t="n"/>
    </row>
    <row r="1047">
      <c r="A1047" s="2" t="n"/>
      <c r="B1047" s="64" t="n"/>
      <c r="C1047" s="2" t="n"/>
      <c r="D1047" s="2" t="n"/>
    </row>
    <row r="1048">
      <c r="A1048" s="2" t="n"/>
      <c r="B1048" s="64" t="n"/>
      <c r="C1048" s="2" t="n"/>
      <c r="D1048" s="2" t="n"/>
    </row>
    <row r="1049">
      <c r="A1049" s="2" t="n"/>
      <c r="B1049" s="64" t="n"/>
      <c r="C1049" s="2" t="n"/>
      <c r="D1049" s="2" t="n"/>
    </row>
    <row r="1050">
      <c r="A1050" s="2" t="n"/>
      <c r="B1050" s="64" t="n"/>
      <c r="C1050" s="2" t="n"/>
      <c r="D1050" s="2" t="n"/>
    </row>
    <row r="1051">
      <c r="A1051" s="2" t="n"/>
      <c r="B1051" s="64" t="n"/>
      <c r="C1051" s="2" t="n"/>
      <c r="D1051" s="2" t="n"/>
    </row>
    <row r="1052">
      <c r="A1052" s="2" t="n"/>
      <c r="B1052" s="64" t="n"/>
      <c r="C1052" s="2" t="n"/>
      <c r="D1052" s="2" t="n"/>
    </row>
    <row r="1053">
      <c r="A1053" s="2" t="n"/>
      <c r="B1053" s="64" t="n"/>
      <c r="C1053" s="2" t="n"/>
      <c r="D1053" s="2" t="n"/>
    </row>
    <row r="1054">
      <c r="A1054" s="2" t="n"/>
      <c r="B1054" s="64" t="n"/>
      <c r="C1054" s="2" t="n"/>
      <c r="D1054" s="2" t="n"/>
    </row>
    <row r="1055">
      <c r="A1055" s="2" t="n"/>
      <c r="B1055" s="64" t="n"/>
      <c r="C1055" s="2" t="n"/>
      <c r="D1055" s="2" t="n"/>
    </row>
    <row r="1056">
      <c r="A1056" s="2" t="n"/>
      <c r="B1056" s="64" t="n"/>
      <c r="C1056" s="2" t="n"/>
      <c r="D1056" s="2" t="n"/>
    </row>
    <row r="1057">
      <c r="A1057" s="2" t="n"/>
      <c r="B1057" s="64" t="n"/>
      <c r="C1057" s="2" t="n"/>
      <c r="D1057" s="2" t="n"/>
    </row>
    <row r="1058">
      <c r="A1058" s="2" t="n"/>
      <c r="B1058" s="64" t="n"/>
      <c r="C1058" s="2" t="n"/>
      <c r="D1058" s="2" t="n"/>
    </row>
    <row r="1059">
      <c r="A1059" s="2" t="n"/>
      <c r="B1059" s="64" t="n"/>
      <c r="C1059" s="2" t="n"/>
      <c r="D1059" s="2" t="n"/>
    </row>
  </sheetData>
  <conditionalFormatting sqref="C545:C666">
    <cfRule type="colorScale" priority="37">
      <colorScale>
        <cfvo type="min"/>
        <cfvo type="percentile" val="50"/>
        <cfvo type="max"/>
        <color rgb="FFF8696B"/>
        <color rgb="FFFFEB84"/>
        <color rgb="FF63BE7B"/>
      </colorScale>
    </cfRule>
  </conditionalFormatting>
  <conditionalFormatting sqref="D545:D666">
    <cfRule type="colorScale" priority="38">
      <colorScale>
        <cfvo type="min"/>
        <cfvo type="percentile" val="50"/>
        <cfvo type="max"/>
        <color rgb="FFF8696B"/>
        <color rgb="FFFFEB84"/>
        <color rgb="FF63BE7B"/>
      </colorScale>
    </cfRule>
  </conditionalFormatting>
  <conditionalFormatting sqref="D521:D666">
    <cfRule type="colorScale" priority="39">
      <colorScale>
        <cfvo type="min"/>
        <cfvo type="percentile" val="50"/>
        <cfvo type="max"/>
        <color rgb="FFF8696B"/>
        <color rgb="FFFFEB84"/>
        <color rgb="FF63BE7B"/>
      </colorScale>
    </cfRule>
  </conditionalFormatting>
  <conditionalFormatting sqref="C521:C66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63"/>
  <sheetViews>
    <sheetView zoomScale="130" zoomScaleNormal="130" workbookViewId="0">
      <pane ySplit="4" topLeftCell="A642" activePane="bottomLeft" state="frozen"/>
      <selection activeCell="N27" sqref="N27"/>
      <selection pane="bottomLeft" activeCell="H669" sqref="H669"/>
    </sheetView>
  </sheetViews>
  <sheetFormatPr baseColWidth="10" defaultColWidth="8.83203125" defaultRowHeight="15"/>
  <cols>
    <col width="10" customWidth="1" style="1" min="1" max="1"/>
    <col width="20.1640625" customWidth="1" style="62" min="2" max="2"/>
    <col width="20.6640625" customWidth="1" style="1" min="3" max="3"/>
    <col width="17.83203125" customWidth="1" style="1" min="4" max="4"/>
    <col width="12.6640625" customWidth="1" style="12" min="5" max="5"/>
    <col width="9.1640625" customWidth="1" style="4" min="6" max="6"/>
    <col width="9.1640625" customWidth="1" style="77" min="7" max="189"/>
  </cols>
  <sheetData>
    <row r="1" customFormat="1" s="77">
      <c r="A1" s="7" t="inlineStr">
        <is>
          <t>CPILFESL</t>
        </is>
      </c>
      <c r="B1" s="63" t="inlineStr">
        <is>
          <t>Consumer Price Index for All Urban Consumers: All Items Less Food &amp; Energy (CPILFESL), Index 1982-84=100, Monthly, Seasonally Adjusted</t>
        </is>
      </c>
      <c r="C1" s="9" t="n"/>
      <c r="D1" s="2" t="n"/>
      <c r="E1" s="11" t="n"/>
      <c r="F1" s="5" t="n"/>
    </row>
    <row r="2" customFormat="1" s="77">
      <c r="A2" s="2" t="n"/>
      <c r="B2" s="64" t="n"/>
      <c r="C2" s="2" t="n"/>
      <c r="D2" s="2" t="n"/>
      <c r="E2" s="11" t="n"/>
      <c r="F2" s="5" t="n"/>
    </row>
    <row r="3" ht="16" customFormat="1" customHeight="1" s="77" thickBot="1">
      <c r="A3" s="2" t="n"/>
      <c r="B3" s="64" t="n"/>
      <c r="C3" s="2" t="n"/>
      <c r="D3" s="2" t="n"/>
      <c r="E3" s="11" t="n"/>
      <c r="F3" s="5" t="n"/>
    </row>
    <row r="4" ht="41.25" customHeight="1" s="60" thickBot="1">
      <c r="A4" s="19" t="inlineStr">
        <is>
          <t>Date</t>
        </is>
      </c>
      <c r="B4" s="65" t="inlineStr">
        <is>
          <t>All Items Less Food &amp; Energy</t>
        </is>
      </c>
      <c r="C4" s="20" t="inlineStr">
        <is>
          <t>All Items Less Food &amp; Energy m/m %</t>
        </is>
      </c>
      <c r="D4" s="20" t="inlineStr">
        <is>
          <t>All Items Less Food &amp; Energy y/y %</t>
        </is>
      </c>
      <c r="E4" s="24" t="inlineStr">
        <is>
          <t>Fed Target</t>
        </is>
      </c>
      <c r="F4" s="25" t="inlineStr">
        <is>
          <t>2%</t>
        </is>
      </c>
    </row>
    <row r="5">
      <c r="A5" s="66" t="n">
        <v>24473</v>
      </c>
      <c r="B5" s="67">
        <f>VLOOKUP(Table5[[#This Row],[Date]],Database!A:E,5,)</f>
        <v/>
      </c>
      <c r="C5" s="18" t="n"/>
      <c r="D5" s="18" t="n"/>
      <c r="E5" s="23">
        <f>VLOOKUP(Table5[[#This Row],[Date]],'Fed Fund New'!$A:$C,2,FALSE)</f>
        <v/>
      </c>
      <c r="F5" s="26" t="n">
        <v>0.02</v>
      </c>
    </row>
    <row r="6">
      <c r="A6" s="61" t="n">
        <v>24504</v>
      </c>
      <c r="B6" s="68">
        <f>VLOOKUP(Table5[[#This Row],[Date]],Database!A:E,5,)</f>
        <v/>
      </c>
      <c r="C6" s="14">
        <f>(B6-B5)/B5</f>
        <v/>
      </c>
      <c r="D6" s="16" t="n"/>
      <c r="E6" s="15">
        <f>VLOOKUP(Table5[[#This Row],[Date]],'Fed Fund New'!$A:$C,2,FALSE)</f>
        <v/>
      </c>
      <c r="F6" s="27" t="n">
        <v>0.02</v>
      </c>
    </row>
    <row r="7">
      <c r="A7" s="61" t="n">
        <v>24532</v>
      </c>
      <c r="B7" s="68">
        <f>VLOOKUP(Table5[[#This Row],[Date]],Database!A:E,5,)</f>
        <v/>
      </c>
      <c r="C7" s="14">
        <f>(B7-B6)/B6</f>
        <v/>
      </c>
      <c r="D7" s="16" t="n"/>
      <c r="E7" s="15">
        <f>VLOOKUP(Table5[[#This Row],[Date]],'Fed Fund New'!$A:$C,2,FALSE)</f>
        <v/>
      </c>
      <c r="F7" s="27" t="n">
        <v>0.02</v>
      </c>
    </row>
    <row r="8">
      <c r="A8" s="61" t="n">
        <v>24563</v>
      </c>
      <c r="B8" s="68">
        <f>VLOOKUP(Table5[[#This Row],[Date]],Database!A:E,5,)</f>
        <v/>
      </c>
      <c r="C8" s="14">
        <f>(B8-B7)/B7</f>
        <v/>
      </c>
      <c r="D8" s="16" t="n"/>
      <c r="E8" s="15">
        <f>VLOOKUP(Table5[[#This Row],[Date]],'Fed Fund New'!$A:$C,2,FALSE)</f>
        <v/>
      </c>
      <c r="F8" s="27" t="n">
        <v>0.02</v>
      </c>
    </row>
    <row r="9">
      <c r="A9" s="61" t="n">
        <v>24593</v>
      </c>
      <c r="B9" s="68">
        <f>VLOOKUP(Table5[[#This Row],[Date]],Database!A:E,5,)</f>
        <v/>
      </c>
      <c r="C9" s="14">
        <f>(B9-B8)/B8</f>
        <v/>
      </c>
      <c r="D9" s="16" t="n"/>
      <c r="E9" s="15">
        <f>VLOOKUP(Table5[[#This Row],[Date]],'Fed Fund New'!$A:$C,2,FALSE)</f>
        <v/>
      </c>
      <c r="F9" s="27" t="n">
        <v>0.02</v>
      </c>
    </row>
    <row r="10">
      <c r="A10" s="61" t="n">
        <v>24624</v>
      </c>
      <c r="B10" s="68">
        <f>VLOOKUP(Table5[[#This Row],[Date]],Database!A:E,5,)</f>
        <v/>
      </c>
      <c r="C10" s="14">
        <f>(B10-B9)/B9</f>
        <v/>
      </c>
      <c r="D10" s="16" t="n"/>
      <c r="E10" s="15">
        <f>VLOOKUP(Table5[[#This Row],[Date]],'Fed Fund New'!$A:$C,2,FALSE)</f>
        <v/>
      </c>
      <c r="F10" s="27" t="n">
        <v>0.02</v>
      </c>
    </row>
    <row r="11">
      <c r="A11" s="61" t="n">
        <v>24654</v>
      </c>
      <c r="B11" s="68">
        <f>VLOOKUP(Table5[[#This Row],[Date]],Database!A:E,5,)</f>
        <v/>
      </c>
      <c r="C11" s="14">
        <f>(B11-B10)/B10</f>
        <v/>
      </c>
      <c r="D11" s="16" t="n"/>
      <c r="E11" s="15">
        <f>VLOOKUP(Table5[[#This Row],[Date]],'Fed Fund New'!$A:$C,2,FALSE)</f>
        <v/>
      </c>
      <c r="F11" s="27" t="n">
        <v>0.02</v>
      </c>
    </row>
    <row r="12">
      <c r="A12" s="61" t="n">
        <v>24685</v>
      </c>
      <c r="B12" s="68">
        <f>VLOOKUP(Table5[[#This Row],[Date]],Database!A:E,5,)</f>
        <v/>
      </c>
      <c r="C12" s="14">
        <f>(B12-B11)/B11</f>
        <v/>
      </c>
      <c r="D12" s="16" t="n"/>
      <c r="E12" s="15">
        <f>VLOOKUP(Table5[[#This Row],[Date]],'Fed Fund New'!$A:$C,2,FALSE)</f>
        <v/>
      </c>
      <c r="F12" s="27" t="n">
        <v>0.02</v>
      </c>
    </row>
    <row r="13">
      <c r="A13" s="61" t="n">
        <v>24716</v>
      </c>
      <c r="B13" s="68">
        <f>VLOOKUP(Table5[[#This Row],[Date]],Database!A:E,5,)</f>
        <v/>
      </c>
      <c r="C13" s="14">
        <f>(B13-B12)/B12</f>
        <v/>
      </c>
      <c r="D13" s="16" t="n"/>
      <c r="E13" s="15">
        <f>VLOOKUP(Table5[[#This Row],[Date]],'Fed Fund New'!$A:$C,2,FALSE)</f>
        <v/>
      </c>
      <c r="F13" s="27" t="n">
        <v>0.02</v>
      </c>
    </row>
    <row r="14">
      <c r="A14" s="61" t="n">
        <v>24746</v>
      </c>
      <c r="B14" s="68">
        <f>VLOOKUP(Table5[[#This Row],[Date]],Database!A:E,5,)</f>
        <v/>
      </c>
      <c r="C14" s="14">
        <f>(B14-B13)/B13</f>
        <v/>
      </c>
      <c r="D14" s="16" t="n"/>
      <c r="E14" s="15">
        <f>VLOOKUP(Table5[[#This Row],[Date]],'Fed Fund New'!$A:$C,2,FALSE)</f>
        <v/>
      </c>
      <c r="F14" s="27" t="n">
        <v>0.02</v>
      </c>
    </row>
    <row r="15">
      <c r="A15" s="61" t="n">
        <v>24777</v>
      </c>
      <c r="B15" s="68">
        <f>VLOOKUP(Table5[[#This Row],[Date]],Database!A:E,5,)</f>
        <v/>
      </c>
      <c r="C15" s="14">
        <f>(B15-B14)/B14</f>
        <v/>
      </c>
      <c r="D15" s="16" t="n"/>
      <c r="E15" s="15">
        <f>VLOOKUP(Table5[[#This Row],[Date]],'Fed Fund New'!$A:$C,2,FALSE)</f>
        <v/>
      </c>
      <c r="F15" s="27" t="n">
        <v>0.02</v>
      </c>
    </row>
    <row r="16">
      <c r="A16" s="61" t="n">
        <v>24807</v>
      </c>
      <c r="B16" s="68">
        <f>VLOOKUP(Table5[[#This Row],[Date]],Database!A:E,5,)</f>
        <v/>
      </c>
      <c r="C16" s="14">
        <f>(B16-B15)/B15</f>
        <v/>
      </c>
      <c r="D16" s="16" t="n"/>
      <c r="E16" s="15">
        <f>VLOOKUP(Table5[[#This Row],[Date]],'Fed Fund New'!$A:$C,2,FALSE)</f>
        <v/>
      </c>
      <c r="F16" s="27" t="n">
        <v>0.02</v>
      </c>
    </row>
    <row r="17">
      <c r="A17" s="61" t="n">
        <v>24838</v>
      </c>
      <c r="B17" s="68">
        <f>VLOOKUP(Table5[[#This Row],[Date]],Database!A:E,5,)</f>
        <v/>
      </c>
      <c r="C17" s="14">
        <f>(B17-B16)/B16</f>
        <v/>
      </c>
      <c r="D17" s="14">
        <f>(B17-B5)/B5</f>
        <v/>
      </c>
      <c r="E17" s="15">
        <f>VLOOKUP(Table5[[#This Row],[Date]],'Fed Fund New'!$A:$C,2,FALSE)</f>
        <v/>
      </c>
      <c r="F17" s="27" t="n">
        <v>0.02</v>
      </c>
    </row>
    <row r="18">
      <c r="A18" s="61" t="n">
        <v>24869</v>
      </c>
      <c r="B18" s="68">
        <f>VLOOKUP(Table5[[#This Row],[Date]],Database!A:E,5,)</f>
        <v/>
      </c>
      <c r="C18" s="14">
        <f>(B18-B17)/B17</f>
        <v/>
      </c>
      <c r="D18" s="14">
        <f>(B18-B6)/B6</f>
        <v/>
      </c>
      <c r="E18" s="15">
        <f>VLOOKUP(Table5[[#This Row],[Date]],'Fed Fund New'!$A:$C,2,FALSE)</f>
        <v/>
      </c>
      <c r="F18" s="27" t="n">
        <v>0.02</v>
      </c>
    </row>
    <row r="19">
      <c r="A19" s="61" t="n">
        <v>24898</v>
      </c>
      <c r="B19" s="68">
        <f>VLOOKUP(Table5[[#This Row],[Date]],Database!A:E,5,)</f>
        <v/>
      </c>
      <c r="C19" s="14">
        <f>(B19-B18)/B18</f>
        <v/>
      </c>
      <c r="D19" s="14">
        <f>(B19-B7)/B7</f>
        <v/>
      </c>
      <c r="E19" s="15">
        <f>VLOOKUP(Table5[[#This Row],[Date]],'Fed Fund New'!$A:$C,2,FALSE)</f>
        <v/>
      </c>
      <c r="F19" s="27" t="n">
        <v>0.02</v>
      </c>
    </row>
    <row r="20">
      <c r="A20" s="61" t="n">
        <v>24929</v>
      </c>
      <c r="B20" s="68">
        <f>VLOOKUP(Table5[[#This Row],[Date]],Database!A:E,5,)</f>
        <v/>
      </c>
      <c r="C20" s="14">
        <f>(B20-B19)/B19</f>
        <v/>
      </c>
      <c r="D20" s="14">
        <f>(B20-B8)/B8</f>
        <v/>
      </c>
      <c r="E20" s="15">
        <f>VLOOKUP(Table5[[#This Row],[Date]],'Fed Fund New'!$A:$C,2,FALSE)</f>
        <v/>
      </c>
      <c r="F20" s="27" t="n">
        <v>0.02</v>
      </c>
    </row>
    <row r="21">
      <c r="A21" s="61" t="n">
        <v>24959</v>
      </c>
      <c r="B21" s="68">
        <f>VLOOKUP(Table5[[#This Row],[Date]],Database!A:E,5,)</f>
        <v/>
      </c>
      <c r="C21" s="14">
        <f>(B21-B20)/B20</f>
        <v/>
      </c>
      <c r="D21" s="14">
        <f>(B21-B9)/B9</f>
        <v/>
      </c>
      <c r="E21" s="15">
        <f>VLOOKUP(Table5[[#This Row],[Date]],'Fed Fund New'!$A:$C,2,FALSE)</f>
        <v/>
      </c>
      <c r="F21" s="27" t="n">
        <v>0.02</v>
      </c>
    </row>
    <row r="22">
      <c r="A22" s="61" t="n">
        <v>24990</v>
      </c>
      <c r="B22" s="68">
        <f>VLOOKUP(Table5[[#This Row],[Date]],Database!A:E,5,)</f>
        <v/>
      </c>
      <c r="C22" s="14">
        <f>(B22-B21)/B21</f>
        <v/>
      </c>
      <c r="D22" s="14">
        <f>(B22-B10)/B10</f>
        <v/>
      </c>
      <c r="E22" s="15">
        <f>VLOOKUP(Table5[[#This Row],[Date]],'Fed Fund New'!$A:$C,2,FALSE)</f>
        <v/>
      </c>
      <c r="F22" s="27" t="n">
        <v>0.02</v>
      </c>
    </row>
    <row r="23">
      <c r="A23" s="61" t="n">
        <v>25020</v>
      </c>
      <c r="B23" s="68">
        <f>VLOOKUP(Table5[[#This Row],[Date]],Database!A:E,5,)</f>
        <v/>
      </c>
      <c r="C23" s="14">
        <f>(B23-B22)/B22</f>
        <v/>
      </c>
      <c r="D23" s="14">
        <f>(B23-B11)/B11</f>
        <v/>
      </c>
      <c r="E23" s="15">
        <f>VLOOKUP(Table5[[#This Row],[Date]],'Fed Fund New'!$A:$C,2,FALSE)</f>
        <v/>
      </c>
      <c r="F23" s="27" t="n">
        <v>0.02</v>
      </c>
    </row>
    <row r="24">
      <c r="A24" s="61" t="n">
        <v>25051</v>
      </c>
      <c r="B24" s="68">
        <f>VLOOKUP(Table5[[#This Row],[Date]],Database!A:E,5,)</f>
        <v/>
      </c>
      <c r="C24" s="14">
        <f>(B24-B23)/B23</f>
        <v/>
      </c>
      <c r="D24" s="14">
        <f>(B24-B12)/B12</f>
        <v/>
      </c>
      <c r="E24" s="15">
        <f>VLOOKUP(Table5[[#This Row],[Date]],'Fed Fund New'!$A:$C,2,FALSE)</f>
        <v/>
      </c>
      <c r="F24" s="27" t="n">
        <v>0.02</v>
      </c>
    </row>
    <row r="25">
      <c r="A25" s="61" t="n">
        <v>25082</v>
      </c>
      <c r="B25" s="68">
        <f>VLOOKUP(Table5[[#This Row],[Date]],Database!A:E,5,)</f>
        <v/>
      </c>
      <c r="C25" s="14">
        <f>(B25-B24)/B24</f>
        <v/>
      </c>
      <c r="D25" s="14">
        <f>(B25-B13)/B13</f>
        <v/>
      </c>
      <c r="E25" s="15">
        <f>VLOOKUP(Table5[[#This Row],[Date]],'Fed Fund New'!$A:$C,2,FALSE)</f>
        <v/>
      </c>
      <c r="F25" s="27" t="n">
        <v>0.02</v>
      </c>
    </row>
    <row r="26">
      <c r="A26" s="61" t="n">
        <v>25112</v>
      </c>
      <c r="B26" s="68">
        <f>VLOOKUP(Table5[[#This Row],[Date]],Database!A:E,5,)</f>
        <v/>
      </c>
      <c r="C26" s="14">
        <f>(B26-B25)/B25</f>
        <v/>
      </c>
      <c r="D26" s="14">
        <f>(B26-B14)/B14</f>
        <v/>
      </c>
      <c r="E26" s="15">
        <f>VLOOKUP(Table5[[#This Row],[Date]],'Fed Fund New'!$A:$C,2,FALSE)</f>
        <v/>
      </c>
      <c r="F26" s="27" t="n">
        <v>0.02</v>
      </c>
    </row>
    <row r="27">
      <c r="A27" s="61" t="n">
        <v>25143</v>
      </c>
      <c r="B27" s="68">
        <f>VLOOKUP(Table5[[#This Row],[Date]],Database!A:E,5,)</f>
        <v/>
      </c>
      <c r="C27" s="14">
        <f>(B27-B26)/B26</f>
        <v/>
      </c>
      <c r="D27" s="14">
        <f>(B27-B15)/B15</f>
        <v/>
      </c>
      <c r="E27" s="15">
        <f>VLOOKUP(Table5[[#This Row],[Date]],'Fed Fund New'!$A:$C,2,FALSE)</f>
        <v/>
      </c>
      <c r="F27" s="27" t="n">
        <v>0.02</v>
      </c>
    </row>
    <row r="28">
      <c r="A28" s="61" t="n">
        <v>25173</v>
      </c>
      <c r="B28" s="68">
        <f>VLOOKUP(Table5[[#This Row],[Date]],Database!A:E,5,)</f>
        <v/>
      </c>
      <c r="C28" s="14">
        <f>(B28-B27)/B27</f>
        <v/>
      </c>
      <c r="D28" s="14">
        <f>(B28-B16)/B16</f>
        <v/>
      </c>
      <c r="E28" s="15">
        <f>VLOOKUP(Table5[[#This Row],[Date]],'Fed Fund New'!$A:$C,2,FALSE)</f>
        <v/>
      </c>
      <c r="F28" s="27" t="n">
        <v>0.02</v>
      </c>
    </row>
    <row r="29">
      <c r="A29" s="61" t="n">
        <v>25204</v>
      </c>
      <c r="B29" s="68">
        <f>VLOOKUP(Table5[[#This Row],[Date]],Database!A:E,5,)</f>
        <v/>
      </c>
      <c r="C29" s="14">
        <f>(B29-B28)/B28</f>
        <v/>
      </c>
      <c r="D29" s="14">
        <f>(B29-B17)/B17</f>
        <v/>
      </c>
      <c r="E29" s="15">
        <f>VLOOKUP(Table5[[#This Row],[Date]],'Fed Fund New'!$A:$C,2,FALSE)</f>
        <v/>
      </c>
      <c r="F29" s="27" t="n">
        <v>0.02</v>
      </c>
    </row>
    <row r="30">
      <c r="A30" s="61" t="n">
        <v>25235</v>
      </c>
      <c r="B30" s="68">
        <f>VLOOKUP(Table5[[#This Row],[Date]],Database!A:E,5,)</f>
        <v/>
      </c>
      <c r="C30" s="14">
        <f>(B30-B29)/B29</f>
        <v/>
      </c>
      <c r="D30" s="14">
        <f>(B30-B18)/B18</f>
        <v/>
      </c>
      <c r="E30" s="15">
        <f>VLOOKUP(Table5[[#This Row],[Date]],'Fed Fund New'!$A:$C,2,FALSE)</f>
        <v/>
      </c>
      <c r="F30" s="27" t="n">
        <v>0.02</v>
      </c>
    </row>
    <row r="31">
      <c r="A31" s="61" t="n">
        <v>25263</v>
      </c>
      <c r="B31" s="68">
        <f>VLOOKUP(Table5[[#This Row],[Date]],Database!A:E,5,)</f>
        <v/>
      </c>
      <c r="C31" s="14">
        <f>(B31-B30)/B30</f>
        <v/>
      </c>
      <c r="D31" s="14">
        <f>(B31-B19)/B19</f>
        <v/>
      </c>
      <c r="E31" s="15">
        <f>VLOOKUP(Table5[[#This Row],[Date]],'Fed Fund New'!$A:$C,2,FALSE)</f>
        <v/>
      </c>
      <c r="F31" s="27" t="n">
        <v>0.02</v>
      </c>
    </row>
    <row r="32">
      <c r="A32" s="61" t="n">
        <v>25294</v>
      </c>
      <c r="B32" s="68">
        <f>VLOOKUP(Table5[[#This Row],[Date]],Database!A:E,5,)</f>
        <v/>
      </c>
      <c r="C32" s="14">
        <f>(B32-B31)/B31</f>
        <v/>
      </c>
      <c r="D32" s="14">
        <f>(B32-B20)/B20</f>
        <v/>
      </c>
      <c r="E32" s="15">
        <f>VLOOKUP(Table5[[#This Row],[Date]],'Fed Fund New'!$A:$C,2,FALSE)</f>
        <v/>
      </c>
      <c r="F32" s="27" t="n">
        <v>0.02</v>
      </c>
    </row>
    <row r="33">
      <c r="A33" s="61" t="n">
        <v>25324</v>
      </c>
      <c r="B33" s="68">
        <f>VLOOKUP(Table5[[#This Row],[Date]],Database!A:E,5,)</f>
        <v/>
      </c>
      <c r="C33" s="14">
        <f>(B33-B32)/B32</f>
        <v/>
      </c>
      <c r="D33" s="14">
        <f>(B33-B21)/B21</f>
        <v/>
      </c>
      <c r="E33" s="15">
        <f>VLOOKUP(Table5[[#This Row],[Date]],'Fed Fund New'!$A:$C,2,FALSE)</f>
        <v/>
      </c>
      <c r="F33" s="27" t="n">
        <v>0.02</v>
      </c>
    </row>
    <row r="34">
      <c r="A34" s="61" t="n">
        <v>25355</v>
      </c>
      <c r="B34" s="68">
        <f>VLOOKUP(Table5[[#This Row],[Date]],Database!A:E,5,)</f>
        <v/>
      </c>
      <c r="C34" s="14">
        <f>(B34-B33)/B33</f>
        <v/>
      </c>
      <c r="D34" s="14">
        <f>(B34-B22)/B22</f>
        <v/>
      </c>
      <c r="E34" s="15">
        <f>VLOOKUP(Table5[[#This Row],[Date]],'Fed Fund New'!$A:$C,2,FALSE)</f>
        <v/>
      </c>
      <c r="F34" s="27" t="n">
        <v>0.02</v>
      </c>
    </row>
    <row r="35">
      <c r="A35" s="61" t="n">
        <v>25385</v>
      </c>
      <c r="B35" s="68">
        <f>VLOOKUP(Table5[[#This Row],[Date]],Database!A:E,5,)</f>
        <v/>
      </c>
      <c r="C35" s="14">
        <f>(B35-B34)/B34</f>
        <v/>
      </c>
      <c r="D35" s="14">
        <f>(B35-B23)/B23</f>
        <v/>
      </c>
      <c r="E35" s="15">
        <f>VLOOKUP(Table5[[#This Row],[Date]],'Fed Fund New'!$A:$C,2,FALSE)</f>
        <v/>
      </c>
      <c r="F35" s="27" t="n">
        <v>0.02</v>
      </c>
    </row>
    <row r="36">
      <c r="A36" s="61" t="n">
        <v>25416</v>
      </c>
      <c r="B36" s="68">
        <f>VLOOKUP(Table5[[#This Row],[Date]],Database!A:E,5,)</f>
        <v/>
      </c>
      <c r="C36" s="14">
        <f>(B36-B35)/B35</f>
        <v/>
      </c>
      <c r="D36" s="14">
        <f>(B36-B24)/B24</f>
        <v/>
      </c>
      <c r="E36" s="15">
        <f>VLOOKUP(Table5[[#This Row],[Date]],'Fed Fund New'!$A:$C,2,FALSE)</f>
        <v/>
      </c>
      <c r="F36" s="27" t="n">
        <v>0.02</v>
      </c>
    </row>
    <row r="37">
      <c r="A37" s="61" t="n">
        <v>25447</v>
      </c>
      <c r="B37" s="68">
        <f>VLOOKUP(Table5[[#This Row],[Date]],Database!A:E,5,)</f>
        <v/>
      </c>
      <c r="C37" s="14">
        <f>(B37-B36)/B36</f>
        <v/>
      </c>
      <c r="D37" s="14">
        <f>(B37-B25)/B25</f>
        <v/>
      </c>
      <c r="E37" s="15">
        <f>VLOOKUP(Table5[[#This Row],[Date]],'Fed Fund New'!$A:$C,2,FALSE)</f>
        <v/>
      </c>
      <c r="F37" s="27" t="n">
        <v>0.02</v>
      </c>
    </row>
    <row r="38">
      <c r="A38" s="61" t="n">
        <v>25477</v>
      </c>
      <c r="B38" s="68">
        <f>VLOOKUP(Table5[[#This Row],[Date]],Database!A:E,5,)</f>
        <v/>
      </c>
      <c r="C38" s="14">
        <f>(B38-B37)/B37</f>
        <v/>
      </c>
      <c r="D38" s="14">
        <f>(B38-B26)/B26</f>
        <v/>
      </c>
      <c r="E38" s="15">
        <f>VLOOKUP(Table5[[#This Row],[Date]],'Fed Fund New'!$A:$C,2,FALSE)</f>
        <v/>
      </c>
      <c r="F38" s="27" t="n">
        <v>0.02</v>
      </c>
    </row>
    <row r="39">
      <c r="A39" s="61" t="n">
        <v>25508</v>
      </c>
      <c r="B39" s="68">
        <f>VLOOKUP(Table5[[#This Row],[Date]],Database!A:E,5,)</f>
        <v/>
      </c>
      <c r="C39" s="14">
        <f>(B39-B38)/B38</f>
        <v/>
      </c>
      <c r="D39" s="14">
        <f>(B39-B27)/B27</f>
        <v/>
      </c>
      <c r="E39" s="15">
        <f>VLOOKUP(Table5[[#This Row],[Date]],'Fed Fund New'!$A:$C,2,FALSE)</f>
        <v/>
      </c>
      <c r="F39" s="27" t="n">
        <v>0.02</v>
      </c>
    </row>
    <row r="40">
      <c r="A40" s="61" t="n">
        <v>25538</v>
      </c>
      <c r="B40" s="68">
        <f>VLOOKUP(Table5[[#This Row],[Date]],Database!A:E,5,)</f>
        <v/>
      </c>
      <c r="C40" s="14">
        <f>(B40-B39)/B39</f>
        <v/>
      </c>
      <c r="D40" s="14">
        <f>(B40-B28)/B28</f>
        <v/>
      </c>
      <c r="E40" s="15">
        <f>VLOOKUP(Table5[[#This Row],[Date]],'Fed Fund New'!$A:$C,2,FALSE)</f>
        <v/>
      </c>
      <c r="F40" s="27" t="n">
        <v>0.02</v>
      </c>
    </row>
    <row r="41">
      <c r="A41" s="61" t="n">
        <v>25569</v>
      </c>
      <c r="B41" s="68">
        <f>VLOOKUP(Table5[[#This Row],[Date]],Database!A:E,5,)</f>
        <v/>
      </c>
      <c r="C41" s="14">
        <f>(B41-B40)/B40</f>
        <v/>
      </c>
      <c r="D41" s="14">
        <f>(B41-B29)/B29</f>
        <v/>
      </c>
      <c r="E41" s="15">
        <f>VLOOKUP(Table5[[#This Row],[Date]],'Fed Fund New'!$A:$C,2,FALSE)</f>
        <v/>
      </c>
      <c r="F41" s="27" t="n">
        <v>0.02</v>
      </c>
    </row>
    <row r="42">
      <c r="A42" s="61" t="n">
        <v>25600</v>
      </c>
      <c r="B42" s="68">
        <f>VLOOKUP(Table5[[#This Row],[Date]],Database!A:E,5,)</f>
        <v/>
      </c>
      <c r="C42" s="14">
        <f>(B42-B41)/B41</f>
        <v/>
      </c>
      <c r="D42" s="14">
        <f>(B42-B30)/B30</f>
        <v/>
      </c>
      <c r="E42" s="15">
        <f>VLOOKUP(Table5[[#This Row],[Date]],'Fed Fund New'!$A:$C,2,FALSE)</f>
        <v/>
      </c>
      <c r="F42" s="27" t="n">
        <v>0.02</v>
      </c>
    </row>
    <row r="43">
      <c r="A43" s="61" t="n">
        <v>25628</v>
      </c>
      <c r="B43" s="68">
        <f>VLOOKUP(Table5[[#This Row],[Date]],Database!A:E,5,)</f>
        <v/>
      </c>
      <c r="C43" s="14">
        <f>(B43-B42)/B42</f>
        <v/>
      </c>
      <c r="D43" s="14">
        <f>(B43-B31)/B31</f>
        <v/>
      </c>
      <c r="E43" s="15">
        <f>VLOOKUP(Table5[[#This Row],[Date]],'Fed Fund New'!$A:$C,2,FALSE)</f>
        <v/>
      </c>
      <c r="F43" s="27" t="n">
        <v>0.02</v>
      </c>
    </row>
    <row r="44">
      <c r="A44" s="61" t="n">
        <v>25659</v>
      </c>
      <c r="B44" s="68">
        <f>VLOOKUP(Table5[[#This Row],[Date]],Database!A:E,5,)</f>
        <v/>
      </c>
      <c r="C44" s="14">
        <f>(B44-B43)/B43</f>
        <v/>
      </c>
      <c r="D44" s="14">
        <f>(B44-B32)/B32</f>
        <v/>
      </c>
      <c r="E44" s="15">
        <f>VLOOKUP(Table5[[#This Row],[Date]],'Fed Fund New'!$A:$C,2,FALSE)</f>
        <v/>
      </c>
      <c r="F44" s="27" t="n">
        <v>0.02</v>
      </c>
    </row>
    <row r="45">
      <c r="A45" s="61" t="n">
        <v>25689</v>
      </c>
      <c r="B45" s="68">
        <f>VLOOKUP(Table5[[#This Row],[Date]],Database!A:E,5,)</f>
        <v/>
      </c>
      <c r="C45" s="14">
        <f>(B45-B44)/B44</f>
        <v/>
      </c>
      <c r="D45" s="14">
        <f>(B45-B33)/B33</f>
        <v/>
      </c>
      <c r="E45" s="15">
        <f>VLOOKUP(Table5[[#This Row],[Date]],'Fed Fund New'!$A:$C,2,FALSE)</f>
        <v/>
      </c>
      <c r="F45" s="27" t="n">
        <v>0.02</v>
      </c>
    </row>
    <row r="46">
      <c r="A46" s="61" t="n">
        <v>25720</v>
      </c>
      <c r="B46" s="68">
        <f>VLOOKUP(Table5[[#This Row],[Date]],Database!A:E,5,)</f>
        <v/>
      </c>
      <c r="C46" s="14">
        <f>(B46-B45)/B45</f>
        <v/>
      </c>
      <c r="D46" s="14">
        <f>(B46-B34)/B34</f>
        <v/>
      </c>
      <c r="E46" s="15">
        <f>VLOOKUP(Table5[[#This Row],[Date]],'Fed Fund New'!$A:$C,2,FALSE)</f>
        <v/>
      </c>
      <c r="F46" s="27" t="n">
        <v>0.02</v>
      </c>
    </row>
    <row r="47">
      <c r="A47" s="61" t="n">
        <v>25750</v>
      </c>
      <c r="B47" s="68">
        <f>VLOOKUP(Table5[[#This Row],[Date]],Database!A:E,5,)</f>
        <v/>
      </c>
      <c r="C47" s="14">
        <f>(B47-B46)/B46</f>
        <v/>
      </c>
      <c r="D47" s="14">
        <f>(B47-B35)/B35</f>
        <v/>
      </c>
      <c r="E47" s="15">
        <f>VLOOKUP(Table5[[#This Row],[Date]],'Fed Fund New'!$A:$C,2,FALSE)</f>
        <v/>
      </c>
      <c r="F47" s="27" t="n">
        <v>0.02</v>
      </c>
    </row>
    <row r="48">
      <c r="A48" s="61" t="n">
        <v>25781</v>
      </c>
      <c r="B48" s="68">
        <f>VLOOKUP(Table5[[#This Row],[Date]],Database!A:E,5,)</f>
        <v/>
      </c>
      <c r="C48" s="14">
        <f>(B48-B47)/B47</f>
        <v/>
      </c>
      <c r="D48" s="14">
        <f>(B48-B36)/B36</f>
        <v/>
      </c>
      <c r="E48" s="15">
        <f>VLOOKUP(Table5[[#This Row],[Date]],'Fed Fund New'!$A:$C,2,FALSE)</f>
        <v/>
      </c>
      <c r="F48" s="27" t="n">
        <v>0.02</v>
      </c>
    </row>
    <row r="49">
      <c r="A49" s="61" t="n">
        <v>25812</v>
      </c>
      <c r="B49" s="68">
        <f>VLOOKUP(Table5[[#This Row],[Date]],Database!A:E,5,)</f>
        <v/>
      </c>
      <c r="C49" s="14">
        <f>(B49-B48)/B48</f>
        <v/>
      </c>
      <c r="D49" s="14">
        <f>(B49-B37)/B37</f>
        <v/>
      </c>
      <c r="E49" s="15">
        <f>VLOOKUP(Table5[[#This Row],[Date]],'Fed Fund New'!$A:$C,2,FALSE)</f>
        <v/>
      </c>
      <c r="F49" s="27" t="n">
        <v>0.02</v>
      </c>
    </row>
    <row r="50">
      <c r="A50" s="61" t="n">
        <v>25842</v>
      </c>
      <c r="B50" s="68">
        <f>VLOOKUP(Table5[[#This Row],[Date]],Database!A:E,5,)</f>
        <v/>
      </c>
      <c r="C50" s="14">
        <f>(B50-B49)/B49</f>
        <v/>
      </c>
      <c r="D50" s="14">
        <f>(B50-B38)/B38</f>
        <v/>
      </c>
      <c r="E50" s="15">
        <f>VLOOKUP(Table5[[#This Row],[Date]],'Fed Fund New'!$A:$C,2,FALSE)</f>
        <v/>
      </c>
      <c r="F50" s="27" t="n">
        <v>0.02</v>
      </c>
    </row>
    <row r="51">
      <c r="A51" s="61" t="n">
        <v>25873</v>
      </c>
      <c r="B51" s="68">
        <f>VLOOKUP(Table5[[#This Row],[Date]],Database!A:E,5,)</f>
        <v/>
      </c>
      <c r="C51" s="14">
        <f>(B51-B50)/B50</f>
        <v/>
      </c>
      <c r="D51" s="14">
        <f>(B51-B39)/B39</f>
        <v/>
      </c>
      <c r="E51" s="15">
        <f>VLOOKUP(Table5[[#This Row],[Date]],'Fed Fund New'!$A:$C,2,FALSE)</f>
        <v/>
      </c>
      <c r="F51" s="27" t="n">
        <v>0.02</v>
      </c>
    </row>
    <row r="52">
      <c r="A52" s="61" t="n">
        <v>25903</v>
      </c>
      <c r="B52" s="68">
        <f>VLOOKUP(Table5[[#This Row],[Date]],Database!A:E,5,)</f>
        <v/>
      </c>
      <c r="C52" s="14">
        <f>(B52-B51)/B51</f>
        <v/>
      </c>
      <c r="D52" s="14">
        <f>(B52-B40)/B40</f>
        <v/>
      </c>
      <c r="E52" s="15">
        <f>VLOOKUP(Table5[[#This Row],[Date]],'Fed Fund New'!$A:$C,2,FALSE)</f>
        <v/>
      </c>
      <c r="F52" s="27" t="n">
        <v>0.02</v>
      </c>
    </row>
    <row r="53">
      <c r="A53" s="61" t="n">
        <v>25934</v>
      </c>
      <c r="B53" s="68">
        <f>VLOOKUP(Table5[[#This Row],[Date]],Database!A:E,5,)</f>
        <v/>
      </c>
      <c r="C53" s="14">
        <f>(B53-B52)/B52</f>
        <v/>
      </c>
      <c r="D53" s="14">
        <f>(B53-B41)/B41</f>
        <v/>
      </c>
      <c r="E53" s="15">
        <f>VLOOKUP(Table5[[#This Row],[Date]],'Fed Fund New'!$A:$C,2,FALSE)</f>
        <v/>
      </c>
      <c r="F53" s="27" t="n">
        <v>0.02</v>
      </c>
    </row>
    <row r="54">
      <c r="A54" s="61" t="n">
        <v>25965</v>
      </c>
      <c r="B54" s="68">
        <f>VLOOKUP(Table5[[#This Row],[Date]],Database!A:E,5,)</f>
        <v/>
      </c>
      <c r="C54" s="14">
        <f>(B54-B53)/B53</f>
        <v/>
      </c>
      <c r="D54" s="14">
        <f>(B54-B42)/B42</f>
        <v/>
      </c>
      <c r="E54" s="15">
        <f>VLOOKUP(Table5[[#This Row],[Date]],'Fed Fund New'!$A:$C,2,FALSE)</f>
        <v/>
      </c>
      <c r="F54" s="27" t="n">
        <v>0.02</v>
      </c>
    </row>
    <row r="55">
      <c r="A55" s="61" t="n">
        <v>25993</v>
      </c>
      <c r="B55" s="68">
        <f>VLOOKUP(Table5[[#This Row],[Date]],Database!A:E,5,)</f>
        <v/>
      </c>
      <c r="C55" s="14">
        <f>(B55-B54)/B54</f>
        <v/>
      </c>
      <c r="D55" s="14">
        <f>(B55-B43)/B43</f>
        <v/>
      </c>
      <c r="E55" s="15">
        <f>VLOOKUP(Table5[[#This Row],[Date]],'Fed Fund New'!$A:$C,2,FALSE)</f>
        <v/>
      </c>
      <c r="F55" s="27" t="n">
        <v>0.02</v>
      </c>
    </row>
    <row r="56">
      <c r="A56" s="61" t="n">
        <v>26024</v>
      </c>
      <c r="B56" s="68">
        <f>VLOOKUP(Table5[[#This Row],[Date]],Database!A:E,5,)</f>
        <v/>
      </c>
      <c r="C56" s="14">
        <f>(B56-B55)/B55</f>
        <v/>
      </c>
      <c r="D56" s="14">
        <f>(B56-B44)/B44</f>
        <v/>
      </c>
      <c r="E56" s="15">
        <f>VLOOKUP(Table5[[#This Row],[Date]],'Fed Fund New'!$A:$C,2,FALSE)</f>
        <v/>
      </c>
      <c r="F56" s="27" t="n">
        <v>0.02</v>
      </c>
    </row>
    <row r="57">
      <c r="A57" s="61" t="n">
        <v>26054</v>
      </c>
      <c r="B57" s="68">
        <f>VLOOKUP(Table5[[#This Row],[Date]],Database!A:E,5,)</f>
        <v/>
      </c>
      <c r="C57" s="14">
        <f>(B57-B56)/B56</f>
        <v/>
      </c>
      <c r="D57" s="14">
        <f>(B57-B45)/B45</f>
        <v/>
      </c>
      <c r="E57" s="15">
        <f>VLOOKUP(Table5[[#This Row],[Date]],'Fed Fund New'!$A:$C,2,FALSE)</f>
        <v/>
      </c>
      <c r="F57" s="27" t="n">
        <v>0.02</v>
      </c>
    </row>
    <row r="58">
      <c r="A58" s="61" t="n">
        <v>26085</v>
      </c>
      <c r="B58" s="68">
        <f>VLOOKUP(Table5[[#This Row],[Date]],Database!A:E,5,)</f>
        <v/>
      </c>
      <c r="C58" s="14">
        <f>(B58-B57)/B57</f>
        <v/>
      </c>
      <c r="D58" s="14">
        <f>(B58-B46)/B46</f>
        <v/>
      </c>
      <c r="E58" s="15">
        <f>VLOOKUP(Table5[[#This Row],[Date]],'Fed Fund New'!$A:$C,2,FALSE)</f>
        <v/>
      </c>
      <c r="F58" s="27" t="n">
        <v>0.02</v>
      </c>
    </row>
    <row r="59">
      <c r="A59" s="61" t="n">
        <v>26115</v>
      </c>
      <c r="B59" s="68">
        <f>VLOOKUP(Table5[[#This Row],[Date]],Database!A:E,5,)</f>
        <v/>
      </c>
      <c r="C59" s="14">
        <f>(B59-B58)/B58</f>
        <v/>
      </c>
      <c r="D59" s="14">
        <f>(B59-B47)/B47</f>
        <v/>
      </c>
      <c r="E59" s="15">
        <f>VLOOKUP(Table5[[#This Row],[Date]],'Fed Fund New'!$A:$C,2,FALSE)</f>
        <v/>
      </c>
      <c r="F59" s="27" t="n">
        <v>0.02</v>
      </c>
    </row>
    <row r="60">
      <c r="A60" s="61" t="n">
        <v>26146</v>
      </c>
      <c r="B60" s="68">
        <f>VLOOKUP(Table5[[#This Row],[Date]],Database!A:E,5,)</f>
        <v/>
      </c>
      <c r="C60" s="14">
        <f>(B60-B59)/B59</f>
        <v/>
      </c>
      <c r="D60" s="14">
        <f>(B60-B48)/B48</f>
        <v/>
      </c>
      <c r="E60" s="15">
        <f>VLOOKUP(Table5[[#This Row],[Date]],'Fed Fund New'!$A:$C,2,FALSE)</f>
        <v/>
      </c>
      <c r="F60" s="27" t="n">
        <v>0.02</v>
      </c>
    </row>
    <row r="61">
      <c r="A61" s="61" t="n">
        <v>26177</v>
      </c>
      <c r="B61" s="68">
        <f>VLOOKUP(Table5[[#This Row],[Date]],Database!A:E,5,)</f>
        <v/>
      </c>
      <c r="C61" s="14">
        <f>(B61-B60)/B60</f>
        <v/>
      </c>
      <c r="D61" s="14">
        <f>(B61-B49)/B49</f>
        <v/>
      </c>
      <c r="E61" s="15">
        <f>VLOOKUP(Table5[[#This Row],[Date]],'Fed Fund New'!$A:$C,2,FALSE)</f>
        <v/>
      </c>
      <c r="F61" s="27" t="n">
        <v>0.02</v>
      </c>
    </row>
    <row r="62">
      <c r="A62" s="61" t="n">
        <v>26207</v>
      </c>
      <c r="B62" s="68">
        <f>VLOOKUP(Table5[[#This Row],[Date]],Database!A:E,5,)</f>
        <v/>
      </c>
      <c r="C62" s="14">
        <f>(B62-B61)/B61</f>
        <v/>
      </c>
      <c r="D62" s="14">
        <f>(B62-B50)/B50</f>
        <v/>
      </c>
      <c r="E62" s="15">
        <f>VLOOKUP(Table5[[#This Row],[Date]],'Fed Fund New'!$A:$C,2,FALSE)</f>
        <v/>
      </c>
      <c r="F62" s="27" t="n">
        <v>0.02</v>
      </c>
    </row>
    <row r="63">
      <c r="A63" s="61" t="n">
        <v>26238</v>
      </c>
      <c r="B63" s="68">
        <f>VLOOKUP(Table5[[#This Row],[Date]],Database!A:E,5,)</f>
        <v/>
      </c>
      <c r="C63" s="14">
        <f>(B63-B62)/B62</f>
        <v/>
      </c>
      <c r="D63" s="14">
        <f>(B63-B51)/B51</f>
        <v/>
      </c>
      <c r="E63" s="15">
        <f>VLOOKUP(Table5[[#This Row],[Date]],'Fed Fund New'!$A:$C,2,FALSE)</f>
        <v/>
      </c>
      <c r="F63" s="27" t="n">
        <v>0.02</v>
      </c>
    </row>
    <row r="64">
      <c r="A64" s="61" t="n">
        <v>26268</v>
      </c>
      <c r="B64" s="68">
        <f>VLOOKUP(Table5[[#This Row],[Date]],Database!A:E,5,)</f>
        <v/>
      </c>
      <c r="C64" s="14">
        <f>(B64-B63)/B63</f>
        <v/>
      </c>
      <c r="D64" s="14">
        <f>(B64-B52)/B52</f>
        <v/>
      </c>
      <c r="E64" s="15">
        <f>VLOOKUP(Table5[[#This Row],[Date]],'Fed Fund New'!$A:$C,2,FALSE)</f>
        <v/>
      </c>
      <c r="F64" s="27" t="n">
        <v>0.02</v>
      </c>
    </row>
    <row r="65">
      <c r="A65" s="61" t="n">
        <v>26299</v>
      </c>
      <c r="B65" s="68">
        <f>VLOOKUP(Table5[[#This Row],[Date]],Database!A:E,5,)</f>
        <v/>
      </c>
      <c r="C65" s="14">
        <f>(B65-B64)/B64</f>
        <v/>
      </c>
      <c r="D65" s="14">
        <f>(B65-B53)/B53</f>
        <v/>
      </c>
      <c r="E65" s="15">
        <f>VLOOKUP(Table5[[#This Row],[Date]],'Fed Fund New'!$A:$C,2,FALSE)</f>
        <v/>
      </c>
      <c r="F65" s="27" t="n">
        <v>0.02</v>
      </c>
    </row>
    <row r="66">
      <c r="A66" s="61" t="n">
        <v>26330</v>
      </c>
      <c r="B66" s="68">
        <f>VLOOKUP(Table5[[#This Row],[Date]],Database!A:E,5,)</f>
        <v/>
      </c>
      <c r="C66" s="14">
        <f>(B66-B65)/B65</f>
        <v/>
      </c>
      <c r="D66" s="14">
        <f>(B66-B54)/B54</f>
        <v/>
      </c>
      <c r="E66" s="15">
        <f>VLOOKUP(Table5[[#This Row],[Date]],'Fed Fund New'!$A:$C,2,FALSE)</f>
        <v/>
      </c>
      <c r="F66" s="27" t="n">
        <v>0.02</v>
      </c>
    </row>
    <row r="67">
      <c r="A67" s="61" t="n">
        <v>26359</v>
      </c>
      <c r="B67" s="68">
        <f>VLOOKUP(Table5[[#This Row],[Date]],Database!A:E,5,)</f>
        <v/>
      </c>
      <c r="C67" s="14">
        <f>(B67-B66)/B66</f>
        <v/>
      </c>
      <c r="D67" s="14">
        <f>(B67-B55)/B55</f>
        <v/>
      </c>
      <c r="E67" s="15">
        <f>VLOOKUP(Table5[[#This Row],[Date]],'Fed Fund New'!$A:$C,2,FALSE)</f>
        <v/>
      </c>
      <c r="F67" s="27" t="n">
        <v>0.02</v>
      </c>
    </row>
    <row r="68">
      <c r="A68" s="61" t="n">
        <v>26390</v>
      </c>
      <c r="B68" s="68">
        <f>VLOOKUP(Table5[[#This Row],[Date]],Database!A:E,5,)</f>
        <v/>
      </c>
      <c r="C68" s="14">
        <f>(B68-B67)/B67</f>
        <v/>
      </c>
      <c r="D68" s="14">
        <f>(B68-B56)/B56</f>
        <v/>
      </c>
      <c r="E68" s="15">
        <f>VLOOKUP(Table5[[#This Row],[Date]],'Fed Fund New'!$A:$C,2,FALSE)</f>
        <v/>
      </c>
      <c r="F68" s="27" t="n">
        <v>0.02</v>
      </c>
    </row>
    <row r="69">
      <c r="A69" s="61" t="n">
        <v>26420</v>
      </c>
      <c r="B69" s="68">
        <f>VLOOKUP(Table5[[#This Row],[Date]],Database!A:E,5,)</f>
        <v/>
      </c>
      <c r="C69" s="14">
        <f>(B69-B68)/B68</f>
        <v/>
      </c>
      <c r="D69" s="14">
        <f>(B69-B57)/B57</f>
        <v/>
      </c>
      <c r="E69" s="15">
        <f>VLOOKUP(Table5[[#This Row],[Date]],'Fed Fund New'!$A:$C,2,FALSE)</f>
        <v/>
      </c>
      <c r="F69" s="27" t="n">
        <v>0.02</v>
      </c>
    </row>
    <row r="70">
      <c r="A70" s="61" t="n">
        <v>26451</v>
      </c>
      <c r="B70" s="68">
        <f>VLOOKUP(Table5[[#This Row],[Date]],Database!A:E,5,)</f>
        <v/>
      </c>
      <c r="C70" s="14">
        <f>(B70-B69)/B69</f>
        <v/>
      </c>
      <c r="D70" s="14">
        <f>(B70-B58)/B58</f>
        <v/>
      </c>
      <c r="E70" s="15">
        <f>VLOOKUP(Table5[[#This Row],[Date]],'Fed Fund New'!$A:$C,2,FALSE)</f>
        <v/>
      </c>
      <c r="F70" s="27" t="n">
        <v>0.02</v>
      </c>
    </row>
    <row r="71">
      <c r="A71" s="61" t="n">
        <v>26481</v>
      </c>
      <c r="B71" s="68">
        <f>VLOOKUP(Table5[[#This Row],[Date]],Database!A:E,5,)</f>
        <v/>
      </c>
      <c r="C71" s="14">
        <f>(B71-B70)/B70</f>
        <v/>
      </c>
      <c r="D71" s="14">
        <f>(B71-B59)/B59</f>
        <v/>
      </c>
      <c r="E71" s="15">
        <f>VLOOKUP(Table5[[#This Row],[Date]],'Fed Fund New'!$A:$C,2,FALSE)</f>
        <v/>
      </c>
      <c r="F71" s="27" t="n">
        <v>0.02</v>
      </c>
    </row>
    <row r="72">
      <c r="A72" s="61" t="n">
        <v>26512</v>
      </c>
      <c r="B72" s="68">
        <f>VLOOKUP(Table5[[#This Row],[Date]],Database!A:E,5,)</f>
        <v/>
      </c>
      <c r="C72" s="14">
        <f>(B72-B71)/B71</f>
        <v/>
      </c>
      <c r="D72" s="14">
        <f>(B72-B60)/B60</f>
        <v/>
      </c>
      <c r="E72" s="15">
        <f>VLOOKUP(Table5[[#This Row],[Date]],'Fed Fund New'!$A:$C,2,FALSE)</f>
        <v/>
      </c>
      <c r="F72" s="27" t="n">
        <v>0.02</v>
      </c>
    </row>
    <row r="73">
      <c r="A73" s="61" t="n">
        <v>26543</v>
      </c>
      <c r="B73" s="68">
        <f>VLOOKUP(Table5[[#This Row],[Date]],Database!A:E,5,)</f>
        <v/>
      </c>
      <c r="C73" s="14">
        <f>(B73-B72)/B72</f>
        <v/>
      </c>
      <c r="D73" s="14">
        <f>(B73-B61)/B61</f>
        <v/>
      </c>
      <c r="E73" s="15">
        <f>VLOOKUP(Table5[[#This Row],[Date]],'Fed Fund New'!$A:$C,2,FALSE)</f>
        <v/>
      </c>
      <c r="F73" s="27" t="n">
        <v>0.02</v>
      </c>
    </row>
    <row r="74">
      <c r="A74" s="61" t="n">
        <v>26573</v>
      </c>
      <c r="B74" s="68">
        <f>VLOOKUP(Table5[[#This Row],[Date]],Database!A:E,5,)</f>
        <v/>
      </c>
      <c r="C74" s="14">
        <f>(B74-B73)/B73</f>
        <v/>
      </c>
      <c r="D74" s="14">
        <f>(B74-B62)/B62</f>
        <v/>
      </c>
      <c r="E74" s="15">
        <f>VLOOKUP(Table5[[#This Row],[Date]],'Fed Fund New'!$A:$C,2,FALSE)</f>
        <v/>
      </c>
      <c r="F74" s="27" t="n">
        <v>0.02</v>
      </c>
    </row>
    <row r="75">
      <c r="A75" s="61" t="n">
        <v>26604</v>
      </c>
      <c r="B75" s="68">
        <f>VLOOKUP(Table5[[#This Row],[Date]],Database!A:E,5,)</f>
        <v/>
      </c>
      <c r="C75" s="14">
        <f>(B75-B74)/B74</f>
        <v/>
      </c>
      <c r="D75" s="14">
        <f>(B75-B63)/B63</f>
        <v/>
      </c>
      <c r="E75" s="15">
        <f>VLOOKUP(Table5[[#This Row],[Date]],'Fed Fund New'!$A:$C,2,FALSE)</f>
        <v/>
      </c>
      <c r="F75" s="27" t="n">
        <v>0.02</v>
      </c>
    </row>
    <row r="76">
      <c r="A76" s="61" t="n">
        <v>26634</v>
      </c>
      <c r="B76" s="68">
        <f>VLOOKUP(Table5[[#This Row],[Date]],Database!A:E,5,)</f>
        <v/>
      </c>
      <c r="C76" s="14">
        <f>(B76-B75)/B75</f>
        <v/>
      </c>
      <c r="D76" s="14">
        <f>(B76-B64)/B64</f>
        <v/>
      </c>
      <c r="E76" s="15">
        <f>VLOOKUP(Table5[[#This Row],[Date]],'Fed Fund New'!$A:$C,2,FALSE)</f>
        <v/>
      </c>
      <c r="F76" s="27" t="n">
        <v>0.02</v>
      </c>
    </row>
    <row r="77">
      <c r="A77" s="61" t="n">
        <v>26665</v>
      </c>
      <c r="B77" s="68">
        <f>VLOOKUP(Table5[[#This Row],[Date]],Database!A:E,5,)</f>
        <v/>
      </c>
      <c r="C77" s="14">
        <f>(B77-B76)/B76</f>
        <v/>
      </c>
      <c r="D77" s="14">
        <f>(B77-B65)/B65</f>
        <v/>
      </c>
      <c r="E77" s="15">
        <f>VLOOKUP(Table5[[#This Row],[Date]],'Fed Fund New'!$A:$C,2,FALSE)</f>
        <v/>
      </c>
      <c r="F77" s="27" t="n">
        <v>0.02</v>
      </c>
    </row>
    <row r="78">
      <c r="A78" s="61" t="n">
        <v>26696</v>
      </c>
      <c r="B78" s="68">
        <f>VLOOKUP(Table5[[#This Row],[Date]],Database!A:E,5,)</f>
        <v/>
      </c>
      <c r="C78" s="14">
        <f>(B78-B77)/B77</f>
        <v/>
      </c>
      <c r="D78" s="14">
        <f>(B78-B66)/B66</f>
        <v/>
      </c>
      <c r="E78" s="15">
        <f>VLOOKUP(Table5[[#This Row],[Date]],'Fed Fund New'!$A:$C,2,FALSE)</f>
        <v/>
      </c>
      <c r="F78" s="27" t="n">
        <v>0.02</v>
      </c>
    </row>
    <row r="79">
      <c r="A79" s="61" t="n">
        <v>26724</v>
      </c>
      <c r="B79" s="68">
        <f>VLOOKUP(Table5[[#This Row],[Date]],Database!A:E,5,)</f>
        <v/>
      </c>
      <c r="C79" s="14">
        <f>(B79-B78)/B78</f>
        <v/>
      </c>
      <c r="D79" s="14">
        <f>(B79-B67)/B67</f>
        <v/>
      </c>
      <c r="E79" s="15">
        <f>VLOOKUP(Table5[[#This Row],[Date]],'Fed Fund New'!$A:$C,2,FALSE)</f>
        <v/>
      </c>
      <c r="F79" s="27" t="n">
        <v>0.02</v>
      </c>
    </row>
    <row r="80">
      <c r="A80" s="61" t="n">
        <v>26755</v>
      </c>
      <c r="B80" s="68">
        <f>VLOOKUP(Table5[[#This Row],[Date]],Database!A:E,5,)</f>
        <v/>
      </c>
      <c r="C80" s="14">
        <f>(B80-B79)/B79</f>
        <v/>
      </c>
      <c r="D80" s="14">
        <f>(B80-B68)/B68</f>
        <v/>
      </c>
      <c r="E80" s="15">
        <f>VLOOKUP(Table5[[#This Row],[Date]],'Fed Fund New'!$A:$C,2,FALSE)</f>
        <v/>
      </c>
      <c r="F80" s="27" t="n">
        <v>0.02</v>
      </c>
    </row>
    <row r="81">
      <c r="A81" s="61" t="n">
        <v>26785</v>
      </c>
      <c r="B81" s="68">
        <f>VLOOKUP(Table5[[#This Row],[Date]],Database!A:E,5,)</f>
        <v/>
      </c>
      <c r="C81" s="14">
        <f>(B81-B80)/B80</f>
        <v/>
      </c>
      <c r="D81" s="14">
        <f>(B81-B69)/B69</f>
        <v/>
      </c>
      <c r="E81" s="15">
        <f>VLOOKUP(Table5[[#This Row],[Date]],'Fed Fund New'!$A:$C,2,FALSE)</f>
        <v/>
      </c>
      <c r="F81" s="27" t="n">
        <v>0.02</v>
      </c>
    </row>
    <row r="82">
      <c r="A82" s="61" t="n">
        <v>26816</v>
      </c>
      <c r="B82" s="68">
        <f>VLOOKUP(Table5[[#This Row],[Date]],Database!A:E,5,)</f>
        <v/>
      </c>
      <c r="C82" s="14">
        <f>(B82-B81)/B81</f>
        <v/>
      </c>
      <c r="D82" s="14">
        <f>(B82-B70)/B70</f>
        <v/>
      </c>
      <c r="E82" s="15">
        <f>VLOOKUP(Table5[[#This Row],[Date]],'Fed Fund New'!$A:$C,2,FALSE)</f>
        <v/>
      </c>
      <c r="F82" s="27" t="n">
        <v>0.02</v>
      </c>
    </row>
    <row r="83">
      <c r="A83" s="61" t="n">
        <v>26846</v>
      </c>
      <c r="B83" s="68">
        <f>VLOOKUP(Table5[[#This Row],[Date]],Database!A:E,5,)</f>
        <v/>
      </c>
      <c r="C83" s="14">
        <f>(B83-B82)/B82</f>
        <v/>
      </c>
      <c r="D83" s="14">
        <f>(B83-B71)/B71</f>
        <v/>
      </c>
      <c r="E83" s="15">
        <f>VLOOKUP(Table5[[#This Row],[Date]],'Fed Fund New'!$A:$C,2,FALSE)</f>
        <v/>
      </c>
      <c r="F83" s="27" t="n">
        <v>0.02</v>
      </c>
    </row>
    <row r="84">
      <c r="A84" s="61" t="n">
        <v>26877</v>
      </c>
      <c r="B84" s="68">
        <f>VLOOKUP(Table5[[#This Row],[Date]],Database!A:E,5,)</f>
        <v/>
      </c>
      <c r="C84" s="14">
        <f>(B84-B83)/B83</f>
        <v/>
      </c>
      <c r="D84" s="14">
        <f>(B84-B72)/B72</f>
        <v/>
      </c>
      <c r="E84" s="15">
        <f>VLOOKUP(Table5[[#This Row],[Date]],'Fed Fund New'!$A:$C,2,FALSE)</f>
        <v/>
      </c>
      <c r="F84" s="27" t="n">
        <v>0.02</v>
      </c>
    </row>
    <row r="85">
      <c r="A85" s="61" t="n">
        <v>26908</v>
      </c>
      <c r="B85" s="68">
        <f>VLOOKUP(Table5[[#This Row],[Date]],Database!A:E,5,)</f>
        <v/>
      </c>
      <c r="C85" s="14">
        <f>(B85-B84)/B84</f>
        <v/>
      </c>
      <c r="D85" s="14">
        <f>(B85-B73)/B73</f>
        <v/>
      </c>
      <c r="E85" s="15">
        <f>VLOOKUP(Table5[[#This Row],[Date]],'Fed Fund New'!$A:$C,2,FALSE)</f>
        <v/>
      </c>
      <c r="F85" s="27" t="n">
        <v>0.02</v>
      </c>
    </row>
    <row r="86">
      <c r="A86" s="61" t="n">
        <v>26938</v>
      </c>
      <c r="B86" s="68">
        <f>VLOOKUP(Table5[[#This Row],[Date]],Database!A:E,5,)</f>
        <v/>
      </c>
      <c r="C86" s="14">
        <f>(B86-B85)/B85</f>
        <v/>
      </c>
      <c r="D86" s="14">
        <f>(B86-B74)/B74</f>
        <v/>
      </c>
      <c r="E86" s="15">
        <f>VLOOKUP(Table5[[#This Row],[Date]],'Fed Fund New'!$A:$C,2,FALSE)</f>
        <v/>
      </c>
      <c r="F86" s="27" t="n">
        <v>0.02</v>
      </c>
    </row>
    <row r="87">
      <c r="A87" s="61" t="n">
        <v>26969</v>
      </c>
      <c r="B87" s="68">
        <f>VLOOKUP(Table5[[#This Row],[Date]],Database!A:E,5,)</f>
        <v/>
      </c>
      <c r="C87" s="14">
        <f>(B87-B86)/B86</f>
        <v/>
      </c>
      <c r="D87" s="14">
        <f>(B87-B75)/B75</f>
        <v/>
      </c>
      <c r="E87" s="15">
        <f>VLOOKUP(Table5[[#This Row],[Date]],'Fed Fund New'!$A:$C,2,FALSE)</f>
        <v/>
      </c>
      <c r="F87" s="27" t="n">
        <v>0.02</v>
      </c>
    </row>
    <row r="88">
      <c r="A88" s="61" t="n">
        <v>26999</v>
      </c>
      <c r="B88" s="68">
        <f>VLOOKUP(Table5[[#This Row],[Date]],Database!A:E,5,)</f>
        <v/>
      </c>
      <c r="C88" s="14">
        <f>(B88-B87)/B87</f>
        <v/>
      </c>
      <c r="D88" s="14">
        <f>(B88-B76)/B76</f>
        <v/>
      </c>
      <c r="E88" s="15">
        <f>VLOOKUP(Table5[[#This Row],[Date]],'Fed Fund New'!$A:$C,2,FALSE)</f>
        <v/>
      </c>
      <c r="F88" s="27" t="n">
        <v>0.02</v>
      </c>
    </row>
    <row r="89">
      <c r="A89" s="61" t="n">
        <v>27030</v>
      </c>
      <c r="B89" s="68">
        <f>VLOOKUP(Table5[[#This Row],[Date]],Database!A:E,5,)</f>
        <v/>
      </c>
      <c r="C89" s="14">
        <f>(B89-B88)/B88</f>
        <v/>
      </c>
      <c r="D89" s="14">
        <f>(B89-B77)/B77</f>
        <v/>
      </c>
      <c r="E89" s="15">
        <f>VLOOKUP(Table5[[#This Row],[Date]],'Fed Fund New'!$A:$C,2,FALSE)</f>
        <v/>
      </c>
      <c r="F89" s="27" t="n">
        <v>0.02</v>
      </c>
    </row>
    <row r="90">
      <c r="A90" s="61" t="n">
        <v>27061</v>
      </c>
      <c r="B90" s="68">
        <f>VLOOKUP(Table5[[#This Row],[Date]],Database!A:E,5,)</f>
        <v/>
      </c>
      <c r="C90" s="14">
        <f>(B90-B89)/B89</f>
        <v/>
      </c>
      <c r="D90" s="14">
        <f>(B90-B78)/B78</f>
        <v/>
      </c>
      <c r="E90" s="15">
        <f>VLOOKUP(Table5[[#This Row],[Date]],'Fed Fund New'!$A:$C,2,FALSE)</f>
        <v/>
      </c>
      <c r="F90" s="27" t="n">
        <v>0.02</v>
      </c>
    </row>
    <row r="91">
      <c r="A91" s="61" t="n">
        <v>27089</v>
      </c>
      <c r="B91" s="68">
        <f>VLOOKUP(Table5[[#This Row],[Date]],Database!A:E,5,)</f>
        <v/>
      </c>
      <c r="C91" s="14">
        <f>(B91-B90)/B90</f>
        <v/>
      </c>
      <c r="D91" s="14">
        <f>(B91-B79)/B79</f>
        <v/>
      </c>
      <c r="E91" s="15">
        <f>VLOOKUP(Table5[[#This Row],[Date]],'Fed Fund New'!$A:$C,2,FALSE)</f>
        <v/>
      </c>
      <c r="F91" s="27" t="n">
        <v>0.02</v>
      </c>
    </row>
    <row r="92">
      <c r="A92" s="61" t="n">
        <v>27120</v>
      </c>
      <c r="B92" s="68">
        <f>VLOOKUP(Table5[[#This Row],[Date]],Database!A:E,5,)</f>
        <v/>
      </c>
      <c r="C92" s="14">
        <f>(B92-B91)/B91</f>
        <v/>
      </c>
      <c r="D92" s="14">
        <f>(B92-B80)/B80</f>
        <v/>
      </c>
      <c r="E92" s="15">
        <f>VLOOKUP(Table5[[#This Row],[Date]],'Fed Fund New'!$A:$C,2,FALSE)</f>
        <v/>
      </c>
      <c r="F92" s="27" t="n">
        <v>0.02</v>
      </c>
    </row>
    <row r="93">
      <c r="A93" s="61" t="n">
        <v>27150</v>
      </c>
      <c r="B93" s="68">
        <f>VLOOKUP(Table5[[#This Row],[Date]],Database!A:E,5,)</f>
        <v/>
      </c>
      <c r="C93" s="14">
        <f>(B93-B92)/B92</f>
        <v/>
      </c>
      <c r="D93" s="14">
        <f>(B93-B81)/B81</f>
        <v/>
      </c>
      <c r="E93" s="15">
        <f>VLOOKUP(Table5[[#This Row],[Date]],'Fed Fund New'!$A:$C,2,FALSE)</f>
        <v/>
      </c>
      <c r="F93" s="27" t="n">
        <v>0.02</v>
      </c>
    </row>
    <row r="94">
      <c r="A94" s="61" t="n">
        <v>27181</v>
      </c>
      <c r="B94" s="68">
        <f>VLOOKUP(Table5[[#This Row],[Date]],Database!A:E,5,)</f>
        <v/>
      </c>
      <c r="C94" s="14">
        <f>(B94-B93)/B93</f>
        <v/>
      </c>
      <c r="D94" s="14">
        <f>(B94-B82)/B82</f>
        <v/>
      </c>
      <c r="E94" s="15">
        <f>VLOOKUP(Table5[[#This Row],[Date]],'Fed Fund New'!$A:$C,2,FALSE)</f>
        <v/>
      </c>
      <c r="F94" s="27" t="n">
        <v>0.02</v>
      </c>
    </row>
    <row r="95">
      <c r="A95" s="61" t="n">
        <v>27211</v>
      </c>
      <c r="B95" s="68">
        <f>VLOOKUP(Table5[[#This Row],[Date]],Database!A:E,5,)</f>
        <v/>
      </c>
      <c r="C95" s="14">
        <f>(B95-B94)/B94</f>
        <v/>
      </c>
      <c r="D95" s="14">
        <f>(B95-B83)/B83</f>
        <v/>
      </c>
      <c r="E95" s="15">
        <f>VLOOKUP(Table5[[#This Row],[Date]],'Fed Fund New'!$A:$C,2,FALSE)</f>
        <v/>
      </c>
      <c r="F95" s="27" t="n">
        <v>0.02</v>
      </c>
    </row>
    <row r="96">
      <c r="A96" s="61" t="n">
        <v>27242</v>
      </c>
      <c r="B96" s="68">
        <f>VLOOKUP(Table5[[#This Row],[Date]],Database!A:E,5,)</f>
        <v/>
      </c>
      <c r="C96" s="14">
        <f>(B96-B95)/B95</f>
        <v/>
      </c>
      <c r="D96" s="14">
        <f>(B96-B84)/B84</f>
        <v/>
      </c>
      <c r="E96" s="15">
        <f>VLOOKUP(Table5[[#This Row],[Date]],'Fed Fund New'!$A:$C,2,FALSE)</f>
        <v/>
      </c>
      <c r="F96" s="27" t="n">
        <v>0.02</v>
      </c>
    </row>
    <row r="97">
      <c r="A97" s="61" t="n">
        <v>27273</v>
      </c>
      <c r="B97" s="68">
        <f>VLOOKUP(Table5[[#This Row],[Date]],Database!A:E,5,)</f>
        <v/>
      </c>
      <c r="C97" s="14">
        <f>(B97-B96)/B96</f>
        <v/>
      </c>
      <c r="D97" s="14">
        <f>(B97-B85)/B85</f>
        <v/>
      </c>
      <c r="E97" s="15">
        <f>VLOOKUP(Table5[[#This Row],[Date]],'Fed Fund New'!$A:$C,2,FALSE)</f>
        <v/>
      </c>
      <c r="F97" s="27" t="n">
        <v>0.02</v>
      </c>
    </row>
    <row r="98">
      <c r="A98" s="61" t="n">
        <v>27303</v>
      </c>
      <c r="B98" s="68">
        <f>VLOOKUP(Table5[[#This Row],[Date]],Database!A:E,5,)</f>
        <v/>
      </c>
      <c r="C98" s="14">
        <f>(B98-B97)/B97</f>
        <v/>
      </c>
      <c r="D98" s="14">
        <f>(B98-B86)/B86</f>
        <v/>
      </c>
      <c r="E98" s="15">
        <f>VLOOKUP(Table5[[#This Row],[Date]],'Fed Fund New'!$A:$C,2,FALSE)</f>
        <v/>
      </c>
      <c r="F98" s="27" t="n">
        <v>0.02</v>
      </c>
    </row>
    <row r="99">
      <c r="A99" s="61" t="n">
        <v>27334</v>
      </c>
      <c r="B99" s="68">
        <f>VLOOKUP(Table5[[#This Row],[Date]],Database!A:E,5,)</f>
        <v/>
      </c>
      <c r="C99" s="14">
        <f>(B99-B98)/B98</f>
        <v/>
      </c>
      <c r="D99" s="14">
        <f>(B99-B87)/B87</f>
        <v/>
      </c>
      <c r="E99" s="15">
        <f>VLOOKUP(Table5[[#This Row],[Date]],'Fed Fund New'!$A:$C,2,FALSE)</f>
        <v/>
      </c>
      <c r="F99" s="27" t="n">
        <v>0.02</v>
      </c>
    </row>
    <row r="100">
      <c r="A100" s="61" t="n">
        <v>27364</v>
      </c>
      <c r="B100" s="68">
        <f>VLOOKUP(Table5[[#This Row],[Date]],Database!A:E,5,)</f>
        <v/>
      </c>
      <c r="C100" s="14">
        <f>(B100-B99)/B99</f>
        <v/>
      </c>
      <c r="D100" s="14">
        <f>(B100-B88)/B88</f>
        <v/>
      </c>
      <c r="E100" s="15">
        <f>VLOOKUP(Table5[[#This Row],[Date]],'Fed Fund New'!$A:$C,2,FALSE)</f>
        <v/>
      </c>
      <c r="F100" s="27" t="n">
        <v>0.02</v>
      </c>
    </row>
    <row r="101">
      <c r="A101" s="61" t="n">
        <v>27395</v>
      </c>
      <c r="B101" s="68">
        <f>VLOOKUP(Table5[[#This Row],[Date]],Database!A:E,5,)</f>
        <v/>
      </c>
      <c r="C101" s="14">
        <f>(B101-B100)/B100</f>
        <v/>
      </c>
      <c r="D101" s="14">
        <f>(B101-B89)/B89</f>
        <v/>
      </c>
      <c r="E101" s="15">
        <f>VLOOKUP(Table5[[#This Row],[Date]],'Fed Fund New'!$A:$C,2,FALSE)</f>
        <v/>
      </c>
      <c r="F101" s="27" t="n">
        <v>0.02</v>
      </c>
    </row>
    <row r="102">
      <c r="A102" s="61" t="n">
        <v>27426</v>
      </c>
      <c r="B102" s="68">
        <f>VLOOKUP(Table5[[#This Row],[Date]],Database!A:E,5,)</f>
        <v/>
      </c>
      <c r="C102" s="14">
        <f>(B102-B101)/B101</f>
        <v/>
      </c>
      <c r="D102" s="14">
        <f>(B102-B90)/B90</f>
        <v/>
      </c>
      <c r="E102" s="15">
        <f>VLOOKUP(Table5[[#This Row],[Date]],'Fed Fund New'!$A:$C,2,FALSE)</f>
        <v/>
      </c>
      <c r="F102" s="27" t="n">
        <v>0.02</v>
      </c>
    </row>
    <row r="103">
      <c r="A103" s="61" t="n">
        <v>27454</v>
      </c>
      <c r="B103" s="68">
        <f>VLOOKUP(Table5[[#This Row],[Date]],Database!A:E,5,)</f>
        <v/>
      </c>
      <c r="C103" s="14">
        <f>(B103-B102)/B102</f>
        <v/>
      </c>
      <c r="D103" s="14">
        <f>(B103-B91)/B91</f>
        <v/>
      </c>
      <c r="E103" s="15">
        <f>VLOOKUP(Table5[[#This Row],[Date]],'Fed Fund New'!$A:$C,2,FALSE)</f>
        <v/>
      </c>
      <c r="F103" s="27" t="n">
        <v>0.02</v>
      </c>
    </row>
    <row r="104">
      <c r="A104" s="61" t="n">
        <v>27485</v>
      </c>
      <c r="B104" s="68">
        <f>VLOOKUP(Table5[[#This Row],[Date]],Database!A:E,5,)</f>
        <v/>
      </c>
      <c r="C104" s="14">
        <f>(B104-B103)/B103</f>
        <v/>
      </c>
      <c r="D104" s="14">
        <f>(B104-B92)/B92</f>
        <v/>
      </c>
      <c r="E104" s="15">
        <f>VLOOKUP(Table5[[#This Row],[Date]],'Fed Fund New'!$A:$C,2,FALSE)</f>
        <v/>
      </c>
      <c r="F104" s="27" t="n">
        <v>0.02</v>
      </c>
    </row>
    <row r="105">
      <c r="A105" s="61" t="n">
        <v>27515</v>
      </c>
      <c r="B105" s="68">
        <f>VLOOKUP(Table5[[#This Row],[Date]],Database!A:E,5,)</f>
        <v/>
      </c>
      <c r="C105" s="14">
        <f>(B105-B104)/B104</f>
        <v/>
      </c>
      <c r="D105" s="14">
        <f>(B105-B93)/B93</f>
        <v/>
      </c>
      <c r="E105" s="15">
        <f>VLOOKUP(Table5[[#This Row],[Date]],'Fed Fund New'!$A:$C,2,FALSE)</f>
        <v/>
      </c>
      <c r="F105" s="27" t="n">
        <v>0.02</v>
      </c>
    </row>
    <row r="106">
      <c r="A106" s="61" t="n">
        <v>27546</v>
      </c>
      <c r="B106" s="68">
        <f>VLOOKUP(Table5[[#This Row],[Date]],Database!A:E,5,)</f>
        <v/>
      </c>
      <c r="C106" s="14">
        <f>(B106-B105)/B105</f>
        <v/>
      </c>
      <c r="D106" s="14">
        <f>(B106-B94)/B94</f>
        <v/>
      </c>
      <c r="E106" s="15">
        <f>VLOOKUP(Table5[[#This Row],[Date]],'Fed Fund New'!$A:$C,2,FALSE)</f>
        <v/>
      </c>
      <c r="F106" s="27" t="n">
        <v>0.02</v>
      </c>
    </row>
    <row r="107">
      <c r="A107" s="61" t="n">
        <v>27576</v>
      </c>
      <c r="B107" s="68">
        <f>VLOOKUP(Table5[[#This Row],[Date]],Database!A:E,5,)</f>
        <v/>
      </c>
      <c r="C107" s="14">
        <f>(B107-B106)/B106</f>
        <v/>
      </c>
      <c r="D107" s="14">
        <f>(B107-B95)/B95</f>
        <v/>
      </c>
      <c r="E107" s="15">
        <f>VLOOKUP(Table5[[#This Row],[Date]],'Fed Fund New'!$A:$C,2,FALSE)</f>
        <v/>
      </c>
      <c r="F107" s="27" t="n">
        <v>0.02</v>
      </c>
    </row>
    <row r="108">
      <c r="A108" s="61" t="n">
        <v>27607</v>
      </c>
      <c r="B108" s="68">
        <f>VLOOKUP(Table5[[#This Row],[Date]],Database!A:E,5,)</f>
        <v/>
      </c>
      <c r="C108" s="14">
        <f>(B108-B107)/B107</f>
        <v/>
      </c>
      <c r="D108" s="14">
        <f>(B108-B96)/B96</f>
        <v/>
      </c>
      <c r="E108" s="15">
        <f>VLOOKUP(Table5[[#This Row],[Date]],'Fed Fund New'!$A:$C,2,FALSE)</f>
        <v/>
      </c>
      <c r="F108" s="27" t="n">
        <v>0.02</v>
      </c>
    </row>
    <row r="109">
      <c r="A109" s="61" t="n">
        <v>27638</v>
      </c>
      <c r="B109" s="68">
        <f>VLOOKUP(Table5[[#This Row],[Date]],Database!A:E,5,)</f>
        <v/>
      </c>
      <c r="C109" s="14">
        <f>(B109-B108)/B108</f>
        <v/>
      </c>
      <c r="D109" s="14">
        <f>(B109-B97)/B97</f>
        <v/>
      </c>
      <c r="E109" s="15">
        <f>VLOOKUP(Table5[[#This Row],[Date]],'Fed Fund New'!$A:$C,2,FALSE)</f>
        <v/>
      </c>
      <c r="F109" s="27" t="n">
        <v>0.02</v>
      </c>
    </row>
    <row r="110">
      <c r="A110" s="61" t="n">
        <v>27668</v>
      </c>
      <c r="B110" s="68">
        <f>VLOOKUP(Table5[[#This Row],[Date]],Database!A:E,5,)</f>
        <v/>
      </c>
      <c r="C110" s="14">
        <f>(B110-B109)/B109</f>
        <v/>
      </c>
      <c r="D110" s="14">
        <f>(B110-B98)/B98</f>
        <v/>
      </c>
      <c r="E110" s="15">
        <f>VLOOKUP(Table5[[#This Row],[Date]],'Fed Fund New'!$A:$C,2,FALSE)</f>
        <v/>
      </c>
      <c r="F110" s="27" t="n">
        <v>0.02</v>
      </c>
    </row>
    <row r="111">
      <c r="A111" s="61" t="n">
        <v>27699</v>
      </c>
      <c r="B111" s="68">
        <f>VLOOKUP(Table5[[#This Row],[Date]],Database!A:E,5,)</f>
        <v/>
      </c>
      <c r="C111" s="14">
        <f>(B111-B110)/B110</f>
        <v/>
      </c>
      <c r="D111" s="14">
        <f>(B111-B99)/B99</f>
        <v/>
      </c>
      <c r="E111" s="15">
        <f>VLOOKUP(Table5[[#This Row],[Date]],'Fed Fund New'!$A:$C,2,FALSE)</f>
        <v/>
      </c>
      <c r="F111" s="27" t="n">
        <v>0.02</v>
      </c>
    </row>
    <row r="112">
      <c r="A112" s="61" t="n">
        <v>27729</v>
      </c>
      <c r="B112" s="68">
        <f>VLOOKUP(Table5[[#This Row],[Date]],Database!A:E,5,)</f>
        <v/>
      </c>
      <c r="C112" s="14">
        <f>(B112-B111)/B111</f>
        <v/>
      </c>
      <c r="D112" s="14">
        <f>(B112-B100)/B100</f>
        <v/>
      </c>
      <c r="E112" s="15">
        <f>VLOOKUP(Table5[[#This Row],[Date]],'Fed Fund New'!$A:$C,2,FALSE)</f>
        <v/>
      </c>
      <c r="F112" s="27" t="n">
        <v>0.02</v>
      </c>
    </row>
    <row r="113">
      <c r="A113" s="61" t="n">
        <v>27760</v>
      </c>
      <c r="B113" s="68">
        <f>VLOOKUP(Table5[[#This Row],[Date]],Database!A:E,5,)</f>
        <v/>
      </c>
      <c r="C113" s="14">
        <f>(B113-B112)/B112</f>
        <v/>
      </c>
      <c r="D113" s="14">
        <f>(B113-B101)/B101</f>
        <v/>
      </c>
      <c r="E113" s="15">
        <f>VLOOKUP(Table5[[#This Row],[Date]],'Fed Fund New'!$A:$C,2,FALSE)</f>
        <v/>
      </c>
      <c r="F113" s="27" t="n">
        <v>0.02</v>
      </c>
    </row>
    <row r="114">
      <c r="A114" s="61" t="n">
        <v>27791</v>
      </c>
      <c r="B114" s="68">
        <f>VLOOKUP(Table5[[#This Row],[Date]],Database!A:E,5,)</f>
        <v/>
      </c>
      <c r="C114" s="14">
        <f>(B114-B113)/B113</f>
        <v/>
      </c>
      <c r="D114" s="14">
        <f>(B114-B102)/B102</f>
        <v/>
      </c>
      <c r="E114" s="15">
        <f>VLOOKUP(Table5[[#This Row],[Date]],'Fed Fund New'!$A:$C,2,FALSE)</f>
        <v/>
      </c>
      <c r="F114" s="27" t="n">
        <v>0.02</v>
      </c>
    </row>
    <row r="115">
      <c r="A115" s="61" t="n">
        <v>27820</v>
      </c>
      <c r="B115" s="68">
        <f>VLOOKUP(Table5[[#This Row],[Date]],Database!A:E,5,)</f>
        <v/>
      </c>
      <c r="C115" s="14">
        <f>(B115-B114)/B114</f>
        <v/>
      </c>
      <c r="D115" s="14">
        <f>(B115-B103)/B103</f>
        <v/>
      </c>
      <c r="E115" s="15">
        <f>VLOOKUP(Table5[[#This Row],[Date]],'Fed Fund New'!$A:$C,2,FALSE)</f>
        <v/>
      </c>
      <c r="F115" s="27" t="n">
        <v>0.02</v>
      </c>
    </row>
    <row r="116">
      <c r="A116" s="61" t="n">
        <v>27851</v>
      </c>
      <c r="B116" s="68">
        <f>VLOOKUP(Table5[[#This Row],[Date]],Database!A:E,5,)</f>
        <v/>
      </c>
      <c r="C116" s="14">
        <f>(B116-B115)/B115</f>
        <v/>
      </c>
      <c r="D116" s="14">
        <f>(B116-B104)/B104</f>
        <v/>
      </c>
      <c r="E116" s="15">
        <f>VLOOKUP(Table5[[#This Row],[Date]],'Fed Fund New'!$A:$C,2,FALSE)</f>
        <v/>
      </c>
      <c r="F116" s="27" t="n">
        <v>0.02</v>
      </c>
    </row>
    <row r="117">
      <c r="A117" s="61" t="n">
        <v>27881</v>
      </c>
      <c r="B117" s="68">
        <f>VLOOKUP(Table5[[#This Row],[Date]],Database!A:E,5,)</f>
        <v/>
      </c>
      <c r="C117" s="14">
        <f>(B117-B116)/B116</f>
        <v/>
      </c>
      <c r="D117" s="14">
        <f>(B117-B105)/B105</f>
        <v/>
      </c>
      <c r="E117" s="15">
        <f>VLOOKUP(Table5[[#This Row],[Date]],'Fed Fund New'!$A:$C,2,FALSE)</f>
        <v/>
      </c>
      <c r="F117" s="27" t="n">
        <v>0.02</v>
      </c>
    </row>
    <row r="118">
      <c r="A118" s="61" t="n">
        <v>27912</v>
      </c>
      <c r="B118" s="68">
        <f>VLOOKUP(Table5[[#This Row],[Date]],Database!A:E,5,)</f>
        <v/>
      </c>
      <c r="C118" s="14">
        <f>(B118-B117)/B117</f>
        <v/>
      </c>
      <c r="D118" s="14">
        <f>(B118-B106)/B106</f>
        <v/>
      </c>
      <c r="E118" s="15">
        <f>VLOOKUP(Table5[[#This Row],[Date]],'Fed Fund New'!$A:$C,2,FALSE)</f>
        <v/>
      </c>
      <c r="F118" s="27" t="n">
        <v>0.02</v>
      </c>
    </row>
    <row r="119">
      <c r="A119" s="61" t="n">
        <v>27942</v>
      </c>
      <c r="B119" s="68">
        <f>VLOOKUP(Table5[[#This Row],[Date]],Database!A:E,5,)</f>
        <v/>
      </c>
      <c r="C119" s="14">
        <f>(B119-B118)/B118</f>
        <v/>
      </c>
      <c r="D119" s="14">
        <f>(B119-B107)/B107</f>
        <v/>
      </c>
      <c r="E119" s="15">
        <f>VLOOKUP(Table5[[#This Row],[Date]],'Fed Fund New'!$A:$C,2,FALSE)</f>
        <v/>
      </c>
      <c r="F119" s="27" t="n">
        <v>0.02</v>
      </c>
    </row>
    <row r="120">
      <c r="A120" s="61" t="n">
        <v>27973</v>
      </c>
      <c r="B120" s="68">
        <f>VLOOKUP(Table5[[#This Row],[Date]],Database!A:E,5,)</f>
        <v/>
      </c>
      <c r="C120" s="14">
        <f>(B120-B119)/B119</f>
        <v/>
      </c>
      <c r="D120" s="14">
        <f>(B120-B108)/B108</f>
        <v/>
      </c>
      <c r="E120" s="15">
        <f>VLOOKUP(Table5[[#This Row],[Date]],'Fed Fund New'!$A:$C,2,FALSE)</f>
        <v/>
      </c>
      <c r="F120" s="27" t="n">
        <v>0.02</v>
      </c>
    </row>
    <row r="121">
      <c r="A121" s="61" t="n">
        <v>28004</v>
      </c>
      <c r="B121" s="68">
        <f>VLOOKUP(Table5[[#This Row],[Date]],Database!A:E,5,)</f>
        <v/>
      </c>
      <c r="C121" s="14">
        <f>(B121-B120)/B120</f>
        <v/>
      </c>
      <c r="D121" s="14">
        <f>(B121-B109)/B109</f>
        <v/>
      </c>
      <c r="E121" s="15">
        <f>VLOOKUP(Table5[[#This Row],[Date]],'Fed Fund New'!$A:$C,2,FALSE)</f>
        <v/>
      </c>
      <c r="F121" s="27" t="n">
        <v>0.02</v>
      </c>
    </row>
    <row r="122">
      <c r="A122" s="61" t="n">
        <v>28034</v>
      </c>
      <c r="B122" s="68">
        <f>VLOOKUP(Table5[[#This Row],[Date]],Database!A:E,5,)</f>
        <v/>
      </c>
      <c r="C122" s="14">
        <f>(B122-B121)/B121</f>
        <v/>
      </c>
      <c r="D122" s="14">
        <f>(B122-B110)/B110</f>
        <v/>
      </c>
      <c r="E122" s="15">
        <f>VLOOKUP(Table5[[#This Row],[Date]],'Fed Fund New'!$A:$C,2,FALSE)</f>
        <v/>
      </c>
      <c r="F122" s="27" t="n">
        <v>0.02</v>
      </c>
    </row>
    <row r="123">
      <c r="A123" s="61" t="n">
        <v>28065</v>
      </c>
      <c r="B123" s="68">
        <f>VLOOKUP(Table5[[#This Row],[Date]],Database!A:E,5,)</f>
        <v/>
      </c>
      <c r="C123" s="14">
        <f>(B123-B122)/B122</f>
        <v/>
      </c>
      <c r="D123" s="14">
        <f>(B123-B111)/B111</f>
        <v/>
      </c>
      <c r="E123" s="15">
        <f>VLOOKUP(Table5[[#This Row],[Date]],'Fed Fund New'!$A:$C,2,FALSE)</f>
        <v/>
      </c>
      <c r="F123" s="27" t="n">
        <v>0.02</v>
      </c>
    </row>
    <row r="124">
      <c r="A124" s="61" t="n">
        <v>28095</v>
      </c>
      <c r="B124" s="68">
        <f>VLOOKUP(Table5[[#This Row],[Date]],Database!A:E,5,)</f>
        <v/>
      </c>
      <c r="C124" s="14">
        <f>(B124-B123)/B123</f>
        <v/>
      </c>
      <c r="D124" s="14">
        <f>(B124-B112)/B112</f>
        <v/>
      </c>
      <c r="E124" s="15">
        <f>VLOOKUP(Table5[[#This Row],[Date]],'Fed Fund New'!$A:$C,2,FALSE)</f>
        <v/>
      </c>
      <c r="F124" s="27" t="n">
        <v>0.02</v>
      </c>
    </row>
    <row r="125">
      <c r="A125" s="61" t="n">
        <v>28126</v>
      </c>
      <c r="B125" s="68">
        <f>VLOOKUP(Table5[[#This Row],[Date]],Database!A:E,5,)</f>
        <v/>
      </c>
      <c r="C125" s="14">
        <f>(B125-B124)/B124</f>
        <v/>
      </c>
      <c r="D125" s="14">
        <f>(B125-B113)/B113</f>
        <v/>
      </c>
      <c r="E125" s="15">
        <f>VLOOKUP(Table5[[#This Row],[Date]],'Fed Fund New'!$A:$C,2,FALSE)</f>
        <v/>
      </c>
      <c r="F125" s="27" t="n">
        <v>0.02</v>
      </c>
    </row>
    <row r="126">
      <c r="A126" s="61" t="n">
        <v>28157</v>
      </c>
      <c r="B126" s="68">
        <f>VLOOKUP(Table5[[#This Row],[Date]],Database!A:E,5,)</f>
        <v/>
      </c>
      <c r="C126" s="14">
        <f>(B126-B125)/B125</f>
        <v/>
      </c>
      <c r="D126" s="14">
        <f>(B126-B114)/B114</f>
        <v/>
      </c>
      <c r="E126" s="15">
        <f>VLOOKUP(Table5[[#This Row],[Date]],'Fed Fund New'!$A:$C,2,FALSE)</f>
        <v/>
      </c>
      <c r="F126" s="27" t="n">
        <v>0.02</v>
      </c>
    </row>
    <row r="127">
      <c r="A127" s="61" t="n">
        <v>28185</v>
      </c>
      <c r="B127" s="68">
        <f>VLOOKUP(Table5[[#This Row],[Date]],Database!A:E,5,)</f>
        <v/>
      </c>
      <c r="C127" s="14">
        <f>(B127-B126)/B126</f>
        <v/>
      </c>
      <c r="D127" s="14">
        <f>(B127-B115)/B115</f>
        <v/>
      </c>
      <c r="E127" s="15">
        <f>VLOOKUP(Table5[[#This Row],[Date]],'Fed Fund New'!$A:$C,2,FALSE)</f>
        <v/>
      </c>
      <c r="F127" s="27" t="n">
        <v>0.02</v>
      </c>
    </row>
    <row r="128">
      <c r="A128" s="61" t="n">
        <v>28216</v>
      </c>
      <c r="B128" s="68">
        <f>VLOOKUP(Table5[[#This Row],[Date]],Database!A:E,5,)</f>
        <v/>
      </c>
      <c r="C128" s="14">
        <f>(B128-B127)/B127</f>
        <v/>
      </c>
      <c r="D128" s="14">
        <f>(B128-B116)/B116</f>
        <v/>
      </c>
      <c r="E128" s="15">
        <f>VLOOKUP(Table5[[#This Row],[Date]],'Fed Fund New'!$A:$C,2,FALSE)</f>
        <v/>
      </c>
      <c r="F128" s="27" t="n">
        <v>0.02</v>
      </c>
    </row>
    <row r="129">
      <c r="A129" s="61" t="n">
        <v>28246</v>
      </c>
      <c r="B129" s="68">
        <f>VLOOKUP(Table5[[#This Row],[Date]],Database!A:E,5,)</f>
        <v/>
      </c>
      <c r="C129" s="14">
        <f>(B129-B128)/B128</f>
        <v/>
      </c>
      <c r="D129" s="14">
        <f>(B129-B117)/B117</f>
        <v/>
      </c>
      <c r="E129" s="15">
        <f>VLOOKUP(Table5[[#This Row],[Date]],'Fed Fund New'!$A:$C,2,FALSE)</f>
        <v/>
      </c>
      <c r="F129" s="27" t="n">
        <v>0.02</v>
      </c>
    </row>
    <row r="130">
      <c r="A130" s="61" t="n">
        <v>28277</v>
      </c>
      <c r="B130" s="68">
        <f>VLOOKUP(Table5[[#This Row],[Date]],Database!A:E,5,)</f>
        <v/>
      </c>
      <c r="C130" s="14">
        <f>(B130-B129)/B129</f>
        <v/>
      </c>
      <c r="D130" s="14">
        <f>(B130-B118)/B118</f>
        <v/>
      </c>
      <c r="E130" s="15">
        <f>VLOOKUP(Table5[[#This Row],[Date]],'Fed Fund New'!$A:$C,2,FALSE)</f>
        <v/>
      </c>
      <c r="F130" s="27" t="n">
        <v>0.02</v>
      </c>
    </row>
    <row r="131">
      <c r="A131" s="61" t="n">
        <v>28307</v>
      </c>
      <c r="B131" s="68">
        <f>VLOOKUP(Table5[[#This Row],[Date]],Database!A:E,5,)</f>
        <v/>
      </c>
      <c r="C131" s="14">
        <f>(B131-B130)/B130</f>
        <v/>
      </c>
      <c r="D131" s="14">
        <f>(B131-B119)/B119</f>
        <v/>
      </c>
      <c r="E131" s="15">
        <f>VLOOKUP(Table5[[#This Row],[Date]],'Fed Fund New'!$A:$C,2,FALSE)</f>
        <v/>
      </c>
      <c r="F131" s="27" t="n">
        <v>0.02</v>
      </c>
    </row>
    <row r="132">
      <c r="A132" s="61" t="n">
        <v>28338</v>
      </c>
      <c r="B132" s="68">
        <f>VLOOKUP(Table5[[#This Row],[Date]],Database!A:E,5,)</f>
        <v/>
      </c>
      <c r="C132" s="14">
        <f>(B132-B131)/B131</f>
        <v/>
      </c>
      <c r="D132" s="14">
        <f>(B132-B120)/B120</f>
        <v/>
      </c>
      <c r="E132" s="15">
        <f>VLOOKUP(Table5[[#This Row],[Date]],'Fed Fund New'!$A:$C,2,FALSE)</f>
        <v/>
      </c>
      <c r="F132" s="27" t="n">
        <v>0.02</v>
      </c>
    </row>
    <row r="133">
      <c r="A133" s="61" t="n">
        <v>28369</v>
      </c>
      <c r="B133" s="68">
        <f>VLOOKUP(Table5[[#This Row],[Date]],Database!A:E,5,)</f>
        <v/>
      </c>
      <c r="C133" s="14">
        <f>(B133-B132)/B132</f>
        <v/>
      </c>
      <c r="D133" s="14">
        <f>(B133-B121)/B121</f>
        <v/>
      </c>
      <c r="E133" s="15">
        <f>VLOOKUP(Table5[[#This Row],[Date]],'Fed Fund New'!$A:$C,2,FALSE)</f>
        <v/>
      </c>
      <c r="F133" s="27" t="n">
        <v>0.02</v>
      </c>
    </row>
    <row r="134">
      <c r="A134" s="61" t="n">
        <v>28399</v>
      </c>
      <c r="B134" s="68">
        <f>VLOOKUP(Table5[[#This Row],[Date]],Database!A:E,5,)</f>
        <v/>
      </c>
      <c r="C134" s="14">
        <f>(B134-B133)/B133</f>
        <v/>
      </c>
      <c r="D134" s="14">
        <f>(B134-B122)/B122</f>
        <v/>
      </c>
      <c r="E134" s="15">
        <f>VLOOKUP(Table5[[#This Row],[Date]],'Fed Fund New'!$A:$C,2,FALSE)</f>
        <v/>
      </c>
      <c r="F134" s="27" t="n">
        <v>0.02</v>
      </c>
    </row>
    <row r="135">
      <c r="A135" s="61" t="n">
        <v>28430</v>
      </c>
      <c r="B135" s="68">
        <f>VLOOKUP(Table5[[#This Row],[Date]],Database!A:E,5,)</f>
        <v/>
      </c>
      <c r="C135" s="14">
        <f>(B135-B134)/B134</f>
        <v/>
      </c>
      <c r="D135" s="14">
        <f>(B135-B123)/B123</f>
        <v/>
      </c>
      <c r="E135" s="15">
        <f>VLOOKUP(Table5[[#This Row],[Date]],'Fed Fund New'!$A:$C,2,FALSE)</f>
        <v/>
      </c>
      <c r="F135" s="27" t="n">
        <v>0.02</v>
      </c>
    </row>
    <row r="136">
      <c r="A136" s="61" t="n">
        <v>28460</v>
      </c>
      <c r="B136" s="68">
        <f>VLOOKUP(Table5[[#This Row],[Date]],Database!A:E,5,)</f>
        <v/>
      </c>
      <c r="C136" s="14">
        <f>(B136-B135)/B135</f>
        <v/>
      </c>
      <c r="D136" s="14">
        <f>(B136-B124)/B124</f>
        <v/>
      </c>
      <c r="E136" s="15">
        <f>VLOOKUP(Table5[[#This Row],[Date]],'Fed Fund New'!$A:$C,2,FALSE)</f>
        <v/>
      </c>
      <c r="F136" s="27" t="n">
        <v>0.02</v>
      </c>
    </row>
    <row r="137">
      <c r="A137" s="61" t="n">
        <v>28491</v>
      </c>
      <c r="B137" s="68">
        <f>VLOOKUP(Table5[[#This Row],[Date]],Database!A:E,5,)</f>
        <v/>
      </c>
      <c r="C137" s="14">
        <f>(B137-B136)/B136</f>
        <v/>
      </c>
      <c r="D137" s="14">
        <f>(B137-B125)/B125</f>
        <v/>
      </c>
      <c r="E137" s="15">
        <f>VLOOKUP(Table5[[#This Row],[Date]],'Fed Fund New'!$A:$C,2,FALSE)</f>
        <v/>
      </c>
      <c r="F137" s="27" t="n">
        <v>0.02</v>
      </c>
    </row>
    <row r="138">
      <c r="A138" s="61" t="n">
        <v>28522</v>
      </c>
      <c r="B138" s="68">
        <f>VLOOKUP(Table5[[#This Row],[Date]],Database!A:E,5,)</f>
        <v/>
      </c>
      <c r="C138" s="14">
        <f>(B138-B137)/B137</f>
        <v/>
      </c>
      <c r="D138" s="14">
        <f>(B138-B126)/B126</f>
        <v/>
      </c>
      <c r="E138" s="15">
        <f>VLOOKUP(Table5[[#This Row],[Date]],'Fed Fund New'!$A:$C,2,FALSE)</f>
        <v/>
      </c>
      <c r="F138" s="27" t="n">
        <v>0.02</v>
      </c>
    </row>
    <row r="139">
      <c r="A139" s="61" t="n">
        <v>28550</v>
      </c>
      <c r="B139" s="68">
        <f>VLOOKUP(Table5[[#This Row],[Date]],Database!A:E,5,)</f>
        <v/>
      </c>
      <c r="C139" s="14">
        <f>(B139-B138)/B138</f>
        <v/>
      </c>
      <c r="D139" s="14">
        <f>(B139-B127)/B127</f>
        <v/>
      </c>
      <c r="E139" s="15">
        <f>VLOOKUP(Table5[[#This Row],[Date]],'Fed Fund New'!$A:$C,2,FALSE)</f>
        <v/>
      </c>
      <c r="F139" s="27" t="n">
        <v>0.02</v>
      </c>
    </row>
    <row r="140">
      <c r="A140" s="61" t="n">
        <v>28581</v>
      </c>
      <c r="B140" s="68">
        <f>VLOOKUP(Table5[[#This Row],[Date]],Database!A:E,5,)</f>
        <v/>
      </c>
      <c r="C140" s="14">
        <f>(B140-B139)/B139</f>
        <v/>
      </c>
      <c r="D140" s="14">
        <f>(B140-B128)/B128</f>
        <v/>
      </c>
      <c r="E140" s="15">
        <f>VLOOKUP(Table5[[#This Row],[Date]],'Fed Fund New'!$A:$C,2,FALSE)</f>
        <v/>
      </c>
      <c r="F140" s="27" t="n">
        <v>0.02</v>
      </c>
    </row>
    <row r="141">
      <c r="A141" s="61" t="n">
        <v>28611</v>
      </c>
      <c r="B141" s="68">
        <f>VLOOKUP(Table5[[#This Row],[Date]],Database!A:E,5,)</f>
        <v/>
      </c>
      <c r="C141" s="14">
        <f>(B141-B140)/B140</f>
        <v/>
      </c>
      <c r="D141" s="14">
        <f>(B141-B129)/B129</f>
        <v/>
      </c>
      <c r="E141" s="15">
        <f>VLOOKUP(Table5[[#This Row],[Date]],'Fed Fund New'!$A:$C,2,FALSE)</f>
        <v/>
      </c>
      <c r="F141" s="27" t="n">
        <v>0.02</v>
      </c>
    </row>
    <row r="142">
      <c r="A142" s="61" t="n">
        <v>28642</v>
      </c>
      <c r="B142" s="68">
        <f>VLOOKUP(Table5[[#This Row],[Date]],Database!A:E,5,)</f>
        <v/>
      </c>
      <c r="C142" s="14">
        <f>(B142-B141)/B141</f>
        <v/>
      </c>
      <c r="D142" s="14">
        <f>(B142-B130)/B130</f>
        <v/>
      </c>
      <c r="E142" s="15">
        <f>VLOOKUP(Table5[[#This Row],[Date]],'Fed Fund New'!$A:$C,2,FALSE)</f>
        <v/>
      </c>
      <c r="F142" s="27" t="n">
        <v>0.02</v>
      </c>
    </row>
    <row r="143">
      <c r="A143" s="61" t="n">
        <v>28672</v>
      </c>
      <c r="B143" s="68">
        <f>VLOOKUP(Table5[[#This Row],[Date]],Database!A:E,5,)</f>
        <v/>
      </c>
      <c r="C143" s="14">
        <f>(B143-B142)/B142</f>
        <v/>
      </c>
      <c r="D143" s="14">
        <f>(B143-B131)/B131</f>
        <v/>
      </c>
      <c r="E143" s="15">
        <f>VLOOKUP(Table5[[#This Row],[Date]],'Fed Fund New'!$A:$C,2,FALSE)</f>
        <v/>
      </c>
      <c r="F143" s="27" t="n">
        <v>0.02</v>
      </c>
    </row>
    <row r="144">
      <c r="A144" s="61" t="n">
        <v>28703</v>
      </c>
      <c r="B144" s="68">
        <f>VLOOKUP(Table5[[#This Row],[Date]],Database!A:E,5,)</f>
        <v/>
      </c>
      <c r="C144" s="14">
        <f>(B144-B143)/B143</f>
        <v/>
      </c>
      <c r="D144" s="14">
        <f>(B144-B132)/B132</f>
        <v/>
      </c>
      <c r="E144" s="15">
        <f>VLOOKUP(Table5[[#This Row],[Date]],'Fed Fund New'!$A:$C,2,FALSE)</f>
        <v/>
      </c>
      <c r="F144" s="27" t="n">
        <v>0.02</v>
      </c>
    </row>
    <row r="145">
      <c r="A145" s="61" t="n">
        <v>28734</v>
      </c>
      <c r="B145" s="68">
        <f>VLOOKUP(Table5[[#This Row],[Date]],Database!A:E,5,)</f>
        <v/>
      </c>
      <c r="C145" s="14">
        <f>(B145-B144)/B144</f>
        <v/>
      </c>
      <c r="D145" s="14">
        <f>(B145-B133)/B133</f>
        <v/>
      </c>
      <c r="E145" s="15">
        <f>VLOOKUP(Table5[[#This Row],[Date]],'Fed Fund New'!$A:$C,2,FALSE)</f>
        <v/>
      </c>
      <c r="F145" s="27" t="n">
        <v>0.02</v>
      </c>
    </row>
    <row r="146">
      <c r="A146" s="61" t="n">
        <v>28764</v>
      </c>
      <c r="B146" s="68">
        <f>VLOOKUP(Table5[[#This Row],[Date]],Database!A:E,5,)</f>
        <v/>
      </c>
      <c r="C146" s="14">
        <f>(B146-B145)/B145</f>
        <v/>
      </c>
      <c r="D146" s="14">
        <f>(B146-B134)/B134</f>
        <v/>
      </c>
      <c r="E146" s="15">
        <f>VLOOKUP(Table5[[#This Row],[Date]],'Fed Fund New'!$A:$C,2,FALSE)</f>
        <v/>
      </c>
      <c r="F146" s="27" t="n">
        <v>0.02</v>
      </c>
    </row>
    <row r="147">
      <c r="A147" s="61" t="n">
        <v>28795</v>
      </c>
      <c r="B147" s="68">
        <f>VLOOKUP(Table5[[#This Row],[Date]],Database!A:E,5,)</f>
        <v/>
      </c>
      <c r="C147" s="14">
        <f>(B147-B146)/B146</f>
        <v/>
      </c>
      <c r="D147" s="14">
        <f>(B147-B135)/B135</f>
        <v/>
      </c>
      <c r="E147" s="15">
        <f>VLOOKUP(Table5[[#This Row],[Date]],'Fed Fund New'!$A:$C,2,FALSE)</f>
        <v/>
      </c>
      <c r="F147" s="27" t="n">
        <v>0.02</v>
      </c>
    </row>
    <row r="148">
      <c r="A148" s="61" t="n">
        <v>28825</v>
      </c>
      <c r="B148" s="68">
        <f>VLOOKUP(Table5[[#This Row],[Date]],Database!A:E,5,)</f>
        <v/>
      </c>
      <c r="C148" s="14">
        <f>(B148-B147)/B147</f>
        <v/>
      </c>
      <c r="D148" s="14">
        <f>(B148-B136)/B136</f>
        <v/>
      </c>
      <c r="E148" s="15">
        <f>VLOOKUP(Table5[[#This Row],[Date]],'Fed Fund New'!$A:$C,2,FALSE)</f>
        <v/>
      </c>
      <c r="F148" s="27" t="n">
        <v>0.02</v>
      </c>
    </row>
    <row r="149">
      <c r="A149" s="61" t="n">
        <v>28856</v>
      </c>
      <c r="B149" s="68">
        <f>VLOOKUP(Table5[[#This Row],[Date]],Database!A:E,5,)</f>
        <v/>
      </c>
      <c r="C149" s="14">
        <f>(B149-B148)/B148</f>
        <v/>
      </c>
      <c r="D149" s="14">
        <f>(B149-B137)/B137</f>
        <v/>
      </c>
      <c r="E149" s="15">
        <f>VLOOKUP(Table5[[#This Row],[Date]],'Fed Fund New'!$A:$C,2,FALSE)</f>
        <v/>
      </c>
      <c r="F149" s="27" t="n">
        <v>0.02</v>
      </c>
    </row>
    <row r="150">
      <c r="A150" s="61" t="n">
        <v>28887</v>
      </c>
      <c r="B150" s="68">
        <f>VLOOKUP(Table5[[#This Row],[Date]],Database!A:E,5,)</f>
        <v/>
      </c>
      <c r="C150" s="14">
        <f>(B150-B149)/B149</f>
        <v/>
      </c>
      <c r="D150" s="14">
        <f>(B150-B138)/B138</f>
        <v/>
      </c>
      <c r="E150" s="15">
        <f>VLOOKUP(Table5[[#This Row],[Date]],'Fed Fund New'!$A:$C,2,FALSE)</f>
        <v/>
      </c>
      <c r="F150" s="27" t="n">
        <v>0.02</v>
      </c>
    </row>
    <row r="151">
      <c r="A151" s="61" t="n">
        <v>28915</v>
      </c>
      <c r="B151" s="68">
        <f>VLOOKUP(Table5[[#This Row],[Date]],Database!A:E,5,)</f>
        <v/>
      </c>
      <c r="C151" s="14">
        <f>(B151-B150)/B150</f>
        <v/>
      </c>
      <c r="D151" s="14">
        <f>(B151-B139)/B139</f>
        <v/>
      </c>
      <c r="E151" s="15">
        <f>VLOOKUP(Table5[[#This Row],[Date]],'Fed Fund New'!$A:$C,2,FALSE)</f>
        <v/>
      </c>
      <c r="F151" s="27" t="n">
        <v>0.02</v>
      </c>
    </row>
    <row r="152">
      <c r="A152" s="61" t="n">
        <v>28946</v>
      </c>
      <c r="B152" s="68">
        <f>VLOOKUP(Table5[[#This Row],[Date]],Database!A:E,5,)</f>
        <v/>
      </c>
      <c r="C152" s="14">
        <f>(B152-B151)/B151</f>
        <v/>
      </c>
      <c r="D152" s="14">
        <f>(B152-B140)/B140</f>
        <v/>
      </c>
      <c r="E152" s="15">
        <f>VLOOKUP(Table5[[#This Row],[Date]],'Fed Fund New'!$A:$C,2,FALSE)</f>
        <v/>
      </c>
      <c r="F152" s="27" t="n">
        <v>0.02</v>
      </c>
    </row>
    <row r="153">
      <c r="A153" s="61" t="n">
        <v>28976</v>
      </c>
      <c r="B153" s="68">
        <f>VLOOKUP(Table5[[#This Row],[Date]],Database!A:E,5,)</f>
        <v/>
      </c>
      <c r="C153" s="14">
        <f>(B153-B152)/B152</f>
        <v/>
      </c>
      <c r="D153" s="14">
        <f>(B153-B141)/B141</f>
        <v/>
      </c>
      <c r="E153" s="15">
        <f>VLOOKUP(Table5[[#This Row],[Date]],'Fed Fund New'!$A:$C,2,FALSE)</f>
        <v/>
      </c>
      <c r="F153" s="27" t="n">
        <v>0.02</v>
      </c>
    </row>
    <row r="154">
      <c r="A154" s="61" t="n">
        <v>29007</v>
      </c>
      <c r="B154" s="68">
        <f>VLOOKUP(Table5[[#This Row],[Date]],Database!A:E,5,)</f>
        <v/>
      </c>
      <c r="C154" s="14">
        <f>(B154-B153)/B153</f>
        <v/>
      </c>
      <c r="D154" s="14">
        <f>(B154-B142)/B142</f>
        <v/>
      </c>
      <c r="E154" s="15">
        <f>VLOOKUP(Table5[[#This Row],[Date]],'Fed Fund New'!$A:$C,2,FALSE)</f>
        <v/>
      </c>
      <c r="F154" s="27" t="n">
        <v>0.02</v>
      </c>
    </row>
    <row r="155">
      <c r="A155" s="61" t="n">
        <v>29037</v>
      </c>
      <c r="B155" s="68">
        <f>VLOOKUP(Table5[[#This Row],[Date]],Database!A:E,5,)</f>
        <v/>
      </c>
      <c r="C155" s="14">
        <f>(B155-B154)/B154</f>
        <v/>
      </c>
      <c r="D155" s="14">
        <f>(B155-B143)/B143</f>
        <v/>
      </c>
      <c r="E155" s="15">
        <f>VLOOKUP(Table5[[#This Row],[Date]],'Fed Fund New'!$A:$C,2,FALSE)</f>
        <v/>
      </c>
      <c r="F155" s="27" t="n">
        <v>0.02</v>
      </c>
    </row>
    <row r="156">
      <c r="A156" s="61" t="n">
        <v>29068</v>
      </c>
      <c r="B156" s="68">
        <f>VLOOKUP(Table5[[#This Row],[Date]],Database!A:E,5,)</f>
        <v/>
      </c>
      <c r="C156" s="14">
        <f>(B156-B155)/B155</f>
        <v/>
      </c>
      <c r="D156" s="14">
        <f>(B156-B144)/B144</f>
        <v/>
      </c>
      <c r="E156" s="15">
        <f>VLOOKUP(Table5[[#This Row],[Date]],'Fed Fund New'!$A:$C,2,FALSE)</f>
        <v/>
      </c>
      <c r="F156" s="27" t="n">
        <v>0.02</v>
      </c>
    </row>
    <row r="157">
      <c r="A157" s="61" t="n">
        <v>29099</v>
      </c>
      <c r="B157" s="68">
        <f>VLOOKUP(Table5[[#This Row],[Date]],Database!A:E,5,)</f>
        <v/>
      </c>
      <c r="C157" s="14">
        <f>(B157-B156)/B156</f>
        <v/>
      </c>
      <c r="D157" s="14">
        <f>(B157-B145)/B145</f>
        <v/>
      </c>
      <c r="E157" s="15">
        <f>VLOOKUP(Table5[[#This Row],[Date]],'Fed Fund New'!$A:$C,2,FALSE)</f>
        <v/>
      </c>
      <c r="F157" s="27" t="n">
        <v>0.02</v>
      </c>
    </row>
    <row r="158">
      <c r="A158" s="61" t="n">
        <v>29129</v>
      </c>
      <c r="B158" s="68">
        <f>VLOOKUP(Table5[[#This Row],[Date]],Database!A:E,5,)</f>
        <v/>
      </c>
      <c r="C158" s="14">
        <f>(B158-B157)/B157</f>
        <v/>
      </c>
      <c r="D158" s="14">
        <f>(B158-B146)/B146</f>
        <v/>
      </c>
      <c r="E158" s="15">
        <f>VLOOKUP(Table5[[#This Row],[Date]],'Fed Fund New'!$A:$C,2,FALSE)</f>
        <v/>
      </c>
      <c r="F158" s="27" t="n">
        <v>0.02</v>
      </c>
    </row>
    <row r="159">
      <c r="A159" s="61" t="n">
        <v>29160</v>
      </c>
      <c r="B159" s="68">
        <f>VLOOKUP(Table5[[#This Row],[Date]],Database!A:E,5,)</f>
        <v/>
      </c>
      <c r="C159" s="14">
        <f>(B159-B158)/B158</f>
        <v/>
      </c>
      <c r="D159" s="14">
        <f>(B159-B147)/B147</f>
        <v/>
      </c>
      <c r="E159" s="15">
        <f>VLOOKUP(Table5[[#This Row],[Date]],'Fed Fund New'!$A:$C,2,FALSE)</f>
        <v/>
      </c>
      <c r="F159" s="27" t="n">
        <v>0.02</v>
      </c>
    </row>
    <row r="160">
      <c r="A160" s="61" t="n">
        <v>29190</v>
      </c>
      <c r="B160" s="68">
        <f>VLOOKUP(Table5[[#This Row],[Date]],Database!A:E,5,)</f>
        <v/>
      </c>
      <c r="C160" s="14">
        <f>(B160-B159)/B159</f>
        <v/>
      </c>
      <c r="D160" s="14">
        <f>(B160-B148)/B148</f>
        <v/>
      </c>
      <c r="E160" s="15">
        <f>VLOOKUP(Table5[[#This Row],[Date]],'Fed Fund New'!$A:$C,2,FALSE)</f>
        <v/>
      </c>
      <c r="F160" s="27" t="n">
        <v>0.02</v>
      </c>
    </row>
    <row r="161">
      <c r="A161" s="61" t="n">
        <v>29221</v>
      </c>
      <c r="B161" s="68">
        <f>VLOOKUP(Table5[[#This Row],[Date]],Database!A:E,5,)</f>
        <v/>
      </c>
      <c r="C161" s="14">
        <f>(B161-B160)/B160</f>
        <v/>
      </c>
      <c r="D161" s="14">
        <f>(B161-B149)/B149</f>
        <v/>
      </c>
      <c r="E161" s="15">
        <f>VLOOKUP(Table5[[#This Row],[Date]],'Fed Fund New'!$A:$C,2,FALSE)</f>
        <v/>
      </c>
      <c r="F161" s="27" t="n">
        <v>0.02</v>
      </c>
    </row>
    <row r="162">
      <c r="A162" s="61" t="n">
        <v>29252</v>
      </c>
      <c r="B162" s="68">
        <f>VLOOKUP(Table5[[#This Row],[Date]],Database!A:E,5,)</f>
        <v/>
      </c>
      <c r="C162" s="14">
        <f>(B162-B161)/B161</f>
        <v/>
      </c>
      <c r="D162" s="14">
        <f>(B162-B150)/B150</f>
        <v/>
      </c>
      <c r="E162" s="15">
        <f>VLOOKUP(Table5[[#This Row],[Date]],'Fed Fund New'!$A:$C,2,FALSE)</f>
        <v/>
      </c>
      <c r="F162" s="27" t="n">
        <v>0.02</v>
      </c>
    </row>
    <row r="163">
      <c r="A163" s="61" t="n">
        <v>29281</v>
      </c>
      <c r="B163" s="68">
        <f>VLOOKUP(Table5[[#This Row],[Date]],Database!A:E,5,)</f>
        <v/>
      </c>
      <c r="C163" s="14">
        <f>(B163-B162)/B162</f>
        <v/>
      </c>
      <c r="D163" s="14">
        <f>(B163-B151)/B151</f>
        <v/>
      </c>
      <c r="E163" s="15">
        <f>VLOOKUP(Table5[[#This Row],[Date]],'Fed Fund New'!$A:$C,2,FALSE)</f>
        <v/>
      </c>
      <c r="F163" s="27" t="n">
        <v>0.02</v>
      </c>
    </row>
    <row r="164">
      <c r="A164" s="61" t="n">
        <v>29312</v>
      </c>
      <c r="B164" s="68">
        <f>VLOOKUP(Table5[[#This Row],[Date]],Database!A:E,5,)</f>
        <v/>
      </c>
      <c r="C164" s="14">
        <f>(B164-B163)/B163</f>
        <v/>
      </c>
      <c r="D164" s="14">
        <f>(B164-B152)/B152</f>
        <v/>
      </c>
      <c r="E164" s="15">
        <f>VLOOKUP(Table5[[#This Row],[Date]],'Fed Fund New'!$A:$C,2,FALSE)</f>
        <v/>
      </c>
      <c r="F164" s="27" t="n">
        <v>0.02</v>
      </c>
    </row>
    <row r="165">
      <c r="A165" s="61" t="n">
        <v>29342</v>
      </c>
      <c r="B165" s="68">
        <f>VLOOKUP(Table5[[#This Row],[Date]],Database!A:E,5,)</f>
        <v/>
      </c>
      <c r="C165" s="14">
        <f>(B165-B164)/B164</f>
        <v/>
      </c>
      <c r="D165" s="14">
        <f>(B165-B153)/B153</f>
        <v/>
      </c>
      <c r="E165" s="15">
        <f>VLOOKUP(Table5[[#This Row],[Date]],'Fed Fund New'!$A:$C,2,FALSE)</f>
        <v/>
      </c>
      <c r="F165" s="27" t="n">
        <v>0.02</v>
      </c>
    </row>
    <row r="166">
      <c r="A166" s="61" t="n">
        <v>29373</v>
      </c>
      <c r="B166" s="68">
        <f>VLOOKUP(Table5[[#This Row],[Date]],Database!A:E,5,)</f>
        <v/>
      </c>
      <c r="C166" s="14">
        <f>(B166-B165)/B165</f>
        <v/>
      </c>
      <c r="D166" s="14">
        <f>(B166-B154)/B154</f>
        <v/>
      </c>
      <c r="E166" s="15">
        <f>VLOOKUP(Table5[[#This Row],[Date]],'Fed Fund New'!$A:$C,2,FALSE)</f>
        <v/>
      </c>
      <c r="F166" s="27" t="n">
        <v>0.02</v>
      </c>
    </row>
    <row r="167">
      <c r="A167" s="61" t="n">
        <v>29403</v>
      </c>
      <c r="B167" s="68">
        <f>VLOOKUP(Table5[[#This Row],[Date]],Database!A:E,5,)</f>
        <v/>
      </c>
      <c r="C167" s="14">
        <f>(B167-B166)/B166</f>
        <v/>
      </c>
      <c r="D167" s="14">
        <f>(B167-B155)/B155</f>
        <v/>
      </c>
      <c r="E167" s="15">
        <f>VLOOKUP(Table5[[#This Row],[Date]],'Fed Fund New'!$A:$C,2,FALSE)</f>
        <v/>
      </c>
      <c r="F167" s="27" t="n">
        <v>0.02</v>
      </c>
    </row>
    <row r="168">
      <c r="A168" s="61" t="n">
        <v>29434</v>
      </c>
      <c r="B168" s="68">
        <f>VLOOKUP(Table5[[#This Row],[Date]],Database!A:E,5,)</f>
        <v/>
      </c>
      <c r="C168" s="14">
        <f>(B168-B167)/B167</f>
        <v/>
      </c>
      <c r="D168" s="14">
        <f>(B168-B156)/B156</f>
        <v/>
      </c>
      <c r="E168" s="15">
        <f>VLOOKUP(Table5[[#This Row],[Date]],'Fed Fund New'!$A:$C,2,FALSE)</f>
        <v/>
      </c>
      <c r="F168" s="27" t="n">
        <v>0.02</v>
      </c>
    </row>
    <row r="169">
      <c r="A169" s="61" t="n">
        <v>29465</v>
      </c>
      <c r="B169" s="68">
        <f>VLOOKUP(Table5[[#This Row],[Date]],Database!A:E,5,)</f>
        <v/>
      </c>
      <c r="C169" s="14">
        <f>(B169-B168)/B168</f>
        <v/>
      </c>
      <c r="D169" s="14">
        <f>(B169-B157)/B157</f>
        <v/>
      </c>
      <c r="E169" s="15">
        <f>VLOOKUP(Table5[[#This Row],[Date]],'Fed Fund New'!$A:$C,2,FALSE)</f>
        <v/>
      </c>
      <c r="F169" s="27" t="n">
        <v>0.02</v>
      </c>
    </row>
    <row r="170">
      <c r="A170" s="61" t="n">
        <v>29495</v>
      </c>
      <c r="B170" s="68">
        <f>VLOOKUP(Table5[[#This Row],[Date]],Database!A:E,5,)</f>
        <v/>
      </c>
      <c r="C170" s="14">
        <f>(B170-B169)/B169</f>
        <v/>
      </c>
      <c r="D170" s="14">
        <f>(B170-B158)/B158</f>
        <v/>
      </c>
      <c r="E170" s="15">
        <f>VLOOKUP(Table5[[#This Row],[Date]],'Fed Fund New'!$A:$C,2,FALSE)</f>
        <v/>
      </c>
      <c r="F170" s="27" t="n">
        <v>0.02</v>
      </c>
    </row>
    <row r="171">
      <c r="A171" s="61" t="n">
        <v>29526</v>
      </c>
      <c r="B171" s="68">
        <f>VLOOKUP(Table5[[#This Row],[Date]],Database!A:E,5,)</f>
        <v/>
      </c>
      <c r="C171" s="14">
        <f>(B171-B170)/B170</f>
        <v/>
      </c>
      <c r="D171" s="14">
        <f>(B171-B159)/B159</f>
        <v/>
      </c>
      <c r="E171" s="15">
        <f>VLOOKUP(Table5[[#This Row],[Date]],'Fed Fund New'!$A:$C,2,FALSE)</f>
        <v/>
      </c>
      <c r="F171" s="27" t="n">
        <v>0.02</v>
      </c>
    </row>
    <row r="172">
      <c r="A172" s="61" t="n">
        <v>29556</v>
      </c>
      <c r="B172" s="68">
        <f>VLOOKUP(Table5[[#This Row],[Date]],Database!A:E,5,)</f>
        <v/>
      </c>
      <c r="C172" s="14">
        <f>(B172-B171)/B171</f>
        <v/>
      </c>
      <c r="D172" s="14">
        <f>(B172-B160)/B160</f>
        <v/>
      </c>
      <c r="E172" s="15">
        <f>VLOOKUP(Table5[[#This Row],[Date]],'Fed Fund New'!$A:$C,2,FALSE)</f>
        <v/>
      </c>
      <c r="F172" s="27" t="n">
        <v>0.02</v>
      </c>
    </row>
    <row r="173">
      <c r="A173" s="61" t="n">
        <v>29587</v>
      </c>
      <c r="B173" s="68">
        <f>VLOOKUP(Table5[[#This Row],[Date]],Database!A:E,5,)</f>
        <v/>
      </c>
      <c r="C173" s="14">
        <f>(B173-B172)/B172</f>
        <v/>
      </c>
      <c r="D173" s="14">
        <f>(B173-B161)/B161</f>
        <v/>
      </c>
      <c r="E173" s="15">
        <f>VLOOKUP(Table5[[#This Row],[Date]],'Fed Fund New'!$A:$C,2,FALSE)</f>
        <v/>
      </c>
      <c r="F173" s="27" t="n">
        <v>0.02</v>
      </c>
    </row>
    <row r="174">
      <c r="A174" s="61" t="n">
        <v>29618</v>
      </c>
      <c r="B174" s="68">
        <f>VLOOKUP(Table5[[#This Row],[Date]],Database!A:E,5,)</f>
        <v/>
      </c>
      <c r="C174" s="14">
        <f>(B174-B173)/B173</f>
        <v/>
      </c>
      <c r="D174" s="14">
        <f>(B174-B162)/B162</f>
        <v/>
      </c>
      <c r="E174" s="15">
        <f>VLOOKUP(Table5[[#This Row],[Date]],'Fed Fund New'!$A:$C,2,FALSE)</f>
        <v/>
      </c>
      <c r="F174" s="27" t="n">
        <v>0.02</v>
      </c>
    </row>
    <row r="175">
      <c r="A175" s="61" t="n">
        <v>29646</v>
      </c>
      <c r="B175" s="68">
        <f>VLOOKUP(Table5[[#This Row],[Date]],Database!A:E,5,)</f>
        <v/>
      </c>
      <c r="C175" s="14">
        <f>(B175-B174)/B174</f>
        <v/>
      </c>
      <c r="D175" s="14">
        <f>(B175-B163)/B163</f>
        <v/>
      </c>
      <c r="E175" s="15">
        <f>VLOOKUP(Table5[[#This Row],[Date]],'Fed Fund New'!$A:$C,2,FALSE)</f>
        <v/>
      </c>
      <c r="F175" s="27" t="n">
        <v>0.02</v>
      </c>
    </row>
    <row r="176">
      <c r="A176" s="61" t="n">
        <v>29677</v>
      </c>
      <c r="B176" s="68">
        <f>VLOOKUP(Table5[[#This Row],[Date]],Database!A:E,5,)</f>
        <v/>
      </c>
      <c r="C176" s="14">
        <f>(B176-B175)/B175</f>
        <v/>
      </c>
      <c r="D176" s="14">
        <f>(B176-B164)/B164</f>
        <v/>
      </c>
      <c r="E176" s="15">
        <f>VLOOKUP(Table5[[#This Row],[Date]],'Fed Fund New'!$A:$C,2,FALSE)</f>
        <v/>
      </c>
      <c r="F176" s="27" t="n">
        <v>0.02</v>
      </c>
    </row>
    <row r="177">
      <c r="A177" s="61" t="n">
        <v>29707</v>
      </c>
      <c r="B177" s="68">
        <f>VLOOKUP(Table5[[#This Row],[Date]],Database!A:E,5,)</f>
        <v/>
      </c>
      <c r="C177" s="14">
        <f>(B177-B176)/B176</f>
        <v/>
      </c>
      <c r="D177" s="14">
        <f>(B177-B165)/B165</f>
        <v/>
      </c>
      <c r="E177" s="15">
        <f>VLOOKUP(Table5[[#This Row],[Date]],'Fed Fund New'!$A:$C,2,FALSE)</f>
        <v/>
      </c>
      <c r="F177" s="27" t="n">
        <v>0.02</v>
      </c>
    </row>
    <row r="178">
      <c r="A178" s="61" t="n">
        <v>29738</v>
      </c>
      <c r="B178" s="68">
        <f>VLOOKUP(Table5[[#This Row],[Date]],Database!A:E,5,)</f>
        <v/>
      </c>
      <c r="C178" s="14">
        <f>(B178-B177)/B177</f>
        <v/>
      </c>
      <c r="D178" s="14">
        <f>(B178-B166)/B166</f>
        <v/>
      </c>
      <c r="E178" s="15">
        <f>VLOOKUP(Table5[[#This Row],[Date]],'Fed Fund New'!$A:$C,2,FALSE)</f>
        <v/>
      </c>
      <c r="F178" s="27" t="n">
        <v>0.02</v>
      </c>
    </row>
    <row r="179">
      <c r="A179" s="61" t="n">
        <v>29768</v>
      </c>
      <c r="B179" s="68">
        <f>VLOOKUP(Table5[[#This Row],[Date]],Database!A:E,5,)</f>
        <v/>
      </c>
      <c r="C179" s="14">
        <f>(B179-B178)/B178</f>
        <v/>
      </c>
      <c r="D179" s="14">
        <f>(B179-B167)/B167</f>
        <v/>
      </c>
      <c r="E179" s="15">
        <f>VLOOKUP(Table5[[#This Row],[Date]],'Fed Fund New'!$A:$C,2,FALSE)</f>
        <v/>
      </c>
      <c r="F179" s="27" t="n">
        <v>0.02</v>
      </c>
    </row>
    <row r="180">
      <c r="A180" s="61" t="n">
        <v>29799</v>
      </c>
      <c r="B180" s="68">
        <f>VLOOKUP(Table5[[#This Row],[Date]],Database!A:E,5,)</f>
        <v/>
      </c>
      <c r="C180" s="14">
        <f>(B180-B179)/B179</f>
        <v/>
      </c>
      <c r="D180" s="14">
        <f>(B180-B168)/B168</f>
        <v/>
      </c>
      <c r="E180" s="15">
        <f>VLOOKUP(Table5[[#This Row],[Date]],'Fed Fund New'!$A:$C,2,FALSE)</f>
        <v/>
      </c>
      <c r="F180" s="27" t="n">
        <v>0.02</v>
      </c>
    </row>
    <row r="181">
      <c r="A181" s="61" t="n">
        <v>29830</v>
      </c>
      <c r="B181" s="68">
        <f>VLOOKUP(Table5[[#This Row],[Date]],Database!A:E,5,)</f>
        <v/>
      </c>
      <c r="C181" s="14">
        <f>(B181-B180)/B180</f>
        <v/>
      </c>
      <c r="D181" s="14">
        <f>(B181-B169)/B169</f>
        <v/>
      </c>
      <c r="E181" s="15">
        <f>VLOOKUP(Table5[[#This Row],[Date]],'Fed Fund New'!$A:$C,2,FALSE)</f>
        <v/>
      </c>
      <c r="F181" s="27" t="n">
        <v>0.02</v>
      </c>
    </row>
    <row r="182">
      <c r="A182" s="61" t="n">
        <v>29860</v>
      </c>
      <c r="B182" s="68">
        <f>VLOOKUP(Table5[[#This Row],[Date]],Database!A:E,5,)</f>
        <v/>
      </c>
      <c r="C182" s="14">
        <f>(B182-B181)/B181</f>
        <v/>
      </c>
      <c r="D182" s="14">
        <f>(B182-B170)/B170</f>
        <v/>
      </c>
      <c r="E182" s="15">
        <f>VLOOKUP(Table5[[#This Row],[Date]],'Fed Fund New'!$A:$C,2,FALSE)</f>
        <v/>
      </c>
      <c r="F182" s="27" t="n">
        <v>0.02</v>
      </c>
    </row>
    <row r="183">
      <c r="A183" s="61" t="n">
        <v>29891</v>
      </c>
      <c r="B183" s="68">
        <f>VLOOKUP(Table5[[#This Row],[Date]],Database!A:E,5,)</f>
        <v/>
      </c>
      <c r="C183" s="14">
        <f>(B183-B182)/B182</f>
        <v/>
      </c>
      <c r="D183" s="14">
        <f>(B183-B171)/B171</f>
        <v/>
      </c>
      <c r="E183" s="15">
        <f>VLOOKUP(Table5[[#This Row],[Date]],'Fed Fund New'!$A:$C,2,FALSE)</f>
        <v/>
      </c>
      <c r="F183" s="27" t="n">
        <v>0.02</v>
      </c>
    </row>
    <row r="184">
      <c r="A184" s="61" t="n">
        <v>29921</v>
      </c>
      <c r="B184" s="68">
        <f>VLOOKUP(Table5[[#This Row],[Date]],Database!A:E,5,)</f>
        <v/>
      </c>
      <c r="C184" s="14">
        <f>(B184-B183)/B183</f>
        <v/>
      </c>
      <c r="D184" s="14">
        <f>(B184-B172)/B172</f>
        <v/>
      </c>
      <c r="E184" s="15">
        <f>VLOOKUP(Table5[[#This Row],[Date]],'Fed Fund New'!$A:$C,2,FALSE)</f>
        <v/>
      </c>
      <c r="F184" s="27" t="n">
        <v>0.02</v>
      </c>
    </row>
    <row r="185">
      <c r="A185" s="61" t="n">
        <v>29952</v>
      </c>
      <c r="B185" s="68">
        <f>VLOOKUP(Table5[[#This Row],[Date]],Database!A:E,5,)</f>
        <v/>
      </c>
      <c r="C185" s="14">
        <f>(B185-B184)/B184</f>
        <v/>
      </c>
      <c r="D185" s="14">
        <f>(B185-B173)/B173</f>
        <v/>
      </c>
      <c r="E185" s="15">
        <f>VLOOKUP(Table5[[#This Row],[Date]],'Fed Fund New'!$A:$C,2,FALSE)</f>
        <v/>
      </c>
      <c r="F185" s="27" t="n">
        <v>0.02</v>
      </c>
    </row>
    <row r="186">
      <c r="A186" s="61" t="n">
        <v>29983</v>
      </c>
      <c r="B186" s="68">
        <f>VLOOKUP(Table5[[#This Row],[Date]],Database!A:E,5,)</f>
        <v/>
      </c>
      <c r="C186" s="14">
        <f>(B186-B185)/B185</f>
        <v/>
      </c>
      <c r="D186" s="14">
        <f>(B186-B174)/B174</f>
        <v/>
      </c>
      <c r="E186" s="15">
        <f>VLOOKUP(Table5[[#This Row],[Date]],'Fed Fund New'!$A:$C,2,FALSE)</f>
        <v/>
      </c>
      <c r="F186" s="27" t="n">
        <v>0.02</v>
      </c>
    </row>
    <row r="187">
      <c r="A187" s="61" t="n">
        <v>30011</v>
      </c>
      <c r="B187" s="68">
        <f>VLOOKUP(Table5[[#This Row],[Date]],Database!A:E,5,)</f>
        <v/>
      </c>
      <c r="C187" s="14">
        <f>(B187-B186)/B186</f>
        <v/>
      </c>
      <c r="D187" s="14">
        <f>(B187-B175)/B175</f>
        <v/>
      </c>
      <c r="E187" s="15">
        <f>VLOOKUP(Table5[[#This Row],[Date]],'Fed Fund New'!$A:$C,2,FALSE)</f>
        <v/>
      </c>
      <c r="F187" s="27" t="n">
        <v>0.02</v>
      </c>
    </row>
    <row r="188">
      <c r="A188" s="61" t="n">
        <v>30042</v>
      </c>
      <c r="B188" s="68">
        <f>VLOOKUP(Table5[[#This Row],[Date]],Database!A:E,5,)</f>
        <v/>
      </c>
      <c r="C188" s="14">
        <f>(B188-B187)/B187</f>
        <v/>
      </c>
      <c r="D188" s="14">
        <f>(B188-B176)/B176</f>
        <v/>
      </c>
      <c r="E188" s="15">
        <f>VLOOKUP(Table5[[#This Row],[Date]],'Fed Fund New'!$A:$C,2,FALSE)</f>
        <v/>
      </c>
      <c r="F188" s="27" t="n">
        <v>0.02</v>
      </c>
    </row>
    <row r="189">
      <c r="A189" s="61" t="n">
        <v>30072</v>
      </c>
      <c r="B189" s="68">
        <f>VLOOKUP(Table5[[#This Row],[Date]],Database!A:E,5,)</f>
        <v/>
      </c>
      <c r="C189" s="14">
        <f>(B189-B188)/B188</f>
        <v/>
      </c>
      <c r="D189" s="14">
        <f>(B189-B177)/B177</f>
        <v/>
      </c>
      <c r="E189" s="15">
        <f>VLOOKUP(Table5[[#This Row],[Date]],'Fed Fund New'!$A:$C,2,FALSE)</f>
        <v/>
      </c>
      <c r="F189" s="27" t="n">
        <v>0.02</v>
      </c>
    </row>
    <row r="190">
      <c r="A190" s="61" t="n">
        <v>30103</v>
      </c>
      <c r="B190" s="68">
        <f>VLOOKUP(Table5[[#This Row],[Date]],Database!A:E,5,)</f>
        <v/>
      </c>
      <c r="C190" s="14">
        <f>(B190-B189)/B189</f>
        <v/>
      </c>
      <c r="D190" s="14">
        <f>(B190-B178)/B178</f>
        <v/>
      </c>
      <c r="E190" s="15">
        <f>VLOOKUP(Table5[[#This Row],[Date]],'Fed Fund New'!$A:$C,2,FALSE)</f>
        <v/>
      </c>
      <c r="F190" s="27" t="n">
        <v>0.02</v>
      </c>
    </row>
    <row r="191">
      <c r="A191" s="61" t="n">
        <v>30133</v>
      </c>
      <c r="B191" s="68">
        <f>VLOOKUP(Table5[[#This Row],[Date]],Database!A:E,5,)</f>
        <v/>
      </c>
      <c r="C191" s="14">
        <f>(B191-B190)/B190</f>
        <v/>
      </c>
      <c r="D191" s="14">
        <f>(B191-B179)/B179</f>
        <v/>
      </c>
      <c r="E191" s="15">
        <f>VLOOKUP(Table5[[#This Row],[Date]],'Fed Fund New'!$A:$C,2,FALSE)</f>
        <v/>
      </c>
      <c r="F191" s="27" t="n">
        <v>0.02</v>
      </c>
    </row>
    <row r="192">
      <c r="A192" s="61" t="n">
        <v>30164</v>
      </c>
      <c r="B192" s="68">
        <f>VLOOKUP(Table5[[#This Row],[Date]],Database!A:E,5,)</f>
        <v/>
      </c>
      <c r="C192" s="14">
        <f>(B192-B191)/B191</f>
        <v/>
      </c>
      <c r="D192" s="14">
        <f>(B192-B180)/B180</f>
        <v/>
      </c>
      <c r="E192" s="15">
        <f>VLOOKUP(Table5[[#This Row],[Date]],'Fed Fund New'!$A:$C,2,FALSE)</f>
        <v/>
      </c>
      <c r="F192" s="27" t="n">
        <v>0.02</v>
      </c>
    </row>
    <row r="193">
      <c r="A193" s="61" t="n">
        <v>30195</v>
      </c>
      <c r="B193" s="68">
        <f>VLOOKUP(Table5[[#This Row],[Date]],Database!A:E,5,)</f>
        <v/>
      </c>
      <c r="C193" s="14">
        <f>(B193-B192)/B192</f>
        <v/>
      </c>
      <c r="D193" s="14">
        <f>(B193-B181)/B181</f>
        <v/>
      </c>
      <c r="E193" s="15">
        <f>VLOOKUP(Table5[[#This Row],[Date]],'Fed Fund New'!$A:$C,2,FALSE)</f>
        <v/>
      </c>
      <c r="F193" s="27" t="n">
        <v>0.02</v>
      </c>
    </row>
    <row r="194">
      <c r="A194" s="61" t="n">
        <v>30225</v>
      </c>
      <c r="B194" s="68">
        <f>VLOOKUP(Table5[[#This Row],[Date]],Database!A:E,5,)</f>
        <v/>
      </c>
      <c r="C194" s="14">
        <f>(B194-B193)/B193</f>
        <v/>
      </c>
      <c r="D194" s="14">
        <f>(B194-B182)/B182</f>
        <v/>
      </c>
      <c r="E194" s="15">
        <f>VLOOKUP(Table5[[#This Row],[Date]],'Fed Fund New'!$A:$C,2,FALSE)</f>
        <v/>
      </c>
      <c r="F194" s="27" t="n">
        <v>0.02</v>
      </c>
    </row>
    <row r="195">
      <c r="A195" s="61" t="n">
        <v>30256</v>
      </c>
      <c r="B195" s="68">
        <f>VLOOKUP(Table5[[#This Row],[Date]],Database!A:E,5,)</f>
        <v/>
      </c>
      <c r="C195" s="14">
        <f>(B195-B194)/B194</f>
        <v/>
      </c>
      <c r="D195" s="14">
        <f>(B195-B183)/B183</f>
        <v/>
      </c>
      <c r="E195" s="15">
        <f>VLOOKUP(Table5[[#This Row],[Date]],'Fed Fund New'!$A:$C,2,FALSE)</f>
        <v/>
      </c>
      <c r="F195" s="27" t="n">
        <v>0.02</v>
      </c>
    </row>
    <row r="196">
      <c r="A196" s="61" t="n">
        <v>30286</v>
      </c>
      <c r="B196" s="68">
        <f>VLOOKUP(Table5[[#This Row],[Date]],Database!A:E,5,)</f>
        <v/>
      </c>
      <c r="C196" s="14">
        <f>(B196-B195)/B195</f>
        <v/>
      </c>
      <c r="D196" s="14">
        <f>(B196-B184)/B184</f>
        <v/>
      </c>
      <c r="E196" s="15">
        <f>VLOOKUP(Table5[[#This Row],[Date]],'Fed Fund New'!$A:$C,2,FALSE)</f>
        <v/>
      </c>
      <c r="F196" s="27" t="n">
        <v>0.02</v>
      </c>
    </row>
    <row r="197">
      <c r="A197" s="61" t="n">
        <v>30317</v>
      </c>
      <c r="B197" s="68">
        <f>VLOOKUP(Table5[[#This Row],[Date]],Database!A:E,5,)</f>
        <v/>
      </c>
      <c r="C197" s="14">
        <f>(B197-B196)/B196</f>
        <v/>
      </c>
      <c r="D197" s="14">
        <f>(B197-B185)/B185</f>
        <v/>
      </c>
      <c r="E197" s="15">
        <f>VLOOKUP(Table5[[#This Row],[Date]],'Fed Fund New'!$A:$C,2,FALSE)</f>
        <v/>
      </c>
      <c r="F197" s="27" t="n">
        <v>0.02</v>
      </c>
    </row>
    <row r="198">
      <c r="A198" s="61" t="n">
        <v>30348</v>
      </c>
      <c r="B198" s="68">
        <f>VLOOKUP(Table5[[#This Row],[Date]],Database!A:E,5,)</f>
        <v/>
      </c>
      <c r="C198" s="14">
        <f>(B198-B197)/B197</f>
        <v/>
      </c>
      <c r="D198" s="14">
        <f>(B198-B186)/B186</f>
        <v/>
      </c>
      <c r="E198" s="15">
        <f>VLOOKUP(Table5[[#This Row],[Date]],'Fed Fund New'!$A:$C,2,FALSE)</f>
        <v/>
      </c>
      <c r="F198" s="27" t="n">
        <v>0.02</v>
      </c>
    </row>
    <row r="199">
      <c r="A199" s="61" t="n">
        <v>30376</v>
      </c>
      <c r="B199" s="68">
        <f>VLOOKUP(Table5[[#This Row],[Date]],Database!A:E,5,)</f>
        <v/>
      </c>
      <c r="C199" s="14">
        <f>(B199-B198)/B198</f>
        <v/>
      </c>
      <c r="D199" s="14">
        <f>(B199-B187)/B187</f>
        <v/>
      </c>
      <c r="E199" s="15">
        <f>VLOOKUP(Table5[[#This Row],[Date]],'Fed Fund New'!$A:$C,2,FALSE)</f>
        <v/>
      </c>
      <c r="F199" s="27" t="n">
        <v>0.02</v>
      </c>
    </row>
    <row r="200">
      <c r="A200" s="61" t="n">
        <v>30407</v>
      </c>
      <c r="B200" s="68">
        <f>VLOOKUP(Table5[[#This Row],[Date]],Database!A:E,5,)</f>
        <v/>
      </c>
      <c r="C200" s="14">
        <f>(B200-B199)/B199</f>
        <v/>
      </c>
      <c r="D200" s="14">
        <f>(B200-B188)/B188</f>
        <v/>
      </c>
      <c r="E200" s="15">
        <f>VLOOKUP(Table5[[#This Row],[Date]],'Fed Fund New'!$A:$C,2,FALSE)</f>
        <v/>
      </c>
      <c r="F200" s="27" t="n">
        <v>0.02</v>
      </c>
    </row>
    <row r="201">
      <c r="A201" s="61" t="n">
        <v>30437</v>
      </c>
      <c r="B201" s="68">
        <f>VLOOKUP(Table5[[#This Row],[Date]],Database!A:E,5,)</f>
        <v/>
      </c>
      <c r="C201" s="14">
        <f>(B201-B200)/B200</f>
        <v/>
      </c>
      <c r="D201" s="14">
        <f>(B201-B189)/B189</f>
        <v/>
      </c>
      <c r="E201" s="15">
        <f>VLOOKUP(Table5[[#This Row],[Date]],'Fed Fund New'!$A:$C,2,FALSE)</f>
        <v/>
      </c>
      <c r="F201" s="27" t="n">
        <v>0.02</v>
      </c>
    </row>
    <row r="202">
      <c r="A202" s="61" t="n">
        <v>30468</v>
      </c>
      <c r="B202" s="68">
        <f>VLOOKUP(Table5[[#This Row],[Date]],Database!A:E,5,)</f>
        <v/>
      </c>
      <c r="C202" s="14">
        <f>(B202-B201)/B201</f>
        <v/>
      </c>
      <c r="D202" s="14">
        <f>(B202-B190)/B190</f>
        <v/>
      </c>
      <c r="E202" s="15">
        <f>VLOOKUP(Table5[[#This Row],[Date]],'Fed Fund New'!$A:$C,2,FALSE)</f>
        <v/>
      </c>
      <c r="F202" s="27" t="n">
        <v>0.02</v>
      </c>
    </row>
    <row r="203">
      <c r="A203" s="61" t="n">
        <v>30498</v>
      </c>
      <c r="B203" s="68">
        <f>VLOOKUP(Table5[[#This Row],[Date]],Database!A:E,5,)</f>
        <v/>
      </c>
      <c r="C203" s="14">
        <f>(B203-B202)/B202</f>
        <v/>
      </c>
      <c r="D203" s="14">
        <f>(B203-B191)/B191</f>
        <v/>
      </c>
      <c r="E203" s="15">
        <f>VLOOKUP(Table5[[#This Row],[Date]],'Fed Fund New'!$A:$C,2,FALSE)</f>
        <v/>
      </c>
      <c r="F203" s="27" t="n">
        <v>0.02</v>
      </c>
    </row>
    <row r="204">
      <c r="A204" s="61" t="n">
        <v>30529</v>
      </c>
      <c r="B204" s="68">
        <f>VLOOKUP(Table5[[#This Row],[Date]],Database!A:E,5,)</f>
        <v/>
      </c>
      <c r="C204" s="14">
        <f>(B204-B203)/B203</f>
        <v/>
      </c>
      <c r="D204" s="14">
        <f>(B204-B192)/B192</f>
        <v/>
      </c>
      <c r="E204" s="15">
        <f>VLOOKUP(Table5[[#This Row],[Date]],'Fed Fund New'!$A:$C,2,FALSE)</f>
        <v/>
      </c>
      <c r="F204" s="27" t="n">
        <v>0.02</v>
      </c>
    </row>
    <row r="205">
      <c r="A205" s="61" t="n">
        <v>30560</v>
      </c>
      <c r="B205" s="68">
        <f>VLOOKUP(Table5[[#This Row],[Date]],Database!A:E,5,)</f>
        <v/>
      </c>
      <c r="C205" s="14">
        <f>(B205-B204)/B204</f>
        <v/>
      </c>
      <c r="D205" s="14">
        <f>(B205-B193)/B193</f>
        <v/>
      </c>
      <c r="E205" s="15">
        <f>VLOOKUP(Table5[[#This Row],[Date]],'Fed Fund New'!$A:$C,2,FALSE)</f>
        <v/>
      </c>
      <c r="F205" s="27" t="n">
        <v>0.02</v>
      </c>
    </row>
    <row r="206">
      <c r="A206" s="61" t="n">
        <v>30590</v>
      </c>
      <c r="B206" s="68">
        <f>VLOOKUP(Table5[[#This Row],[Date]],Database!A:E,5,)</f>
        <v/>
      </c>
      <c r="C206" s="14">
        <f>(B206-B205)/B205</f>
        <v/>
      </c>
      <c r="D206" s="14">
        <f>(B206-B194)/B194</f>
        <v/>
      </c>
      <c r="E206" s="15">
        <f>VLOOKUP(Table5[[#This Row],[Date]],'Fed Fund New'!$A:$C,2,FALSE)</f>
        <v/>
      </c>
      <c r="F206" s="27" t="n">
        <v>0.02</v>
      </c>
    </row>
    <row r="207">
      <c r="A207" s="61" t="n">
        <v>30621</v>
      </c>
      <c r="B207" s="68">
        <f>VLOOKUP(Table5[[#This Row],[Date]],Database!A:E,5,)</f>
        <v/>
      </c>
      <c r="C207" s="14">
        <f>(B207-B206)/B206</f>
        <v/>
      </c>
      <c r="D207" s="14">
        <f>(B207-B195)/B195</f>
        <v/>
      </c>
      <c r="E207" s="15">
        <f>VLOOKUP(Table5[[#This Row],[Date]],'Fed Fund New'!$A:$C,2,FALSE)</f>
        <v/>
      </c>
      <c r="F207" s="27" t="n">
        <v>0.02</v>
      </c>
    </row>
    <row r="208">
      <c r="A208" s="61" t="n">
        <v>30651</v>
      </c>
      <c r="B208" s="68">
        <f>VLOOKUP(Table5[[#This Row],[Date]],Database!A:E,5,)</f>
        <v/>
      </c>
      <c r="C208" s="14">
        <f>(B208-B207)/B207</f>
        <v/>
      </c>
      <c r="D208" s="14">
        <f>(B208-B196)/B196</f>
        <v/>
      </c>
      <c r="E208" s="15">
        <f>VLOOKUP(Table5[[#This Row],[Date]],'Fed Fund New'!$A:$C,2,FALSE)</f>
        <v/>
      </c>
      <c r="F208" s="27" t="n">
        <v>0.02</v>
      </c>
    </row>
    <row r="209">
      <c r="A209" s="61" t="n">
        <v>30682</v>
      </c>
      <c r="B209" s="68">
        <f>VLOOKUP(Table5[[#This Row],[Date]],Database!A:E,5,)</f>
        <v/>
      </c>
      <c r="C209" s="14">
        <f>(B209-B208)/B208</f>
        <v/>
      </c>
      <c r="D209" s="14">
        <f>(B209-B197)/B197</f>
        <v/>
      </c>
      <c r="E209" s="15">
        <f>VLOOKUP(Table5[[#This Row],[Date]],'Fed Fund New'!$A:$C,2,FALSE)</f>
        <v/>
      </c>
      <c r="F209" s="27" t="n">
        <v>0.02</v>
      </c>
    </row>
    <row r="210">
      <c r="A210" s="61" t="n">
        <v>30713</v>
      </c>
      <c r="B210" s="68">
        <f>VLOOKUP(Table5[[#This Row],[Date]],Database!A:E,5,)</f>
        <v/>
      </c>
      <c r="C210" s="14">
        <f>(B210-B209)/B209</f>
        <v/>
      </c>
      <c r="D210" s="14">
        <f>(B210-B198)/B198</f>
        <v/>
      </c>
      <c r="E210" s="15">
        <f>VLOOKUP(Table5[[#This Row],[Date]],'Fed Fund New'!$A:$C,2,FALSE)</f>
        <v/>
      </c>
      <c r="F210" s="27" t="n">
        <v>0.02</v>
      </c>
    </row>
    <row r="211">
      <c r="A211" s="61" t="n">
        <v>30742</v>
      </c>
      <c r="B211" s="68">
        <f>VLOOKUP(Table5[[#This Row],[Date]],Database!A:E,5,)</f>
        <v/>
      </c>
      <c r="C211" s="14">
        <f>(B211-B210)/B210</f>
        <v/>
      </c>
      <c r="D211" s="14">
        <f>(B211-B199)/B199</f>
        <v/>
      </c>
      <c r="E211" s="15">
        <f>VLOOKUP(Table5[[#This Row],[Date]],'Fed Fund New'!$A:$C,2,FALSE)</f>
        <v/>
      </c>
      <c r="F211" s="27" t="n">
        <v>0.02</v>
      </c>
    </row>
    <row r="212">
      <c r="A212" s="61" t="n">
        <v>30773</v>
      </c>
      <c r="B212" s="68">
        <f>VLOOKUP(Table5[[#This Row],[Date]],Database!A:E,5,)</f>
        <v/>
      </c>
      <c r="C212" s="14">
        <f>(B212-B211)/B211</f>
        <v/>
      </c>
      <c r="D212" s="14">
        <f>(B212-B200)/B200</f>
        <v/>
      </c>
      <c r="E212" s="15">
        <f>VLOOKUP(Table5[[#This Row],[Date]],'Fed Fund New'!$A:$C,2,FALSE)</f>
        <v/>
      </c>
      <c r="F212" s="27" t="n">
        <v>0.02</v>
      </c>
    </row>
    <row r="213">
      <c r="A213" s="61" t="n">
        <v>30803</v>
      </c>
      <c r="B213" s="68">
        <f>VLOOKUP(Table5[[#This Row],[Date]],Database!A:E,5,)</f>
        <v/>
      </c>
      <c r="C213" s="14">
        <f>(B213-B212)/B212</f>
        <v/>
      </c>
      <c r="D213" s="14">
        <f>(B213-B201)/B201</f>
        <v/>
      </c>
      <c r="E213" s="15">
        <f>VLOOKUP(Table5[[#This Row],[Date]],'Fed Fund New'!$A:$C,2,FALSE)</f>
        <v/>
      </c>
      <c r="F213" s="27" t="n">
        <v>0.02</v>
      </c>
    </row>
    <row r="214">
      <c r="A214" s="61" t="n">
        <v>30834</v>
      </c>
      <c r="B214" s="68">
        <f>VLOOKUP(Table5[[#This Row],[Date]],Database!A:E,5,)</f>
        <v/>
      </c>
      <c r="C214" s="14">
        <f>(B214-B213)/B213</f>
        <v/>
      </c>
      <c r="D214" s="14">
        <f>(B214-B202)/B202</f>
        <v/>
      </c>
      <c r="E214" s="15">
        <f>VLOOKUP(Table5[[#This Row],[Date]],'Fed Fund New'!$A:$C,2,FALSE)</f>
        <v/>
      </c>
      <c r="F214" s="27" t="n">
        <v>0.02</v>
      </c>
    </row>
    <row r="215">
      <c r="A215" s="61" t="n">
        <v>30864</v>
      </c>
      <c r="B215" s="68">
        <f>VLOOKUP(Table5[[#This Row],[Date]],Database!A:E,5,)</f>
        <v/>
      </c>
      <c r="C215" s="14">
        <f>(B215-B214)/B214</f>
        <v/>
      </c>
      <c r="D215" s="14">
        <f>(B215-B203)/B203</f>
        <v/>
      </c>
      <c r="E215" s="15">
        <f>VLOOKUP(Table5[[#This Row],[Date]],'Fed Fund New'!$A:$C,2,FALSE)</f>
        <v/>
      </c>
      <c r="F215" s="27" t="n">
        <v>0.02</v>
      </c>
    </row>
    <row r="216">
      <c r="A216" s="61" t="n">
        <v>30895</v>
      </c>
      <c r="B216" s="68">
        <f>VLOOKUP(Table5[[#This Row],[Date]],Database!A:E,5,)</f>
        <v/>
      </c>
      <c r="C216" s="14">
        <f>(B216-B215)/B215</f>
        <v/>
      </c>
      <c r="D216" s="14">
        <f>(B216-B204)/B204</f>
        <v/>
      </c>
      <c r="E216" s="15">
        <f>VLOOKUP(Table5[[#This Row],[Date]],'Fed Fund New'!$A:$C,2,FALSE)</f>
        <v/>
      </c>
      <c r="F216" s="27" t="n">
        <v>0.02</v>
      </c>
    </row>
    <row r="217">
      <c r="A217" s="61" t="n">
        <v>30926</v>
      </c>
      <c r="B217" s="68">
        <f>VLOOKUP(Table5[[#This Row],[Date]],Database!A:E,5,)</f>
        <v/>
      </c>
      <c r="C217" s="14">
        <f>(B217-B216)/B216</f>
        <v/>
      </c>
      <c r="D217" s="14">
        <f>(B217-B205)/B205</f>
        <v/>
      </c>
      <c r="E217" s="15">
        <f>VLOOKUP(Table5[[#This Row],[Date]],'Fed Fund New'!$A:$C,2,FALSE)</f>
        <v/>
      </c>
      <c r="F217" s="27" t="n">
        <v>0.02</v>
      </c>
    </row>
    <row r="218">
      <c r="A218" s="61" t="n">
        <v>30956</v>
      </c>
      <c r="B218" s="68">
        <f>VLOOKUP(Table5[[#This Row],[Date]],Database!A:E,5,)</f>
        <v/>
      </c>
      <c r="C218" s="14">
        <f>(B218-B217)/B217</f>
        <v/>
      </c>
      <c r="D218" s="14">
        <f>(B218-B206)/B206</f>
        <v/>
      </c>
      <c r="E218" s="15">
        <f>VLOOKUP(Table5[[#This Row],[Date]],'Fed Fund New'!$A:$C,2,FALSE)</f>
        <v/>
      </c>
      <c r="F218" s="27" t="n">
        <v>0.02</v>
      </c>
    </row>
    <row r="219">
      <c r="A219" s="61" t="n">
        <v>30987</v>
      </c>
      <c r="B219" s="68">
        <f>VLOOKUP(Table5[[#This Row],[Date]],Database!A:E,5,)</f>
        <v/>
      </c>
      <c r="C219" s="14">
        <f>(B219-B218)/B218</f>
        <v/>
      </c>
      <c r="D219" s="14">
        <f>(B219-B207)/B207</f>
        <v/>
      </c>
      <c r="E219" s="15">
        <f>VLOOKUP(Table5[[#This Row],[Date]],'Fed Fund New'!$A:$C,2,FALSE)</f>
        <v/>
      </c>
      <c r="F219" s="27" t="n">
        <v>0.02</v>
      </c>
    </row>
    <row r="220">
      <c r="A220" s="61" t="n">
        <v>31017</v>
      </c>
      <c r="B220" s="68">
        <f>VLOOKUP(Table5[[#This Row],[Date]],Database!A:E,5,)</f>
        <v/>
      </c>
      <c r="C220" s="14">
        <f>(B220-B219)/B219</f>
        <v/>
      </c>
      <c r="D220" s="14">
        <f>(B220-B208)/B208</f>
        <v/>
      </c>
      <c r="E220" s="15">
        <f>VLOOKUP(Table5[[#This Row],[Date]],'Fed Fund New'!$A:$C,2,FALSE)</f>
        <v/>
      </c>
      <c r="F220" s="27" t="n">
        <v>0.02</v>
      </c>
    </row>
    <row r="221">
      <c r="A221" s="61" t="n">
        <v>31048</v>
      </c>
      <c r="B221" s="68">
        <f>VLOOKUP(Table5[[#This Row],[Date]],Database!A:E,5,)</f>
        <v/>
      </c>
      <c r="C221" s="14">
        <f>(B221-B220)/B220</f>
        <v/>
      </c>
      <c r="D221" s="14">
        <f>(B221-B209)/B209</f>
        <v/>
      </c>
      <c r="E221" s="15">
        <f>VLOOKUP(Table5[[#This Row],[Date]],'Fed Fund New'!$A:$C,2,FALSE)</f>
        <v/>
      </c>
      <c r="F221" s="27" t="n">
        <v>0.02</v>
      </c>
    </row>
    <row r="222">
      <c r="A222" s="61" t="n">
        <v>31079</v>
      </c>
      <c r="B222" s="68">
        <f>VLOOKUP(Table5[[#This Row],[Date]],Database!A:E,5,)</f>
        <v/>
      </c>
      <c r="C222" s="14">
        <f>(B222-B221)/B221</f>
        <v/>
      </c>
      <c r="D222" s="14">
        <f>(B222-B210)/B210</f>
        <v/>
      </c>
      <c r="E222" s="15">
        <f>VLOOKUP(Table5[[#This Row],[Date]],'Fed Fund New'!$A:$C,2,FALSE)</f>
        <v/>
      </c>
      <c r="F222" s="27" t="n">
        <v>0.02</v>
      </c>
    </row>
    <row r="223">
      <c r="A223" s="61" t="n">
        <v>31107</v>
      </c>
      <c r="B223" s="68">
        <f>VLOOKUP(Table5[[#This Row],[Date]],Database!A:E,5,)</f>
        <v/>
      </c>
      <c r="C223" s="14">
        <f>(B223-B222)/B222</f>
        <v/>
      </c>
      <c r="D223" s="14">
        <f>(B223-B211)/B211</f>
        <v/>
      </c>
      <c r="E223" s="15">
        <f>VLOOKUP(Table5[[#This Row],[Date]],'Fed Fund New'!$A:$C,2,FALSE)</f>
        <v/>
      </c>
      <c r="F223" s="27" t="n">
        <v>0.02</v>
      </c>
    </row>
    <row r="224">
      <c r="A224" s="61" t="n">
        <v>31138</v>
      </c>
      <c r="B224" s="68">
        <f>VLOOKUP(Table5[[#This Row],[Date]],Database!A:E,5,)</f>
        <v/>
      </c>
      <c r="C224" s="14">
        <f>(B224-B223)/B223</f>
        <v/>
      </c>
      <c r="D224" s="14">
        <f>(B224-B212)/B212</f>
        <v/>
      </c>
      <c r="E224" s="15">
        <f>VLOOKUP(Table5[[#This Row],[Date]],'Fed Fund New'!$A:$C,2,FALSE)</f>
        <v/>
      </c>
      <c r="F224" s="27" t="n">
        <v>0.02</v>
      </c>
    </row>
    <row r="225">
      <c r="A225" s="61" t="n">
        <v>31168</v>
      </c>
      <c r="B225" s="68">
        <f>VLOOKUP(Table5[[#This Row],[Date]],Database!A:E,5,)</f>
        <v/>
      </c>
      <c r="C225" s="14">
        <f>(B225-B224)/B224</f>
        <v/>
      </c>
      <c r="D225" s="14">
        <f>(B225-B213)/B213</f>
        <v/>
      </c>
      <c r="E225" s="15">
        <f>VLOOKUP(Table5[[#This Row],[Date]],'Fed Fund New'!$A:$C,2,FALSE)</f>
        <v/>
      </c>
      <c r="F225" s="27" t="n">
        <v>0.02</v>
      </c>
    </row>
    <row r="226">
      <c r="A226" s="61" t="n">
        <v>31199</v>
      </c>
      <c r="B226" s="68">
        <f>VLOOKUP(Table5[[#This Row],[Date]],Database!A:E,5,)</f>
        <v/>
      </c>
      <c r="C226" s="14">
        <f>(B226-B225)/B225</f>
        <v/>
      </c>
      <c r="D226" s="14">
        <f>(B226-B214)/B214</f>
        <v/>
      </c>
      <c r="E226" s="15">
        <f>VLOOKUP(Table5[[#This Row],[Date]],'Fed Fund New'!$A:$C,2,FALSE)</f>
        <v/>
      </c>
      <c r="F226" s="27" t="n">
        <v>0.02</v>
      </c>
    </row>
    <row r="227">
      <c r="A227" s="61" t="n">
        <v>31229</v>
      </c>
      <c r="B227" s="68">
        <f>VLOOKUP(Table5[[#This Row],[Date]],Database!A:E,5,)</f>
        <v/>
      </c>
      <c r="C227" s="14">
        <f>(B227-B226)/B226</f>
        <v/>
      </c>
      <c r="D227" s="14">
        <f>(B227-B215)/B215</f>
        <v/>
      </c>
      <c r="E227" s="15">
        <f>VLOOKUP(Table5[[#This Row],[Date]],'Fed Fund New'!$A:$C,2,FALSE)</f>
        <v/>
      </c>
      <c r="F227" s="27" t="n">
        <v>0.02</v>
      </c>
    </row>
    <row r="228">
      <c r="A228" s="61" t="n">
        <v>31260</v>
      </c>
      <c r="B228" s="68">
        <f>VLOOKUP(Table5[[#This Row],[Date]],Database!A:E,5,)</f>
        <v/>
      </c>
      <c r="C228" s="14">
        <f>(B228-B227)/B227</f>
        <v/>
      </c>
      <c r="D228" s="14">
        <f>(B228-B216)/B216</f>
        <v/>
      </c>
      <c r="E228" s="15">
        <f>VLOOKUP(Table5[[#This Row],[Date]],'Fed Fund New'!$A:$C,2,FALSE)</f>
        <v/>
      </c>
      <c r="F228" s="27" t="n">
        <v>0.02</v>
      </c>
    </row>
    <row r="229">
      <c r="A229" s="61" t="n">
        <v>31291</v>
      </c>
      <c r="B229" s="68">
        <f>VLOOKUP(Table5[[#This Row],[Date]],Database!A:E,5,)</f>
        <v/>
      </c>
      <c r="C229" s="14">
        <f>(B229-B228)/B228</f>
        <v/>
      </c>
      <c r="D229" s="14">
        <f>(B229-B217)/B217</f>
        <v/>
      </c>
      <c r="E229" s="15">
        <f>VLOOKUP(Table5[[#This Row],[Date]],'Fed Fund New'!$A:$C,2,FALSE)</f>
        <v/>
      </c>
      <c r="F229" s="27" t="n">
        <v>0.02</v>
      </c>
    </row>
    <row r="230">
      <c r="A230" s="61" t="n">
        <v>31321</v>
      </c>
      <c r="B230" s="68">
        <f>VLOOKUP(Table5[[#This Row],[Date]],Database!A:E,5,)</f>
        <v/>
      </c>
      <c r="C230" s="14">
        <f>(B230-B229)/B229</f>
        <v/>
      </c>
      <c r="D230" s="14">
        <f>(B230-B218)/B218</f>
        <v/>
      </c>
      <c r="E230" s="15">
        <f>VLOOKUP(Table5[[#This Row],[Date]],'Fed Fund New'!$A:$C,2,FALSE)</f>
        <v/>
      </c>
      <c r="F230" s="27" t="n">
        <v>0.02</v>
      </c>
    </row>
    <row r="231">
      <c r="A231" s="61" t="n">
        <v>31352</v>
      </c>
      <c r="B231" s="68">
        <f>VLOOKUP(Table5[[#This Row],[Date]],Database!A:E,5,)</f>
        <v/>
      </c>
      <c r="C231" s="14">
        <f>(B231-B230)/B230</f>
        <v/>
      </c>
      <c r="D231" s="14">
        <f>(B231-B219)/B219</f>
        <v/>
      </c>
      <c r="E231" s="15">
        <f>VLOOKUP(Table5[[#This Row],[Date]],'Fed Fund New'!$A:$C,2,FALSE)</f>
        <v/>
      </c>
      <c r="F231" s="27" t="n">
        <v>0.02</v>
      </c>
    </row>
    <row r="232">
      <c r="A232" s="61" t="n">
        <v>31382</v>
      </c>
      <c r="B232" s="68">
        <f>VLOOKUP(Table5[[#This Row],[Date]],Database!A:E,5,)</f>
        <v/>
      </c>
      <c r="C232" s="14">
        <f>(B232-B231)/B231</f>
        <v/>
      </c>
      <c r="D232" s="14">
        <f>(B232-B220)/B220</f>
        <v/>
      </c>
      <c r="E232" s="15">
        <f>VLOOKUP(Table5[[#This Row],[Date]],'Fed Fund New'!$A:$C,2,FALSE)</f>
        <v/>
      </c>
      <c r="F232" s="27" t="n">
        <v>0.02</v>
      </c>
    </row>
    <row r="233">
      <c r="A233" s="61" t="n">
        <v>31413</v>
      </c>
      <c r="B233" s="68">
        <f>VLOOKUP(Table5[[#This Row],[Date]],Database!A:E,5,)</f>
        <v/>
      </c>
      <c r="C233" s="14">
        <f>(B233-B232)/B232</f>
        <v/>
      </c>
      <c r="D233" s="14">
        <f>(B233-B221)/B221</f>
        <v/>
      </c>
      <c r="E233" s="15">
        <f>VLOOKUP(Table5[[#This Row],[Date]],'Fed Fund New'!$A:$C,2,FALSE)</f>
        <v/>
      </c>
      <c r="F233" s="27" t="n">
        <v>0.02</v>
      </c>
    </row>
    <row r="234">
      <c r="A234" s="61" t="n">
        <v>31444</v>
      </c>
      <c r="B234" s="68">
        <f>VLOOKUP(Table5[[#This Row],[Date]],Database!A:E,5,)</f>
        <v/>
      </c>
      <c r="C234" s="14">
        <f>(B234-B233)/B233</f>
        <v/>
      </c>
      <c r="D234" s="14">
        <f>(B234-B222)/B222</f>
        <v/>
      </c>
      <c r="E234" s="15">
        <f>VLOOKUP(Table5[[#This Row],[Date]],'Fed Fund New'!$A:$C,2,FALSE)</f>
        <v/>
      </c>
      <c r="F234" s="27" t="n">
        <v>0.02</v>
      </c>
    </row>
    <row r="235">
      <c r="A235" s="61" t="n">
        <v>31472</v>
      </c>
      <c r="B235" s="68">
        <f>VLOOKUP(Table5[[#This Row],[Date]],Database!A:E,5,)</f>
        <v/>
      </c>
      <c r="C235" s="14">
        <f>(B235-B234)/B234</f>
        <v/>
      </c>
      <c r="D235" s="14">
        <f>(B235-B223)/B223</f>
        <v/>
      </c>
      <c r="E235" s="15">
        <f>VLOOKUP(Table5[[#This Row],[Date]],'Fed Fund New'!$A:$C,2,FALSE)</f>
        <v/>
      </c>
      <c r="F235" s="27" t="n">
        <v>0.02</v>
      </c>
    </row>
    <row r="236">
      <c r="A236" s="61" t="n">
        <v>31503</v>
      </c>
      <c r="B236" s="68">
        <f>VLOOKUP(Table5[[#This Row],[Date]],Database!A:E,5,)</f>
        <v/>
      </c>
      <c r="C236" s="14">
        <f>(B236-B235)/B235</f>
        <v/>
      </c>
      <c r="D236" s="14">
        <f>(B236-B224)/B224</f>
        <v/>
      </c>
      <c r="E236" s="15">
        <f>VLOOKUP(Table5[[#This Row],[Date]],'Fed Fund New'!$A:$C,2,FALSE)</f>
        <v/>
      </c>
      <c r="F236" s="27" t="n">
        <v>0.02</v>
      </c>
    </row>
    <row r="237">
      <c r="A237" s="61" t="n">
        <v>31533</v>
      </c>
      <c r="B237" s="68">
        <f>VLOOKUP(Table5[[#This Row],[Date]],Database!A:E,5,)</f>
        <v/>
      </c>
      <c r="C237" s="14">
        <f>(B237-B236)/B236</f>
        <v/>
      </c>
      <c r="D237" s="14">
        <f>(B237-B225)/B225</f>
        <v/>
      </c>
      <c r="E237" s="15">
        <f>VLOOKUP(Table5[[#This Row],[Date]],'Fed Fund New'!$A:$C,2,FALSE)</f>
        <v/>
      </c>
      <c r="F237" s="27" t="n">
        <v>0.02</v>
      </c>
    </row>
    <row r="238">
      <c r="A238" s="61" t="n">
        <v>31564</v>
      </c>
      <c r="B238" s="68">
        <f>VLOOKUP(Table5[[#This Row],[Date]],Database!A:E,5,)</f>
        <v/>
      </c>
      <c r="C238" s="14">
        <f>(B238-B237)/B237</f>
        <v/>
      </c>
      <c r="D238" s="14">
        <f>(B238-B226)/B226</f>
        <v/>
      </c>
      <c r="E238" s="15">
        <f>VLOOKUP(Table5[[#This Row],[Date]],'Fed Fund New'!$A:$C,2,FALSE)</f>
        <v/>
      </c>
      <c r="F238" s="27" t="n">
        <v>0.02</v>
      </c>
    </row>
    <row r="239">
      <c r="A239" s="61" t="n">
        <v>31594</v>
      </c>
      <c r="B239" s="68">
        <f>VLOOKUP(Table5[[#This Row],[Date]],Database!A:E,5,)</f>
        <v/>
      </c>
      <c r="C239" s="14">
        <f>(B239-B238)/B238</f>
        <v/>
      </c>
      <c r="D239" s="14">
        <f>(B239-B227)/B227</f>
        <v/>
      </c>
      <c r="E239" s="15">
        <f>VLOOKUP(Table5[[#This Row],[Date]],'Fed Fund New'!$A:$C,2,FALSE)</f>
        <v/>
      </c>
      <c r="F239" s="27" t="n">
        <v>0.02</v>
      </c>
    </row>
    <row r="240">
      <c r="A240" s="61" t="n">
        <v>31625</v>
      </c>
      <c r="B240" s="68">
        <f>VLOOKUP(Table5[[#This Row],[Date]],Database!A:E,5,)</f>
        <v/>
      </c>
      <c r="C240" s="14">
        <f>(B240-B239)/B239</f>
        <v/>
      </c>
      <c r="D240" s="14">
        <f>(B240-B228)/B228</f>
        <v/>
      </c>
      <c r="E240" s="15">
        <f>VLOOKUP(Table5[[#This Row],[Date]],'Fed Fund New'!$A:$C,2,FALSE)</f>
        <v/>
      </c>
      <c r="F240" s="27" t="n">
        <v>0.02</v>
      </c>
    </row>
    <row r="241">
      <c r="A241" s="61" t="n">
        <v>31656</v>
      </c>
      <c r="B241" s="68">
        <f>VLOOKUP(Table5[[#This Row],[Date]],Database!A:E,5,)</f>
        <v/>
      </c>
      <c r="C241" s="14">
        <f>(B241-B240)/B240</f>
        <v/>
      </c>
      <c r="D241" s="14">
        <f>(B241-B229)/B229</f>
        <v/>
      </c>
      <c r="E241" s="15">
        <f>VLOOKUP(Table5[[#This Row],[Date]],'Fed Fund New'!$A:$C,2,FALSE)</f>
        <v/>
      </c>
      <c r="F241" s="27" t="n">
        <v>0.02</v>
      </c>
    </row>
    <row r="242">
      <c r="A242" s="61" t="n">
        <v>31686</v>
      </c>
      <c r="B242" s="68">
        <f>VLOOKUP(Table5[[#This Row],[Date]],Database!A:E,5,)</f>
        <v/>
      </c>
      <c r="C242" s="14">
        <f>(B242-B241)/B241</f>
        <v/>
      </c>
      <c r="D242" s="14">
        <f>(B242-B230)/B230</f>
        <v/>
      </c>
      <c r="E242" s="15">
        <f>VLOOKUP(Table5[[#This Row],[Date]],'Fed Fund New'!$A:$C,2,FALSE)</f>
        <v/>
      </c>
      <c r="F242" s="27" t="n">
        <v>0.02</v>
      </c>
    </row>
    <row r="243">
      <c r="A243" s="61" t="n">
        <v>31717</v>
      </c>
      <c r="B243" s="68">
        <f>VLOOKUP(Table5[[#This Row],[Date]],Database!A:E,5,)</f>
        <v/>
      </c>
      <c r="C243" s="14">
        <f>(B243-B242)/B242</f>
        <v/>
      </c>
      <c r="D243" s="14">
        <f>(B243-B231)/B231</f>
        <v/>
      </c>
      <c r="E243" s="15">
        <f>VLOOKUP(Table5[[#This Row],[Date]],'Fed Fund New'!$A:$C,2,FALSE)</f>
        <v/>
      </c>
      <c r="F243" s="27" t="n">
        <v>0.02</v>
      </c>
    </row>
    <row r="244">
      <c r="A244" s="61" t="n">
        <v>31747</v>
      </c>
      <c r="B244" s="68">
        <f>VLOOKUP(Table5[[#This Row],[Date]],Database!A:E,5,)</f>
        <v/>
      </c>
      <c r="C244" s="14">
        <f>(B244-B243)/B243</f>
        <v/>
      </c>
      <c r="D244" s="14">
        <f>(B244-B232)/B232</f>
        <v/>
      </c>
      <c r="E244" s="15">
        <f>VLOOKUP(Table5[[#This Row],[Date]],'Fed Fund New'!$A:$C,2,FALSE)</f>
        <v/>
      </c>
      <c r="F244" s="27" t="n">
        <v>0.02</v>
      </c>
    </row>
    <row r="245">
      <c r="A245" s="61" t="n">
        <v>31778</v>
      </c>
      <c r="B245" s="68">
        <f>VLOOKUP(Table5[[#This Row],[Date]],Database!A:E,5,)</f>
        <v/>
      </c>
      <c r="C245" s="14">
        <f>(B245-B244)/B244</f>
        <v/>
      </c>
      <c r="D245" s="14">
        <f>(B245-B233)/B233</f>
        <v/>
      </c>
      <c r="E245" s="15">
        <f>VLOOKUP(Table5[[#This Row],[Date]],'Fed Fund New'!$A:$C,2,FALSE)</f>
        <v/>
      </c>
      <c r="F245" s="27" t="n">
        <v>0.02</v>
      </c>
    </row>
    <row r="246">
      <c r="A246" s="61" t="n">
        <v>31809</v>
      </c>
      <c r="B246" s="68">
        <f>VLOOKUP(Table5[[#This Row],[Date]],Database!A:E,5,)</f>
        <v/>
      </c>
      <c r="C246" s="14">
        <f>(B246-B245)/B245</f>
        <v/>
      </c>
      <c r="D246" s="14">
        <f>(B246-B234)/B234</f>
        <v/>
      </c>
      <c r="E246" s="15">
        <f>VLOOKUP(Table5[[#This Row],[Date]],'Fed Fund New'!$A:$C,2,FALSE)</f>
        <v/>
      </c>
      <c r="F246" s="27" t="n">
        <v>0.02</v>
      </c>
    </row>
    <row r="247">
      <c r="A247" s="61" t="n">
        <v>31837</v>
      </c>
      <c r="B247" s="68">
        <f>VLOOKUP(Table5[[#This Row],[Date]],Database!A:E,5,)</f>
        <v/>
      </c>
      <c r="C247" s="14">
        <f>(B247-B246)/B246</f>
        <v/>
      </c>
      <c r="D247" s="14">
        <f>(B247-B235)/B235</f>
        <v/>
      </c>
      <c r="E247" s="15">
        <f>VLOOKUP(Table5[[#This Row],[Date]],'Fed Fund New'!$A:$C,2,FALSE)</f>
        <v/>
      </c>
      <c r="F247" s="27" t="n">
        <v>0.02</v>
      </c>
    </row>
    <row r="248">
      <c r="A248" s="61" t="n">
        <v>31868</v>
      </c>
      <c r="B248" s="68">
        <f>VLOOKUP(Table5[[#This Row],[Date]],Database!A:E,5,)</f>
        <v/>
      </c>
      <c r="C248" s="14">
        <f>(B248-B247)/B247</f>
        <v/>
      </c>
      <c r="D248" s="14">
        <f>(B248-B236)/B236</f>
        <v/>
      </c>
      <c r="E248" s="15">
        <f>VLOOKUP(Table5[[#This Row],[Date]],'Fed Fund New'!$A:$C,2,FALSE)</f>
        <v/>
      </c>
      <c r="F248" s="27" t="n">
        <v>0.02</v>
      </c>
    </row>
    <row r="249">
      <c r="A249" s="61" t="n">
        <v>31898</v>
      </c>
      <c r="B249" s="68">
        <f>VLOOKUP(Table5[[#This Row],[Date]],Database!A:E,5,)</f>
        <v/>
      </c>
      <c r="C249" s="14">
        <f>(B249-B248)/B248</f>
        <v/>
      </c>
      <c r="D249" s="14">
        <f>(B249-B237)/B237</f>
        <v/>
      </c>
      <c r="E249" s="15">
        <f>VLOOKUP(Table5[[#This Row],[Date]],'Fed Fund New'!$A:$C,2,FALSE)</f>
        <v/>
      </c>
      <c r="F249" s="27" t="n">
        <v>0.02</v>
      </c>
    </row>
    <row r="250">
      <c r="A250" s="61" t="n">
        <v>31929</v>
      </c>
      <c r="B250" s="68">
        <f>VLOOKUP(Table5[[#This Row],[Date]],Database!A:E,5,)</f>
        <v/>
      </c>
      <c r="C250" s="14">
        <f>(B250-B249)/B249</f>
        <v/>
      </c>
      <c r="D250" s="14">
        <f>(B250-B238)/B238</f>
        <v/>
      </c>
      <c r="E250" s="15">
        <f>VLOOKUP(Table5[[#This Row],[Date]],'Fed Fund New'!$A:$C,2,FALSE)</f>
        <v/>
      </c>
      <c r="F250" s="27" t="n">
        <v>0.02</v>
      </c>
    </row>
    <row r="251">
      <c r="A251" s="61" t="n">
        <v>31959</v>
      </c>
      <c r="B251" s="68">
        <f>VLOOKUP(Table5[[#This Row],[Date]],Database!A:E,5,)</f>
        <v/>
      </c>
      <c r="C251" s="14">
        <f>(B251-B250)/B250</f>
        <v/>
      </c>
      <c r="D251" s="14">
        <f>(B251-B239)/B239</f>
        <v/>
      </c>
      <c r="E251" s="15">
        <f>VLOOKUP(Table5[[#This Row],[Date]],'Fed Fund New'!$A:$C,2,FALSE)</f>
        <v/>
      </c>
      <c r="F251" s="27" t="n">
        <v>0.02</v>
      </c>
    </row>
    <row r="252">
      <c r="A252" s="61" t="n">
        <v>31990</v>
      </c>
      <c r="B252" s="68">
        <f>VLOOKUP(Table5[[#This Row],[Date]],Database!A:E,5,)</f>
        <v/>
      </c>
      <c r="C252" s="14">
        <f>(B252-B251)/B251</f>
        <v/>
      </c>
      <c r="D252" s="14">
        <f>(B252-B240)/B240</f>
        <v/>
      </c>
      <c r="E252" s="15">
        <f>VLOOKUP(Table5[[#This Row],[Date]],'Fed Fund New'!$A:$C,2,FALSE)</f>
        <v/>
      </c>
      <c r="F252" s="27" t="n">
        <v>0.02</v>
      </c>
    </row>
    <row r="253">
      <c r="A253" s="61" t="n">
        <v>32021</v>
      </c>
      <c r="B253" s="68">
        <f>VLOOKUP(Table5[[#This Row],[Date]],Database!A:E,5,)</f>
        <v/>
      </c>
      <c r="C253" s="14">
        <f>(B253-B252)/B252</f>
        <v/>
      </c>
      <c r="D253" s="14">
        <f>(B253-B241)/B241</f>
        <v/>
      </c>
      <c r="E253" s="15">
        <f>VLOOKUP(Table5[[#This Row],[Date]],'Fed Fund New'!$A:$C,2,FALSE)</f>
        <v/>
      </c>
      <c r="F253" s="27" t="n">
        <v>0.02</v>
      </c>
    </row>
    <row r="254">
      <c r="A254" s="61" t="n">
        <v>32051</v>
      </c>
      <c r="B254" s="68">
        <f>VLOOKUP(Table5[[#This Row],[Date]],Database!A:E,5,)</f>
        <v/>
      </c>
      <c r="C254" s="14">
        <f>(B254-B253)/B253</f>
        <v/>
      </c>
      <c r="D254" s="14">
        <f>(B254-B242)/B242</f>
        <v/>
      </c>
      <c r="E254" s="15">
        <f>VLOOKUP(Table5[[#This Row],[Date]],'Fed Fund New'!$A:$C,2,FALSE)</f>
        <v/>
      </c>
      <c r="F254" s="27" t="n">
        <v>0.02</v>
      </c>
    </row>
    <row r="255">
      <c r="A255" s="61" t="n">
        <v>32082</v>
      </c>
      <c r="B255" s="68">
        <f>VLOOKUP(Table5[[#This Row],[Date]],Database!A:E,5,)</f>
        <v/>
      </c>
      <c r="C255" s="14">
        <f>(B255-B254)/B254</f>
        <v/>
      </c>
      <c r="D255" s="14">
        <f>(B255-B243)/B243</f>
        <v/>
      </c>
      <c r="E255" s="15">
        <f>VLOOKUP(Table5[[#This Row],[Date]],'Fed Fund New'!$A:$C,2,FALSE)</f>
        <v/>
      </c>
      <c r="F255" s="27" t="n">
        <v>0.02</v>
      </c>
    </row>
    <row r="256">
      <c r="A256" s="61" t="n">
        <v>32112</v>
      </c>
      <c r="B256" s="68">
        <f>VLOOKUP(Table5[[#This Row],[Date]],Database!A:E,5,)</f>
        <v/>
      </c>
      <c r="C256" s="14">
        <f>(B256-B255)/B255</f>
        <v/>
      </c>
      <c r="D256" s="14">
        <f>(B256-B244)/B244</f>
        <v/>
      </c>
      <c r="E256" s="15">
        <f>VLOOKUP(Table5[[#This Row],[Date]],'Fed Fund New'!$A:$C,2,FALSE)</f>
        <v/>
      </c>
      <c r="F256" s="27" t="n">
        <v>0.02</v>
      </c>
    </row>
    <row r="257">
      <c r="A257" s="61" t="n">
        <v>32143</v>
      </c>
      <c r="B257" s="68">
        <f>VLOOKUP(Table5[[#This Row],[Date]],Database!A:E,5,)</f>
        <v/>
      </c>
      <c r="C257" s="14">
        <f>(B257-B256)/B256</f>
        <v/>
      </c>
      <c r="D257" s="14">
        <f>(B257-B245)/B245</f>
        <v/>
      </c>
      <c r="E257" s="15">
        <f>VLOOKUP(Table5[[#This Row],[Date]],'Fed Fund New'!$A:$C,2,FALSE)</f>
        <v/>
      </c>
      <c r="F257" s="27" t="n">
        <v>0.02</v>
      </c>
    </row>
    <row r="258">
      <c r="A258" s="61" t="n">
        <v>32174</v>
      </c>
      <c r="B258" s="68">
        <f>VLOOKUP(Table5[[#This Row],[Date]],Database!A:E,5,)</f>
        <v/>
      </c>
      <c r="C258" s="14">
        <f>(B258-B257)/B257</f>
        <v/>
      </c>
      <c r="D258" s="14">
        <f>(B258-B246)/B246</f>
        <v/>
      </c>
      <c r="E258" s="15">
        <f>VLOOKUP(Table5[[#This Row],[Date]],'Fed Fund New'!$A:$C,2,FALSE)</f>
        <v/>
      </c>
      <c r="F258" s="27" t="n">
        <v>0.02</v>
      </c>
    </row>
    <row r="259">
      <c r="A259" s="61" t="n">
        <v>32203</v>
      </c>
      <c r="B259" s="68">
        <f>VLOOKUP(Table5[[#This Row],[Date]],Database!A:E,5,)</f>
        <v/>
      </c>
      <c r="C259" s="14">
        <f>(B259-B258)/B258</f>
        <v/>
      </c>
      <c r="D259" s="14">
        <f>(B259-B247)/B247</f>
        <v/>
      </c>
      <c r="E259" s="15">
        <f>VLOOKUP(Table5[[#This Row],[Date]],'Fed Fund New'!$A:$C,2,FALSE)</f>
        <v/>
      </c>
      <c r="F259" s="27" t="n">
        <v>0.02</v>
      </c>
    </row>
    <row r="260">
      <c r="A260" s="61" t="n">
        <v>32234</v>
      </c>
      <c r="B260" s="68">
        <f>VLOOKUP(Table5[[#This Row],[Date]],Database!A:E,5,)</f>
        <v/>
      </c>
      <c r="C260" s="14">
        <f>(B260-B259)/B259</f>
        <v/>
      </c>
      <c r="D260" s="14">
        <f>(B260-B248)/B248</f>
        <v/>
      </c>
      <c r="E260" s="15">
        <f>VLOOKUP(Table5[[#This Row],[Date]],'Fed Fund New'!$A:$C,2,FALSE)</f>
        <v/>
      </c>
      <c r="F260" s="27" t="n">
        <v>0.02</v>
      </c>
    </row>
    <row r="261">
      <c r="A261" s="61" t="n">
        <v>32264</v>
      </c>
      <c r="B261" s="68">
        <f>VLOOKUP(Table5[[#This Row],[Date]],Database!A:E,5,)</f>
        <v/>
      </c>
      <c r="C261" s="14">
        <f>(B261-B260)/B260</f>
        <v/>
      </c>
      <c r="D261" s="14">
        <f>(B261-B249)/B249</f>
        <v/>
      </c>
      <c r="E261" s="15">
        <f>VLOOKUP(Table5[[#This Row],[Date]],'Fed Fund New'!$A:$C,2,FALSE)</f>
        <v/>
      </c>
      <c r="F261" s="27" t="n">
        <v>0.02</v>
      </c>
    </row>
    <row r="262">
      <c r="A262" s="61" t="n">
        <v>32295</v>
      </c>
      <c r="B262" s="68">
        <f>VLOOKUP(Table5[[#This Row],[Date]],Database!A:E,5,)</f>
        <v/>
      </c>
      <c r="C262" s="14">
        <f>(B262-B261)/B261</f>
        <v/>
      </c>
      <c r="D262" s="14">
        <f>(B262-B250)/B250</f>
        <v/>
      </c>
      <c r="E262" s="15">
        <f>VLOOKUP(Table5[[#This Row],[Date]],'Fed Fund New'!$A:$C,2,FALSE)</f>
        <v/>
      </c>
      <c r="F262" s="27" t="n">
        <v>0.02</v>
      </c>
    </row>
    <row r="263">
      <c r="A263" s="61" t="n">
        <v>32325</v>
      </c>
      <c r="B263" s="68">
        <f>VLOOKUP(Table5[[#This Row],[Date]],Database!A:E,5,)</f>
        <v/>
      </c>
      <c r="C263" s="14">
        <f>(B263-B262)/B262</f>
        <v/>
      </c>
      <c r="D263" s="14">
        <f>(B263-B251)/B251</f>
        <v/>
      </c>
      <c r="E263" s="15">
        <f>VLOOKUP(Table5[[#This Row],[Date]],'Fed Fund New'!$A:$C,2,FALSE)</f>
        <v/>
      </c>
      <c r="F263" s="27" t="n">
        <v>0.02</v>
      </c>
    </row>
    <row r="264">
      <c r="A264" s="61" t="n">
        <v>32356</v>
      </c>
      <c r="B264" s="68">
        <f>VLOOKUP(Table5[[#This Row],[Date]],Database!A:E,5,)</f>
        <v/>
      </c>
      <c r="C264" s="14">
        <f>(B264-B263)/B263</f>
        <v/>
      </c>
      <c r="D264" s="14">
        <f>(B264-B252)/B252</f>
        <v/>
      </c>
      <c r="E264" s="15">
        <f>VLOOKUP(Table5[[#This Row],[Date]],'Fed Fund New'!$A:$C,2,FALSE)</f>
        <v/>
      </c>
      <c r="F264" s="27" t="n">
        <v>0.02</v>
      </c>
    </row>
    <row r="265">
      <c r="A265" s="61" t="n">
        <v>32387</v>
      </c>
      <c r="B265" s="68">
        <f>VLOOKUP(Table5[[#This Row],[Date]],Database!A:E,5,)</f>
        <v/>
      </c>
      <c r="C265" s="14">
        <f>(B265-B264)/B264</f>
        <v/>
      </c>
      <c r="D265" s="14">
        <f>(B265-B253)/B253</f>
        <v/>
      </c>
      <c r="E265" s="15">
        <f>VLOOKUP(Table5[[#This Row],[Date]],'Fed Fund New'!$A:$C,2,FALSE)</f>
        <v/>
      </c>
      <c r="F265" s="27" t="n">
        <v>0.02</v>
      </c>
    </row>
    <row r="266">
      <c r="A266" s="61" t="n">
        <v>32417</v>
      </c>
      <c r="B266" s="68">
        <f>VLOOKUP(Table5[[#This Row],[Date]],Database!A:E,5,)</f>
        <v/>
      </c>
      <c r="C266" s="14">
        <f>(B266-B265)/B265</f>
        <v/>
      </c>
      <c r="D266" s="14">
        <f>(B266-B254)/B254</f>
        <v/>
      </c>
      <c r="E266" s="15">
        <f>VLOOKUP(Table5[[#This Row],[Date]],'Fed Fund New'!$A:$C,2,FALSE)</f>
        <v/>
      </c>
      <c r="F266" s="27" t="n">
        <v>0.02</v>
      </c>
    </row>
    <row r="267">
      <c r="A267" s="61" t="n">
        <v>32448</v>
      </c>
      <c r="B267" s="68">
        <f>VLOOKUP(Table5[[#This Row],[Date]],Database!A:E,5,)</f>
        <v/>
      </c>
      <c r="C267" s="14">
        <f>(B267-B266)/B266</f>
        <v/>
      </c>
      <c r="D267" s="14">
        <f>(B267-B255)/B255</f>
        <v/>
      </c>
      <c r="E267" s="15">
        <f>VLOOKUP(Table5[[#This Row],[Date]],'Fed Fund New'!$A:$C,2,FALSE)</f>
        <v/>
      </c>
      <c r="F267" s="27" t="n">
        <v>0.02</v>
      </c>
    </row>
    <row r="268">
      <c r="A268" s="61" t="n">
        <v>32478</v>
      </c>
      <c r="B268" s="68">
        <f>VLOOKUP(Table5[[#This Row],[Date]],Database!A:E,5,)</f>
        <v/>
      </c>
      <c r="C268" s="14">
        <f>(B268-B267)/B267</f>
        <v/>
      </c>
      <c r="D268" s="14">
        <f>(B268-B256)/B256</f>
        <v/>
      </c>
      <c r="E268" s="15">
        <f>VLOOKUP(Table5[[#This Row],[Date]],'Fed Fund New'!$A:$C,2,FALSE)</f>
        <v/>
      </c>
      <c r="F268" s="27" t="n">
        <v>0.02</v>
      </c>
    </row>
    <row r="269">
      <c r="A269" s="61" t="n">
        <v>32509</v>
      </c>
      <c r="B269" s="68">
        <f>VLOOKUP(Table5[[#This Row],[Date]],Database!A:E,5,)</f>
        <v/>
      </c>
      <c r="C269" s="14">
        <f>(B269-B268)/B268</f>
        <v/>
      </c>
      <c r="D269" s="14">
        <f>(B269-B257)/B257</f>
        <v/>
      </c>
      <c r="E269" s="15">
        <f>VLOOKUP(Table5[[#This Row],[Date]],'Fed Fund New'!$A:$C,2,FALSE)</f>
        <v/>
      </c>
      <c r="F269" s="27" t="n">
        <v>0.02</v>
      </c>
    </row>
    <row r="270">
      <c r="A270" s="61" t="n">
        <v>32540</v>
      </c>
      <c r="B270" s="68">
        <f>VLOOKUP(Table5[[#This Row],[Date]],Database!A:E,5,)</f>
        <v/>
      </c>
      <c r="C270" s="14">
        <f>(B270-B269)/B269</f>
        <v/>
      </c>
      <c r="D270" s="14">
        <f>(B270-B258)/B258</f>
        <v/>
      </c>
      <c r="E270" s="15">
        <f>VLOOKUP(Table5[[#This Row],[Date]],'Fed Fund New'!$A:$C,2,FALSE)</f>
        <v/>
      </c>
      <c r="F270" s="27" t="n">
        <v>0.02</v>
      </c>
    </row>
    <row r="271">
      <c r="A271" s="61" t="n">
        <v>32568</v>
      </c>
      <c r="B271" s="68">
        <f>VLOOKUP(Table5[[#This Row],[Date]],Database!A:E,5,)</f>
        <v/>
      </c>
      <c r="C271" s="14">
        <f>(B271-B270)/B270</f>
        <v/>
      </c>
      <c r="D271" s="14">
        <f>(B271-B259)/B259</f>
        <v/>
      </c>
      <c r="E271" s="15">
        <f>VLOOKUP(Table5[[#This Row],[Date]],'Fed Fund New'!$A:$C,2,FALSE)</f>
        <v/>
      </c>
      <c r="F271" s="27" t="n">
        <v>0.02</v>
      </c>
    </row>
    <row r="272">
      <c r="A272" s="61" t="n">
        <v>32599</v>
      </c>
      <c r="B272" s="68">
        <f>VLOOKUP(Table5[[#This Row],[Date]],Database!A:E,5,)</f>
        <v/>
      </c>
      <c r="C272" s="14">
        <f>(B272-B271)/B271</f>
        <v/>
      </c>
      <c r="D272" s="14">
        <f>(B272-B260)/B260</f>
        <v/>
      </c>
      <c r="E272" s="15">
        <f>VLOOKUP(Table5[[#This Row],[Date]],'Fed Fund New'!$A:$C,2,FALSE)</f>
        <v/>
      </c>
      <c r="F272" s="27" t="n">
        <v>0.02</v>
      </c>
    </row>
    <row r="273">
      <c r="A273" s="61" t="n">
        <v>32629</v>
      </c>
      <c r="B273" s="68">
        <f>VLOOKUP(Table5[[#This Row],[Date]],Database!A:E,5,)</f>
        <v/>
      </c>
      <c r="C273" s="14">
        <f>(B273-B272)/B272</f>
        <v/>
      </c>
      <c r="D273" s="14">
        <f>(B273-B261)/B261</f>
        <v/>
      </c>
      <c r="E273" s="15">
        <f>VLOOKUP(Table5[[#This Row],[Date]],'Fed Fund New'!$A:$C,2,FALSE)</f>
        <v/>
      </c>
      <c r="F273" s="27" t="n">
        <v>0.02</v>
      </c>
    </row>
    <row r="274">
      <c r="A274" s="61" t="n">
        <v>32660</v>
      </c>
      <c r="B274" s="68">
        <f>VLOOKUP(Table5[[#This Row],[Date]],Database!A:E,5,)</f>
        <v/>
      </c>
      <c r="C274" s="14">
        <f>(B274-B273)/B273</f>
        <v/>
      </c>
      <c r="D274" s="14">
        <f>(B274-B262)/B262</f>
        <v/>
      </c>
      <c r="E274" s="15">
        <f>VLOOKUP(Table5[[#This Row],[Date]],'Fed Fund New'!$A:$C,2,FALSE)</f>
        <v/>
      </c>
      <c r="F274" s="27" t="n">
        <v>0.02</v>
      </c>
    </row>
    <row r="275">
      <c r="A275" s="61" t="n">
        <v>32690</v>
      </c>
      <c r="B275" s="68">
        <f>VLOOKUP(Table5[[#This Row],[Date]],Database!A:E,5,)</f>
        <v/>
      </c>
      <c r="C275" s="14">
        <f>(B275-B274)/B274</f>
        <v/>
      </c>
      <c r="D275" s="14">
        <f>(B275-B263)/B263</f>
        <v/>
      </c>
      <c r="E275" s="15">
        <f>VLOOKUP(Table5[[#This Row],[Date]],'Fed Fund New'!$A:$C,2,FALSE)</f>
        <v/>
      </c>
      <c r="F275" s="27" t="n">
        <v>0.02</v>
      </c>
    </row>
    <row r="276">
      <c r="A276" s="61" t="n">
        <v>32721</v>
      </c>
      <c r="B276" s="68">
        <f>VLOOKUP(Table5[[#This Row],[Date]],Database!A:E,5,)</f>
        <v/>
      </c>
      <c r="C276" s="14">
        <f>(B276-B275)/B275</f>
        <v/>
      </c>
      <c r="D276" s="14">
        <f>(B276-B264)/B264</f>
        <v/>
      </c>
      <c r="E276" s="15">
        <f>VLOOKUP(Table5[[#This Row],[Date]],'Fed Fund New'!$A:$C,2,FALSE)</f>
        <v/>
      </c>
      <c r="F276" s="27" t="n">
        <v>0.02</v>
      </c>
    </row>
    <row r="277">
      <c r="A277" s="61" t="n">
        <v>32752</v>
      </c>
      <c r="B277" s="68">
        <f>VLOOKUP(Table5[[#This Row],[Date]],Database!A:E,5,)</f>
        <v/>
      </c>
      <c r="C277" s="14">
        <f>(B277-B276)/B276</f>
        <v/>
      </c>
      <c r="D277" s="14">
        <f>(B277-B265)/B265</f>
        <v/>
      </c>
      <c r="E277" s="15">
        <f>VLOOKUP(Table5[[#This Row],[Date]],'Fed Fund New'!$A:$C,2,FALSE)</f>
        <v/>
      </c>
      <c r="F277" s="27" t="n">
        <v>0.02</v>
      </c>
    </row>
    <row r="278">
      <c r="A278" s="61" t="n">
        <v>32782</v>
      </c>
      <c r="B278" s="68">
        <f>VLOOKUP(Table5[[#This Row],[Date]],Database!A:E,5,)</f>
        <v/>
      </c>
      <c r="C278" s="14">
        <f>(B278-B277)/B277</f>
        <v/>
      </c>
      <c r="D278" s="14">
        <f>(B278-B266)/B266</f>
        <v/>
      </c>
      <c r="E278" s="15">
        <f>VLOOKUP(Table5[[#This Row],[Date]],'Fed Fund New'!$A:$C,2,FALSE)</f>
        <v/>
      </c>
      <c r="F278" s="27" t="n">
        <v>0.02</v>
      </c>
    </row>
    <row r="279">
      <c r="A279" s="61" t="n">
        <v>32813</v>
      </c>
      <c r="B279" s="68">
        <f>VLOOKUP(Table5[[#This Row],[Date]],Database!A:E,5,)</f>
        <v/>
      </c>
      <c r="C279" s="14">
        <f>(B279-B278)/B278</f>
        <v/>
      </c>
      <c r="D279" s="14">
        <f>(B279-B267)/B267</f>
        <v/>
      </c>
      <c r="E279" s="15">
        <f>VLOOKUP(Table5[[#This Row],[Date]],'Fed Fund New'!$A:$C,2,FALSE)</f>
        <v/>
      </c>
      <c r="F279" s="27" t="n">
        <v>0.02</v>
      </c>
    </row>
    <row r="280">
      <c r="A280" s="61" t="n">
        <v>32843</v>
      </c>
      <c r="B280" s="68">
        <f>VLOOKUP(Table5[[#This Row],[Date]],Database!A:E,5,)</f>
        <v/>
      </c>
      <c r="C280" s="14">
        <f>(B280-B279)/B279</f>
        <v/>
      </c>
      <c r="D280" s="14">
        <f>(B280-B268)/B268</f>
        <v/>
      </c>
      <c r="E280" s="15">
        <f>VLOOKUP(Table5[[#This Row],[Date]],'Fed Fund New'!$A:$C,2,FALSE)</f>
        <v/>
      </c>
      <c r="F280" s="27" t="n">
        <v>0.02</v>
      </c>
    </row>
    <row r="281">
      <c r="A281" s="61" t="n">
        <v>32874</v>
      </c>
      <c r="B281" s="68">
        <f>VLOOKUP(Table5[[#This Row],[Date]],Database!A:E,5,)</f>
        <v/>
      </c>
      <c r="C281" s="14">
        <f>(B281-B280)/B280</f>
        <v/>
      </c>
      <c r="D281" s="14">
        <f>(B281-B269)/B269</f>
        <v/>
      </c>
      <c r="E281" s="15">
        <f>VLOOKUP(Table5[[#This Row],[Date]],'Fed Fund New'!$A:$C,2,FALSE)</f>
        <v/>
      </c>
      <c r="F281" s="27" t="n">
        <v>0.02</v>
      </c>
    </row>
    <row r="282">
      <c r="A282" s="61" t="n">
        <v>32905</v>
      </c>
      <c r="B282" s="68">
        <f>VLOOKUP(Table5[[#This Row],[Date]],Database!A:E,5,)</f>
        <v/>
      </c>
      <c r="C282" s="14">
        <f>(B282-B281)/B281</f>
        <v/>
      </c>
      <c r="D282" s="14">
        <f>(B282-B270)/B270</f>
        <v/>
      </c>
      <c r="E282" s="15">
        <f>VLOOKUP(Table5[[#This Row],[Date]],'Fed Fund New'!$A:$C,2,FALSE)</f>
        <v/>
      </c>
      <c r="F282" s="27" t="n">
        <v>0.02</v>
      </c>
    </row>
    <row r="283">
      <c r="A283" s="61" t="n">
        <v>32933</v>
      </c>
      <c r="B283" s="68">
        <f>VLOOKUP(Table5[[#This Row],[Date]],Database!A:E,5,)</f>
        <v/>
      </c>
      <c r="C283" s="14">
        <f>(B283-B282)/B282</f>
        <v/>
      </c>
      <c r="D283" s="14">
        <f>(B283-B271)/B271</f>
        <v/>
      </c>
      <c r="E283" s="15">
        <f>VLOOKUP(Table5[[#This Row],[Date]],'Fed Fund New'!$A:$C,2,FALSE)</f>
        <v/>
      </c>
      <c r="F283" s="27" t="n">
        <v>0.02</v>
      </c>
    </row>
    <row r="284">
      <c r="A284" s="61" t="n">
        <v>32964</v>
      </c>
      <c r="B284" s="68">
        <f>VLOOKUP(Table5[[#This Row],[Date]],Database!A:E,5,)</f>
        <v/>
      </c>
      <c r="C284" s="14">
        <f>(B284-B283)/B283</f>
        <v/>
      </c>
      <c r="D284" s="14">
        <f>(B284-B272)/B272</f>
        <v/>
      </c>
      <c r="E284" s="15">
        <f>VLOOKUP(Table5[[#This Row],[Date]],'Fed Fund New'!$A:$C,2,FALSE)</f>
        <v/>
      </c>
      <c r="F284" s="27" t="n">
        <v>0.02</v>
      </c>
    </row>
    <row r="285">
      <c r="A285" s="61" t="n">
        <v>32994</v>
      </c>
      <c r="B285" s="68">
        <f>VLOOKUP(Table5[[#This Row],[Date]],Database!A:E,5,)</f>
        <v/>
      </c>
      <c r="C285" s="14">
        <f>(B285-B284)/B284</f>
        <v/>
      </c>
      <c r="D285" s="14">
        <f>(B285-B273)/B273</f>
        <v/>
      </c>
      <c r="E285" s="15">
        <f>VLOOKUP(Table5[[#This Row],[Date]],'Fed Fund New'!$A:$C,2,FALSE)</f>
        <v/>
      </c>
      <c r="F285" s="27" t="n">
        <v>0.02</v>
      </c>
    </row>
    <row r="286">
      <c r="A286" s="61" t="n">
        <v>33025</v>
      </c>
      <c r="B286" s="68">
        <f>VLOOKUP(Table5[[#This Row],[Date]],Database!A:E,5,)</f>
        <v/>
      </c>
      <c r="C286" s="14">
        <f>(B286-B285)/B285</f>
        <v/>
      </c>
      <c r="D286" s="14">
        <f>(B286-B274)/B274</f>
        <v/>
      </c>
      <c r="E286" s="15">
        <f>VLOOKUP(Table5[[#This Row],[Date]],'Fed Fund New'!$A:$C,2,FALSE)</f>
        <v/>
      </c>
      <c r="F286" s="27" t="n">
        <v>0.02</v>
      </c>
    </row>
    <row r="287">
      <c r="A287" s="61" t="n">
        <v>33055</v>
      </c>
      <c r="B287" s="68">
        <f>VLOOKUP(Table5[[#This Row],[Date]],Database!A:E,5,)</f>
        <v/>
      </c>
      <c r="C287" s="14">
        <f>(B287-B286)/B286</f>
        <v/>
      </c>
      <c r="D287" s="14">
        <f>(B287-B275)/B275</f>
        <v/>
      </c>
      <c r="E287" s="15">
        <f>VLOOKUP(Table5[[#This Row],[Date]],'Fed Fund New'!$A:$C,2,FALSE)</f>
        <v/>
      </c>
      <c r="F287" s="27" t="n">
        <v>0.02</v>
      </c>
    </row>
    <row r="288">
      <c r="A288" s="61" t="n">
        <v>33086</v>
      </c>
      <c r="B288" s="68">
        <f>VLOOKUP(Table5[[#This Row],[Date]],Database!A:E,5,)</f>
        <v/>
      </c>
      <c r="C288" s="14">
        <f>(B288-B287)/B287</f>
        <v/>
      </c>
      <c r="D288" s="14">
        <f>(B288-B276)/B276</f>
        <v/>
      </c>
      <c r="E288" s="15">
        <f>VLOOKUP(Table5[[#This Row],[Date]],'Fed Fund New'!$A:$C,2,FALSE)</f>
        <v/>
      </c>
      <c r="F288" s="27" t="n">
        <v>0.02</v>
      </c>
    </row>
    <row r="289">
      <c r="A289" s="61" t="n">
        <v>33117</v>
      </c>
      <c r="B289" s="68">
        <f>VLOOKUP(Table5[[#This Row],[Date]],Database!A:E,5,)</f>
        <v/>
      </c>
      <c r="C289" s="14">
        <f>(B289-B288)/B288</f>
        <v/>
      </c>
      <c r="D289" s="14">
        <f>(B289-B277)/B277</f>
        <v/>
      </c>
      <c r="E289" s="15">
        <f>VLOOKUP(Table5[[#This Row],[Date]],'Fed Fund New'!$A:$C,2,FALSE)</f>
        <v/>
      </c>
      <c r="F289" s="27" t="n">
        <v>0.02</v>
      </c>
    </row>
    <row r="290">
      <c r="A290" s="61" t="n">
        <v>33147</v>
      </c>
      <c r="B290" s="68">
        <f>VLOOKUP(Table5[[#This Row],[Date]],Database!A:E,5,)</f>
        <v/>
      </c>
      <c r="C290" s="14">
        <f>(B290-B289)/B289</f>
        <v/>
      </c>
      <c r="D290" s="14">
        <f>(B290-B278)/B278</f>
        <v/>
      </c>
      <c r="E290" s="15">
        <f>VLOOKUP(Table5[[#This Row],[Date]],'Fed Fund New'!$A:$C,2,FALSE)</f>
        <v/>
      </c>
      <c r="F290" s="27" t="n">
        <v>0.02</v>
      </c>
    </row>
    <row r="291">
      <c r="A291" s="61" t="n">
        <v>33178</v>
      </c>
      <c r="B291" s="68">
        <f>VLOOKUP(Table5[[#This Row],[Date]],Database!A:E,5,)</f>
        <v/>
      </c>
      <c r="C291" s="14">
        <f>(B291-B290)/B290</f>
        <v/>
      </c>
      <c r="D291" s="14">
        <f>(B291-B279)/B279</f>
        <v/>
      </c>
      <c r="E291" s="15">
        <f>VLOOKUP(Table5[[#This Row],[Date]],'Fed Fund New'!$A:$C,2,FALSE)</f>
        <v/>
      </c>
      <c r="F291" s="27" t="n">
        <v>0.02</v>
      </c>
    </row>
    <row r="292">
      <c r="A292" s="61" t="n">
        <v>33208</v>
      </c>
      <c r="B292" s="68">
        <f>VLOOKUP(Table5[[#This Row],[Date]],Database!A:E,5,)</f>
        <v/>
      </c>
      <c r="C292" s="14">
        <f>(B292-B291)/B291</f>
        <v/>
      </c>
      <c r="D292" s="14">
        <f>(B292-B280)/B280</f>
        <v/>
      </c>
      <c r="E292" s="15">
        <f>VLOOKUP(Table5[[#This Row],[Date]],'Fed Fund New'!$A:$C,2,FALSE)</f>
        <v/>
      </c>
      <c r="F292" s="27" t="n">
        <v>0.02</v>
      </c>
    </row>
    <row r="293">
      <c r="A293" s="61" t="n">
        <v>33239</v>
      </c>
      <c r="B293" s="68">
        <f>VLOOKUP(Table5[[#This Row],[Date]],Database!A:E,5,)</f>
        <v/>
      </c>
      <c r="C293" s="14">
        <f>(B293-B292)/B292</f>
        <v/>
      </c>
      <c r="D293" s="14">
        <f>(B293-B281)/B281</f>
        <v/>
      </c>
      <c r="E293" s="15">
        <f>VLOOKUP(Table5[[#This Row],[Date]],'Fed Fund New'!$A:$C,2,FALSE)</f>
        <v/>
      </c>
      <c r="F293" s="27" t="n">
        <v>0.02</v>
      </c>
    </row>
    <row r="294">
      <c r="A294" s="61" t="n">
        <v>33270</v>
      </c>
      <c r="B294" s="68">
        <f>VLOOKUP(Table5[[#This Row],[Date]],Database!A:E,5,)</f>
        <v/>
      </c>
      <c r="C294" s="14">
        <f>(B294-B293)/B293</f>
        <v/>
      </c>
      <c r="D294" s="14">
        <f>(B294-B282)/B282</f>
        <v/>
      </c>
      <c r="E294" s="15">
        <f>VLOOKUP(Table5[[#This Row],[Date]],'Fed Fund New'!$A:$C,2,FALSE)</f>
        <v/>
      </c>
      <c r="F294" s="27" t="n">
        <v>0.02</v>
      </c>
    </row>
    <row r="295">
      <c r="A295" s="61" t="n">
        <v>33298</v>
      </c>
      <c r="B295" s="68">
        <f>VLOOKUP(Table5[[#This Row],[Date]],Database!A:E,5,)</f>
        <v/>
      </c>
      <c r="C295" s="14">
        <f>(B295-B294)/B294</f>
        <v/>
      </c>
      <c r="D295" s="14">
        <f>(B295-B283)/B283</f>
        <v/>
      </c>
      <c r="E295" s="15">
        <f>VLOOKUP(Table5[[#This Row],[Date]],'Fed Fund New'!$A:$C,2,FALSE)</f>
        <v/>
      </c>
      <c r="F295" s="27" t="n">
        <v>0.02</v>
      </c>
    </row>
    <row r="296">
      <c r="A296" s="61" t="n">
        <v>33329</v>
      </c>
      <c r="B296" s="68">
        <f>VLOOKUP(Table5[[#This Row],[Date]],Database!A:E,5,)</f>
        <v/>
      </c>
      <c r="C296" s="14">
        <f>(B296-B295)/B295</f>
        <v/>
      </c>
      <c r="D296" s="14">
        <f>(B296-B284)/B284</f>
        <v/>
      </c>
      <c r="E296" s="15">
        <f>VLOOKUP(Table5[[#This Row],[Date]],'Fed Fund New'!$A:$C,2,FALSE)</f>
        <v/>
      </c>
      <c r="F296" s="27" t="n">
        <v>0.02</v>
      </c>
    </row>
    <row r="297">
      <c r="A297" s="61" t="n">
        <v>33359</v>
      </c>
      <c r="B297" s="68">
        <f>VLOOKUP(Table5[[#This Row],[Date]],Database!A:E,5,)</f>
        <v/>
      </c>
      <c r="C297" s="14">
        <f>(B297-B296)/B296</f>
        <v/>
      </c>
      <c r="D297" s="14">
        <f>(B297-B285)/B285</f>
        <v/>
      </c>
      <c r="E297" s="15">
        <f>VLOOKUP(Table5[[#This Row],[Date]],'Fed Fund New'!$A:$C,2,FALSE)</f>
        <v/>
      </c>
      <c r="F297" s="27" t="n">
        <v>0.02</v>
      </c>
    </row>
    <row r="298">
      <c r="A298" s="61" t="n">
        <v>33390</v>
      </c>
      <c r="B298" s="68">
        <f>VLOOKUP(Table5[[#This Row],[Date]],Database!A:E,5,)</f>
        <v/>
      </c>
      <c r="C298" s="14">
        <f>(B298-B297)/B297</f>
        <v/>
      </c>
      <c r="D298" s="14">
        <f>(B298-B286)/B286</f>
        <v/>
      </c>
      <c r="E298" s="15">
        <f>VLOOKUP(Table5[[#This Row],[Date]],'Fed Fund New'!$A:$C,2,FALSE)</f>
        <v/>
      </c>
      <c r="F298" s="27" t="n">
        <v>0.02</v>
      </c>
    </row>
    <row r="299">
      <c r="A299" s="61" t="n">
        <v>33420</v>
      </c>
      <c r="B299" s="68">
        <f>VLOOKUP(Table5[[#This Row],[Date]],Database!A:E,5,)</f>
        <v/>
      </c>
      <c r="C299" s="14">
        <f>(B299-B298)/B298</f>
        <v/>
      </c>
      <c r="D299" s="14">
        <f>(B299-B287)/B287</f>
        <v/>
      </c>
      <c r="E299" s="15">
        <f>VLOOKUP(Table5[[#This Row],[Date]],'Fed Fund New'!$A:$C,2,FALSE)</f>
        <v/>
      </c>
      <c r="F299" s="27" t="n">
        <v>0.02</v>
      </c>
    </row>
    <row r="300">
      <c r="A300" s="61" t="n">
        <v>33451</v>
      </c>
      <c r="B300" s="68">
        <f>VLOOKUP(Table5[[#This Row],[Date]],Database!A:E,5,)</f>
        <v/>
      </c>
      <c r="C300" s="14">
        <f>(B300-B299)/B299</f>
        <v/>
      </c>
      <c r="D300" s="14">
        <f>(B300-B288)/B288</f>
        <v/>
      </c>
      <c r="E300" s="15">
        <f>VLOOKUP(Table5[[#This Row],[Date]],'Fed Fund New'!$A:$C,2,FALSE)</f>
        <v/>
      </c>
      <c r="F300" s="27" t="n">
        <v>0.02</v>
      </c>
    </row>
    <row r="301">
      <c r="A301" s="61" t="n">
        <v>33482</v>
      </c>
      <c r="B301" s="68">
        <f>VLOOKUP(Table5[[#This Row],[Date]],Database!A:E,5,)</f>
        <v/>
      </c>
      <c r="C301" s="14">
        <f>(B301-B300)/B300</f>
        <v/>
      </c>
      <c r="D301" s="14">
        <f>(B301-B289)/B289</f>
        <v/>
      </c>
      <c r="E301" s="15">
        <f>VLOOKUP(Table5[[#This Row],[Date]],'Fed Fund New'!$A:$C,2,FALSE)</f>
        <v/>
      </c>
      <c r="F301" s="27" t="n">
        <v>0.02</v>
      </c>
    </row>
    <row r="302">
      <c r="A302" s="61" t="n">
        <v>33512</v>
      </c>
      <c r="B302" s="68">
        <f>VLOOKUP(Table5[[#This Row],[Date]],Database!A:E,5,)</f>
        <v/>
      </c>
      <c r="C302" s="14">
        <f>(B302-B301)/B301</f>
        <v/>
      </c>
      <c r="D302" s="14">
        <f>(B302-B290)/B290</f>
        <v/>
      </c>
      <c r="E302" s="15">
        <f>VLOOKUP(Table5[[#This Row],[Date]],'Fed Fund New'!$A:$C,2,FALSE)</f>
        <v/>
      </c>
      <c r="F302" s="27" t="n">
        <v>0.02</v>
      </c>
    </row>
    <row r="303">
      <c r="A303" s="61" t="n">
        <v>33543</v>
      </c>
      <c r="B303" s="68">
        <f>VLOOKUP(Table5[[#This Row],[Date]],Database!A:E,5,)</f>
        <v/>
      </c>
      <c r="C303" s="14">
        <f>(B303-B302)/B302</f>
        <v/>
      </c>
      <c r="D303" s="14">
        <f>(B303-B291)/B291</f>
        <v/>
      </c>
      <c r="E303" s="15">
        <f>VLOOKUP(Table5[[#This Row],[Date]],'Fed Fund New'!$A:$C,2,FALSE)</f>
        <v/>
      </c>
      <c r="F303" s="27" t="n">
        <v>0.02</v>
      </c>
    </row>
    <row r="304">
      <c r="A304" s="61" t="n">
        <v>33573</v>
      </c>
      <c r="B304" s="68">
        <f>VLOOKUP(Table5[[#This Row],[Date]],Database!A:E,5,)</f>
        <v/>
      </c>
      <c r="C304" s="14">
        <f>(B304-B303)/B303</f>
        <v/>
      </c>
      <c r="D304" s="14">
        <f>(B304-B292)/B292</f>
        <v/>
      </c>
      <c r="E304" s="15">
        <f>VLOOKUP(Table5[[#This Row],[Date]],'Fed Fund New'!$A:$C,2,FALSE)</f>
        <v/>
      </c>
      <c r="F304" s="27" t="n">
        <v>0.02</v>
      </c>
    </row>
    <row r="305">
      <c r="A305" s="61" t="n">
        <v>33604</v>
      </c>
      <c r="B305" s="68">
        <f>VLOOKUP(Table5[[#This Row],[Date]],Database!A:E,5,)</f>
        <v/>
      </c>
      <c r="C305" s="14">
        <f>(B305-B304)/B304</f>
        <v/>
      </c>
      <c r="D305" s="14">
        <f>(B305-B293)/B293</f>
        <v/>
      </c>
      <c r="E305" s="15">
        <f>VLOOKUP(Table5[[#This Row],[Date]],'Fed Fund New'!$A:$C,2,FALSE)</f>
        <v/>
      </c>
      <c r="F305" s="27" t="n">
        <v>0.02</v>
      </c>
    </row>
    <row r="306">
      <c r="A306" s="61" t="n">
        <v>33635</v>
      </c>
      <c r="B306" s="68">
        <f>VLOOKUP(Table5[[#This Row],[Date]],Database!A:E,5,)</f>
        <v/>
      </c>
      <c r="C306" s="14">
        <f>(B306-B305)/B305</f>
        <v/>
      </c>
      <c r="D306" s="14">
        <f>(B306-B294)/B294</f>
        <v/>
      </c>
      <c r="E306" s="15">
        <f>VLOOKUP(Table5[[#This Row],[Date]],'Fed Fund New'!$A:$C,2,FALSE)</f>
        <v/>
      </c>
      <c r="F306" s="27" t="n">
        <v>0.02</v>
      </c>
    </row>
    <row r="307">
      <c r="A307" s="61" t="n">
        <v>33664</v>
      </c>
      <c r="B307" s="68">
        <f>VLOOKUP(Table5[[#This Row],[Date]],Database!A:E,5,)</f>
        <v/>
      </c>
      <c r="C307" s="14">
        <f>(B307-B306)/B306</f>
        <v/>
      </c>
      <c r="D307" s="14">
        <f>(B307-B295)/B295</f>
        <v/>
      </c>
      <c r="E307" s="15">
        <f>VLOOKUP(Table5[[#This Row],[Date]],'Fed Fund New'!$A:$C,2,FALSE)</f>
        <v/>
      </c>
      <c r="F307" s="27" t="n">
        <v>0.02</v>
      </c>
    </row>
    <row r="308">
      <c r="A308" s="61" t="n">
        <v>33695</v>
      </c>
      <c r="B308" s="68">
        <f>VLOOKUP(Table5[[#This Row],[Date]],Database!A:E,5,)</f>
        <v/>
      </c>
      <c r="C308" s="14">
        <f>(B308-B307)/B307</f>
        <v/>
      </c>
      <c r="D308" s="14">
        <f>(B308-B296)/B296</f>
        <v/>
      </c>
      <c r="E308" s="15">
        <f>VLOOKUP(Table5[[#This Row],[Date]],'Fed Fund New'!$A:$C,2,FALSE)</f>
        <v/>
      </c>
      <c r="F308" s="27" t="n">
        <v>0.02</v>
      </c>
    </row>
    <row r="309">
      <c r="A309" s="61" t="n">
        <v>33725</v>
      </c>
      <c r="B309" s="68">
        <f>VLOOKUP(Table5[[#This Row],[Date]],Database!A:E,5,)</f>
        <v/>
      </c>
      <c r="C309" s="14">
        <f>(B309-B308)/B308</f>
        <v/>
      </c>
      <c r="D309" s="14">
        <f>(B309-B297)/B297</f>
        <v/>
      </c>
      <c r="E309" s="15">
        <f>VLOOKUP(Table5[[#This Row],[Date]],'Fed Fund New'!$A:$C,2,FALSE)</f>
        <v/>
      </c>
      <c r="F309" s="27" t="n">
        <v>0.02</v>
      </c>
    </row>
    <row r="310">
      <c r="A310" s="61" t="n">
        <v>33756</v>
      </c>
      <c r="B310" s="68">
        <f>VLOOKUP(Table5[[#This Row],[Date]],Database!A:E,5,)</f>
        <v/>
      </c>
      <c r="C310" s="14">
        <f>(B310-B309)/B309</f>
        <v/>
      </c>
      <c r="D310" s="14">
        <f>(B310-B298)/B298</f>
        <v/>
      </c>
      <c r="E310" s="15">
        <f>VLOOKUP(Table5[[#This Row],[Date]],'Fed Fund New'!$A:$C,2,FALSE)</f>
        <v/>
      </c>
      <c r="F310" s="27" t="n">
        <v>0.02</v>
      </c>
    </row>
    <row r="311">
      <c r="A311" s="61" t="n">
        <v>33786</v>
      </c>
      <c r="B311" s="68">
        <f>VLOOKUP(Table5[[#This Row],[Date]],Database!A:E,5,)</f>
        <v/>
      </c>
      <c r="C311" s="14">
        <f>(B311-B310)/B310</f>
        <v/>
      </c>
      <c r="D311" s="14">
        <f>(B311-B299)/B299</f>
        <v/>
      </c>
      <c r="E311" s="15">
        <f>VLOOKUP(Table5[[#This Row],[Date]],'Fed Fund New'!$A:$C,2,FALSE)</f>
        <v/>
      </c>
      <c r="F311" s="27" t="n">
        <v>0.02</v>
      </c>
    </row>
    <row r="312">
      <c r="A312" s="61" t="n">
        <v>33817</v>
      </c>
      <c r="B312" s="68">
        <f>VLOOKUP(Table5[[#This Row],[Date]],Database!A:E,5,)</f>
        <v/>
      </c>
      <c r="C312" s="14">
        <f>(B312-B311)/B311</f>
        <v/>
      </c>
      <c r="D312" s="14">
        <f>(B312-B300)/B300</f>
        <v/>
      </c>
      <c r="E312" s="15">
        <f>VLOOKUP(Table5[[#This Row],[Date]],'Fed Fund New'!$A:$C,2,FALSE)</f>
        <v/>
      </c>
      <c r="F312" s="27" t="n">
        <v>0.02</v>
      </c>
    </row>
    <row r="313">
      <c r="A313" s="61" t="n">
        <v>33848</v>
      </c>
      <c r="B313" s="68">
        <f>VLOOKUP(Table5[[#This Row],[Date]],Database!A:E,5,)</f>
        <v/>
      </c>
      <c r="C313" s="14">
        <f>(B313-B312)/B312</f>
        <v/>
      </c>
      <c r="D313" s="14">
        <f>(B313-B301)/B301</f>
        <v/>
      </c>
      <c r="E313" s="15">
        <f>VLOOKUP(Table5[[#This Row],[Date]],'Fed Fund New'!$A:$C,2,FALSE)</f>
        <v/>
      </c>
      <c r="F313" s="27" t="n">
        <v>0.02</v>
      </c>
    </row>
    <row r="314">
      <c r="A314" s="61" t="n">
        <v>33878</v>
      </c>
      <c r="B314" s="68">
        <f>VLOOKUP(Table5[[#This Row],[Date]],Database!A:E,5,)</f>
        <v/>
      </c>
      <c r="C314" s="14">
        <f>(B314-B313)/B313</f>
        <v/>
      </c>
      <c r="D314" s="14">
        <f>(B314-B302)/B302</f>
        <v/>
      </c>
      <c r="E314" s="15">
        <f>VLOOKUP(Table5[[#This Row],[Date]],'Fed Fund New'!$A:$C,2,FALSE)</f>
        <v/>
      </c>
      <c r="F314" s="27" t="n">
        <v>0.02</v>
      </c>
    </row>
    <row r="315">
      <c r="A315" s="61" t="n">
        <v>33909</v>
      </c>
      <c r="B315" s="68">
        <f>VLOOKUP(Table5[[#This Row],[Date]],Database!A:E,5,)</f>
        <v/>
      </c>
      <c r="C315" s="14">
        <f>(B315-B314)/B314</f>
        <v/>
      </c>
      <c r="D315" s="14">
        <f>(B315-B303)/B303</f>
        <v/>
      </c>
      <c r="E315" s="15">
        <f>VLOOKUP(Table5[[#This Row],[Date]],'Fed Fund New'!$A:$C,2,FALSE)</f>
        <v/>
      </c>
      <c r="F315" s="27" t="n">
        <v>0.02</v>
      </c>
    </row>
    <row r="316">
      <c r="A316" s="61" t="n">
        <v>33939</v>
      </c>
      <c r="B316" s="68">
        <f>VLOOKUP(Table5[[#This Row],[Date]],Database!A:E,5,)</f>
        <v/>
      </c>
      <c r="C316" s="14">
        <f>(B316-B315)/B315</f>
        <v/>
      </c>
      <c r="D316" s="14">
        <f>(B316-B304)/B304</f>
        <v/>
      </c>
      <c r="E316" s="15">
        <f>VLOOKUP(Table5[[#This Row],[Date]],'Fed Fund New'!$A:$C,2,FALSE)</f>
        <v/>
      </c>
      <c r="F316" s="27" t="n">
        <v>0.02</v>
      </c>
    </row>
    <row r="317">
      <c r="A317" s="61" t="n">
        <v>33970</v>
      </c>
      <c r="B317" s="68">
        <f>VLOOKUP(Table5[[#This Row],[Date]],Database!A:E,5,)</f>
        <v/>
      </c>
      <c r="C317" s="14">
        <f>(B317-B316)/B316</f>
        <v/>
      </c>
      <c r="D317" s="14">
        <f>(B317-B305)/B305</f>
        <v/>
      </c>
      <c r="E317" s="15">
        <f>VLOOKUP(Table5[[#This Row],[Date]],'Fed Fund New'!$A:$C,2,FALSE)</f>
        <v/>
      </c>
      <c r="F317" s="27" t="n">
        <v>0.02</v>
      </c>
    </row>
    <row r="318">
      <c r="A318" s="61" t="n">
        <v>34001</v>
      </c>
      <c r="B318" s="68">
        <f>VLOOKUP(Table5[[#This Row],[Date]],Database!A:E,5,)</f>
        <v/>
      </c>
      <c r="C318" s="14">
        <f>(B318-B317)/B317</f>
        <v/>
      </c>
      <c r="D318" s="14">
        <f>(B318-B306)/B306</f>
        <v/>
      </c>
      <c r="E318" s="15">
        <f>VLOOKUP(Table5[[#This Row],[Date]],'Fed Fund New'!$A:$C,2,FALSE)</f>
        <v/>
      </c>
      <c r="F318" s="27" t="n">
        <v>0.02</v>
      </c>
    </row>
    <row r="319">
      <c r="A319" s="61" t="n">
        <v>34029</v>
      </c>
      <c r="B319" s="68">
        <f>VLOOKUP(Table5[[#This Row],[Date]],Database!A:E,5,)</f>
        <v/>
      </c>
      <c r="C319" s="14">
        <f>(B319-B318)/B318</f>
        <v/>
      </c>
      <c r="D319" s="14">
        <f>(B319-B307)/B307</f>
        <v/>
      </c>
      <c r="E319" s="15">
        <f>VLOOKUP(Table5[[#This Row],[Date]],'Fed Fund New'!$A:$C,2,FALSE)</f>
        <v/>
      </c>
      <c r="F319" s="27" t="n">
        <v>0.02</v>
      </c>
    </row>
    <row r="320">
      <c r="A320" s="61" t="n">
        <v>34060</v>
      </c>
      <c r="B320" s="68">
        <f>VLOOKUP(Table5[[#This Row],[Date]],Database!A:E,5,)</f>
        <v/>
      </c>
      <c r="C320" s="14">
        <f>(B320-B319)/B319</f>
        <v/>
      </c>
      <c r="D320" s="14">
        <f>(B320-B308)/B308</f>
        <v/>
      </c>
      <c r="E320" s="15">
        <f>VLOOKUP(Table5[[#This Row],[Date]],'Fed Fund New'!$A:$C,2,FALSE)</f>
        <v/>
      </c>
      <c r="F320" s="27" t="n">
        <v>0.02</v>
      </c>
    </row>
    <row r="321">
      <c r="A321" s="61" t="n">
        <v>34090</v>
      </c>
      <c r="B321" s="68">
        <f>VLOOKUP(Table5[[#This Row],[Date]],Database!A:E,5,)</f>
        <v/>
      </c>
      <c r="C321" s="14">
        <f>(B321-B320)/B320</f>
        <v/>
      </c>
      <c r="D321" s="14">
        <f>(B321-B309)/B309</f>
        <v/>
      </c>
      <c r="E321" s="15">
        <f>VLOOKUP(Table5[[#This Row],[Date]],'Fed Fund New'!$A:$C,2,FALSE)</f>
        <v/>
      </c>
      <c r="F321" s="27" t="n">
        <v>0.02</v>
      </c>
    </row>
    <row r="322">
      <c r="A322" s="61" t="n">
        <v>34121</v>
      </c>
      <c r="B322" s="68">
        <f>VLOOKUP(Table5[[#This Row],[Date]],Database!A:E,5,)</f>
        <v/>
      </c>
      <c r="C322" s="14">
        <f>(B322-B321)/B321</f>
        <v/>
      </c>
      <c r="D322" s="14">
        <f>(B322-B310)/B310</f>
        <v/>
      </c>
      <c r="E322" s="15">
        <f>VLOOKUP(Table5[[#This Row],[Date]],'Fed Fund New'!$A:$C,2,FALSE)</f>
        <v/>
      </c>
      <c r="F322" s="27" t="n">
        <v>0.02</v>
      </c>
    </row>
    <row r="323">
      <c r="A323" s="61" t="n">
        <v>34151</v>
      </c>
      <c r="B323" s="68">
        <f>VLOOKUP(Table5[[#This Row],[Date]],Database!A:E,5,)</f>
        <v/>
      </c>
      <c r="C323" s="14">
        <f>(B323-B322)/B322</f>
        <v/>
      </c>
      <c r="D323" s="14">
        <f>(B323-B311)/B311</f>
        <v/>
      </c>
      <c r="E323" s="15">
        <f>VLOOKUP(Table5[[#This Row],[Date]],'Fed Fund New'!$A:$C,2,FALSE)</f>
        <v/>
      </c>
      <c r="F323" s="27" t="n">
        <v>0.02</v>
      </c>
    </row>
    <row r="324">
      <c r="A324" s="61" t="n">
        <v>34182</v>
      </c>
      <c r="B324" s="68">
        <f>VLOOKUP(Table5[[#This Row],[Date]],Database!A:E,5,)</f>
        <v/>
      </c>
      <c r="C324" s="14">
        <f>(B324-B323)/B323</f>
        <v/>
      </c>
      <c r="D324" s="14">
        <f>(B324-B312)/B312</f>
        <v/>
      </c>
      <c r="E324" s="15">
        <f>VLOOKUP(Table5[[#This Row],[Date]],'Fed Fund New'!$A:$C,2,FALSE)</f>
        <v/>
      </c>
      <c r="F324" s="27" t="n">
        <v>0.02</v>
      </c>
    </row>
    <row r="325">
      <c r="A325" s="61" t="n">
        <v>34213</v>
      </c>
      <c r="B325" s="68">
        <f>VLOOKUP(Table5[[#This Row],[Date]],Database!A:E,5,)</f>
        <v/>
      </c>
      <c r="C325" s="14">
        <f>(B325-B324)/B324</f>
        <v/>
      </c>
      <c r="D325" s="14">
        <f>(B325-B313)/B313</f>
        <v/>
      </c>
      <c r="E325" s="15">
        <f>VLOOKUP(Table5[[#This Row],[Date]],'Fed Fund New'!$A:$C,2,FALSE)</f>
        <v/>
      </c>
      <c r="F325" s="27" t="n">
        <v>0.02</v>
      </c>
    </row>
    <row r="326">
      <c r="A326" s="61" t="n">
        <v>34243</v>
      </c>
      <c r="B326" s="68">
        <f>VLOOKUP(Table5[[#This Row],[Date]],Database!A:E,5,)</f>
        <v/>
      </c>
      <c r="C326" s="14">
        <f>(B326-B325)/B325</f>
        <v/>
      </c>
      <c r="D326" s="14">
        <f>(B326-B314)/B314</f>
        <v/>
      </c>
      <c r="E326" s="15">
        <f>VLOOKUP(Table5[[#This Row],[Date]],'Fed Fund New'!$A:$C,2,FALSE)</f>
        <v/>
      </c>
      <c r="F326" s="27" t="n">
        <v>0.02</v>
      </c>
    </row>
    <row r="327">
      <c r="A327" s="61" t="n">
        <v>34274</v>
      </c>
      <c r="B327" s="68">
        <f>VLOOKUP(Table5[[#This Row],[Date]],Database!A:E,5,)</f>
        <v/>
      </c>
      <c r="C327" s="14">
        <f>(B327-B326)/B326</f>
        <v/>
      </c>
      <c r="D327" s="14">
        <f>(B327-B315)/B315</f>
        <v/>
      </c>
      <c r="E327" s="15">
        <f>VLOOKUP(Table5[[#This Row],[Date]],'Fed Fund New'!$A:$C,2,FALSE)</f>
        <v/>
      </c>
      <c r="F327" s="27" t="n">
        <v>0.02</v>
      </c>
    </row>
    <row r="328">
      <c r="A328" s="61" t="n">
        <v>34304</v>
      </c>
      <c r="B328" s="68">
        <f>VLOOKUP(Table5[[#This Row],[Date]],Database!A:E,5,)</f>
        <v/>
      </c>
      <c r="C328" s="14">
        <f>(B328-B327)/B327</f>
        <v/>
      </c>
      <c r="D328" s="14">
        <f>(B328-B316)/B316</f>
        <v/>
      </c>
      <c r="E328" s="15">
        <f>VLOOKUP(Table5[[#This Row],[Date]],'Fed Fund New'!$A:$C,2,FALSE)</f>
        <v/>
      </c>
      <c r="F328" s="27" t="n">
        <v>0.02</v>
      </c>
    </row>
    <row r="329">
      <c r="A329" s="61" t="n">
        <v>34335</v>
      </c>
      <c r="B329" s="68">
        <f>VLOOKUP(Table5[[#This Row],[Date]],Database!A:E,5,)</f>
        <v/>
      </c>
      <c r="C329" s="14">
        <f>(B329-B328)/B328</f>
        <v/>
      </c>
      <c r="D329" s="14">
        <f>(B329-B317)/B317</f>
        <v/>
      </c>
      <c r="E329" s="15">
        <f>VLOOKUP(Table5[[#This Row],[Date]],'Fed Fund New'!$A:$C,2,FALSE)</f>
        <v/>
      </c>
      <c r="F329" s="27" t="n">
        <v>0.02</v>
      </c>
    </row>
    <row r="330">
      <c r="A330" s="61" t="n">
        <v>34366</v>
      </c>
      <c r="B330" s="68">
        <f>VLOOKUP(Table5[[#This Row],[Date]],Database!A:E,5,)</f>
        <v/>
      </c>
      <c r="C330" s="14">
        <f>(B330-B329)/B329</f>
        <v/>
      </c>
      <c r="D330" s="14">
        <f>(B330-B318)/B318</f>
        <v/>
      </c>
      <c r="E330" s="15">
        <f>VLOOKUP(Table5[[#This Row],[Date]],'Fed Fund New'!$A:$C,2,FALSE)</f>
        <v/>
      </c>
      <c r="F330" s="27" t="n">
        <v>0.02</v>
      </c>
    </row>
    <row r="331">
      <c r="A331" s="61" t="n">
        <v>34394</v>
      </c>
      <c r="B331" s="68">
        <f>VLOOKUP(Table5[[#This Row],[Date]],Database!A:E,5,)</f>
        <v/>
      </c>
      <c r="C331" s="14">
        <f>(B331-B330)/B330</f>
        <v/>
      </c>
      <c r="D331" s="14">
        <f>(B331-B319)/B319</f>
        <v/>
      </c>
      <c r="E331" s="15">
        <f>VLOOKUP(Table5[[#This Row],[Date]],'Fed Fund New'!$A:$C,2,FALSE)</f>
        <v/>
      </c>
      <c r="F331" s="27" t="n">
        <v>0.02</v>
      </c>
    </row>
    <row r="332">
      <c r="A332" s="61" t="n">
        <v>34425</v>
      </c>
      <c r="B332" s="68">
        <f>VLOOKUP(Table5[[#This Row],[Date]],Database!A:E,5,)</f>
        <v/>
      </c>
      <c r="C332" s="14">
        <f>(B332-B331)/B331</f>
        <v/>
      </c>
      <c r="D332" s="14">
        <f>(B332-B320)/B320</f>
        <v/>
      </c>
      <c r="E332" s="15">
        <f>VLOOKUP(Table5[[#This Row],[Date]],'Fed Fund New'!$A:$C,2,FALSE)</f>
        <v/>
      </c>
      <c r="F332" s="27" t="n">
        <v>0.02</v>
      </c>
    </row>
    <row r="333">
      <c r="A333" s="61" t="n">
        <v>34455</v>
      </c>
      <c r="B333" s="68">
        <f>VLOOKUP(Table5[[#This Row],[Date]],Database!A:E,5,)</f>
        <v/>
      </c>
      <c r="C333" s="14">
        <f>(B333-B332)/B332</f>
        <v/>
      </c>
      <c r="D333" s="14">
        <f>(B333-B321)/B321</f>
        <v/>
      </c>
      <c r="E333" s="15">
        <f>VLOOKUP(Table5[[#This Row],[Date]],'Fed Fund New'!$A:$C,2,FALSE)</f>
        <v/>
      </c>
      <c r="F333" s="27" t="n">
        <v>0.02</v>
      </c>
    </row>
    <row r="334">
      <c r="A334" s="61" t="n">
        <v>34486</v>
      </c>
      <c r="B334" s="68">
        <f>VLOOKUP(Table5[[#This Row],[Date]],Database!A:E,5,)</f>
        <v/>
      </c>
      <c r="C334" s="14">
        <f>(B334-B333)/B333</f>
        <v/>
      </c>
      <c r="D334" s="14">
        <f>(B334-B322)/B322</f>
        <v/>
      </c>
      <c r="E334" s="15">
        <f>VLOOKUP(Table5[[#This Row],[Date]],'Fed Fund New'!$A:$C,2,FALSE)</f>
        <v/>
      </c>
      <c r="F334" s="27" t="n">
        <v>0.02</v>
      </c>
    </row>
    <row r="335">
      <c r="A335" s="61" t="n">
        <v>34516</v>
      </c>
      <c r="B335" s="68">
        <f>VLOOKUP(Table5[[#This Row],[Date]],Database!A:E,5,)</f>
        <v/>
      </c>
      <c r="C335" s="14">
        <f>(B335-B334)/B334</f>
        <v/>
      </c>
      <c r="D335" s="14">
        <f>(B335-B323)/B323</f>
        <v/>
      </c>
      <c r="E335" s="15">
        <f>VLOOKUP(Table5[[#This Row],[Date]],'Fed Fund New'!$A:$C,2,FALSE)</f>
        <v/>
      </c>
      <c r="F335" s="27" t="n">
        <v>0.02</v>
      </c>
    </row>
    <row r="336">
      <c r="A336" s="61" t="n">
        <v>34547</v>
      </c>
      <c r="B336" s="68">
        <f>VLOOKUP(Table5[[#This Row],[Date]],Database!A:E,5,)</f>
        <v/>
      </c>
      <c r="C336" s="14">
        <f>(B336-B335)/B335</f>
        <v/>
      </c>
      <c r="D336" s="14">
        <f>(B336-B324)/B324</f>
        <v/>
      </c>
      <c r="E336" s="15">
        <f>VLOOKUP(Table5[[#This Row],[Date]],'Fed Fund New'!$A:$C,2,FALSE)</f>
        <v/>
      </c>
      <c r="F336" s="27" t="n">
        <v>0.02</v>
      </c>
    </row>
    <row r="337">
      <c r="A337" s="61" t="n">
        <v>34578</v>
      </c>
      <c r="B337" s="68">
        <f>VLOOKUP(Table5[[#This Row],[Date]],Database!A:E,5,)</f>
        <v/>
      </c>
      <c r="C337" s="14">
        <f>(B337-B336)/B336</f>
        <v/>
      </c>
      <c r="D337" s="14">
        <f>(B337-B325)/B325</f>
        <v/>
      </c>
      <c r="E337" s="15">
        <f>VLOOKUP(Table5[[#This Row],[Date]],'Fed Fund New'!$A:$C,2,FALSE)</f>
        <v/>
      </c>
      <c r="F337" s="27" t="n">
        <v>0.02</v>
      </c>
    </row>
    <row r="338">
      <c r="A338" s="61" t="n">
        <v>34608</v>
      </c>
      <c r="B338" s="68">
        <f>VLOOKUP(Table5[[#This Row],[Date]],Database!A:E,5,)</f>
        <v/>
      </c>
      <c r="C338" s="14">
        <f>(B338-B337)/B337</f>
        <v/>
      </c>
      <c r="D338" s="14">
        <f>(B338-B326)/B326</f>
        <v/>
      </c>
      <c r="E338" s="15">
        <f>VLOOKUP(Table5[[#This Row],[Date]],'Fed Fund New'!$A:$C,2,FALSE)</f>
        <v/>
      </c>
      <c r="F338" s="27" t="n">
        <v>0.02</v>
      </c>
    </row>
    <row r="339">
      <c r="A339" s="61" t="n">
        <v>34639</v>
      </c>
      <c r="B339" s="68">
        <f>VLOOKUP(Table5[[#This Row],[Date]],Database!A:E,5,)</f>
        <v/>
      </c>
      <c r="C339" s="14">
        <f>(B339-B338)/B338</f>
        <v/>
      </c>
      <c r="D339" s="14">
        <f>(B339-B327)/B327</f>
        <v/>
      </c>
      <c r="E339" s="15">
        <f>VLOOKUP(Table5[[#This Row],[Date]],'Fed Fund New'!$A:$C,2,FALSE)</f>
        <v/>
      </c>
      <c r="F339" s="27" t="n">
        <v>0.02</v>
      </c>
    </row>
    <row r="340">
      <c r="A340" s="61" t="n">
        <v>34669</v>
      </c>
      <c r="B340" s="68">
        <f>VLOOKUP(Table5[[#This Row],[Date]],Database!A:E,5,)</f>
        <v/>
      </c>
      <c r="C340" s="14">
        <f>(B340-B339)/B339</f>
        <v/>
      </c>
      <c r="D340" s="14">
        <f>(B340-B328)/B328</f>
        <v/>
      </c>
      <c r="E340" s="15">
        <f>VLOOKUP(Table5[[#This Row],[Date]],'Fed Fund New'!$A:$C,2,FALSE)</f>
        <v/>
      </c>
      <c r="F340" s="27" t="n">
        <v>0.02</v>
      </c>
    </row>
    <row r="341">
      <c r="A341" s="61" t="n">
        <v>34700</v>
      </c>
      <c r="B341" s="68">
        <f>VLOOKUP(Table5[[#This Row],[Date]],Database!A:E,5,)</f>
        <v/>
      </c>
      <c r="C341" s="14">
        <f>(B341-B340)/B340</f>
        <v/>
      </c>
      <c r="D341" s="14">
        <f>(B341-B329)/B329</f>
        <v/>
      </c>
      <c r="E341" s="15">
        <f>VLOOKUP(Table5[[#This Row],[Date]],'Fed Fund New'!$A:$C,2,FALSE)</f>
        <v/>
      </c>
      <c r="F341" s="27" t="n">
        <v>0.02</v>
      </c>
    </row>
    <row r="342">
      <c r="A342" s="61" t="n">
        <v>34731</v>
      </c>
      <c r="B342" s="68">
        <f>VLOOKUP(Table5[[#This Row],[Date]],Database!A:E,5,)</f>
        <v/>
      </c>
      <c r="C342" s="14">
        <f>(B342-B341)/B341</f>
        <v/>
      </c>
      <c r="D342" s="14">
        <f>(B342-B330)/B330</f>
        <v/>
      </c>
      <c r="E342" s="15">
        <f>VLOOKUP(Table5[[#This Row],[Date]],'Fed Fund New'!$A:$C,2,FALSE)</f>
        <v/>
      </c>
      <c r="F342" s="27" t="n">
        <v>0.02</v>
      </c>
    </row>
    <row r="343">
      <c r="A343" s="61" t="n">
        <v>34759</v>
      </c>
      <c r="B343" s="68">
        <f>VLOOKUP(Table5[[#This Row],[Date]],Database!A:E,5,)</f>
        <v/>
      </c>
      <c r="C343" s="14">
        <f>(B343-B342)/B342</f>
        <v/>
      </c>
      <c r="D343" s="14">
        <f>(B343-B331)/B331</f>
        <v/>
      </c>
      <c r="E343" s="15">
        <f>VLOOKUP(Table5[[#This Row],[Date]],'Fed Fund New'!$A:$C,2,FALSE)</f>
        <v/>
      </c>
      <c r="F343" s="27" t="n">
        <v>0.02</v>
      </c>
    </row>
    <row r="344">
      <c r="A344" s="61" t="n">
        <v>34790</v>
      </c>
      <c r="B344" s="68">
        <f>VLOOKUP(Table5[[#This Row],[Date]],Database!A:E,5,)</f>
        <v/>
      </c>
      <c r="C344" s="14">
        <f>(B344-B343)/B343</f>
        <v/>
      </c>
      <c r="D344" s="14">
        <f>(B344-B332)/B332</f>
        <v/>
      </c>
      <c r="E344" s="15">
        <f>VLOOKUP(Table5[[#This Row],[Date]],'Fed Fund New'!$A:$C,2,FALSE)</f>
        <v/>
      </c>
      <c r="F344" s="27" t="n">
        <v>0.02</v>
      </c>
    </row>
    <row r="345">
      <c r="A345" s="61" t="n">
        <v>34820</v>
      </c>
      <c r="B345" s="68">
        <f>VLOOKUP(Table5[[#This Row],[Date]],Database!A:E,5,)</f>
        <v/>
      </c>
      <c r="C345" s="14">
        <f>(B345-B344)/B344</f>
        <v/>
      </c>
      <c r="D345" s="14">
        <f>(B345-B333)/B333</f>
        <v/>
      </c>
      <c r="E345" s="15">
        <f>VLOOKUP(Table5[[#This Row],[Date]],'Fed Fund New'!$A:$C,2,FALSE)</f>
        <v/>
      </c>
      <c r="F345" s="27" t="n">
        <v>0.02</v>
      </c>
    </row>
    <row r="346">
      <c r="A346" s="61" t="n">
        <v>34851</v>
      </c>
      <c r="B346" s="68">
        <f>VLOOKUP(Table5[[#This Row],[Date]],Database!A:E,5,)</f>
        <v/>
      </c>
      <c r="C346" s="14">
        <f>(B346-B345)/B345</f>
        <v/>
      </c>
      <c r="D346" s="14">
        <f>(B346-B334)/B334</f>
        <v/>
      </c>
      <c r="E346" s="15">
        <f>VLOOKUP(Table5[[#This Row],[Date]],'Fed Fund New'!$A:$C,2,FALSE)</f>
        <v/>
      </c>
      <c r="F346" s="27" t="n">
        <v>0.02</v>
      </c>
    </row>
    <row r="347">
      <c r="A347" s="61" t="n">
        <v>34881</v>
      </c>
      <c r="B347" s="68">
        <f>VLOOKUP(Table5[[#This Row],[Date]],Database!A:E,5,)</f>
        <v/>
      </c>
      <c r="C347" s="14">
        <f>(B347-B346)/B346</f>
        <v/>
      </c>
      <c r="D347" s="14">
        <f>(B347-B335)/B335</f>
        <v/>
      </c>
      <c r="E347" s="15">
        <f>VLOOKUP(Table5[[#This Row],[Date]],'Fed Fund New'!$A:$C,2,FALSE)</f>
        <v/>
      </c>
      <c r="F347" s="27" t="n">
        <v>0.02</v>
      </c>
    </row>
    <row r="348">
      <c r="A348" s="61" t="n">
        <v>34912</v>
      </c>
      <c r="B348" s="68">
        <f>VLOOKUP(Table5[[#This Row],[Date]],Database!A:E,5,)</f>
        <v/>
      </c>
      <c r="C348" s="14">
        <f>(B348-B347)/B347</f>
        <v/>
      </c>
      <c r="D348" s="14">
        <f>(B348-B336)/B336</f>
        <v/>
      </c>
      <c r="E348" s="15">
        <f>VLOOKUP(Table5[[#This Row],[Date]],'Fed Fund New'!$A:$C,2,FALSE)</f>
        <v/>
      </c>
      <c r="F348" s="27" t="n">
        <v>0.02</v>
      </c>
    </row>
    <row r="349">
      <c r="A349" s="61" t="n">
        <v>34943</v>
      </c>
      <c r="B349" s="68">
        <f>VLOOKUP(Table5[[#This Row],[Date]],Database!A:E,5,)</f>
        <v/>
      </c>
      <c r="C349" s="14">
        <f>(B349-B348)/B348</f>
        <v/>
      </c>
      <c r="D349" s="14">
        <f>(B349-B337)/B337</f>
        <v/>
      </c>
      <c r="E349" s="15">
        <f>VLOOKUP(Table5[[#This Row],[Date]],'Fed Fund New'!$A:$C,2,FALSE)</f>
        <v/>
      </c>
      <c r="F349" s="27" t="n">
        <v>0.02</v>
      </c>
    </row>
    <row r="350">
      <c r="A350" s="61" t="n">
        <v>34973</v>
      </c>
      <c r="B350" s="68">
        <f>VLOOKUP(Table5[[#This Row],[Date]],Database!A:E,5,)</f>
        <v/>
      </c>
      <c r="C350" s="14">
        <f>(B350-B349)/B349</f>
        <v/>
      </c>
      <c r="D350" s="14">
        <f>(B350-B338)/B338</f>
        <v/>
      </c>
      <c r="E350" s="15">
        <f>VLOOKUP(Table5[[#This Row],[Date]],'Fed Fund New'!$A:$C,2,FALSE)</f>
        <v/>
      </c>
      <c r="F350" s="27" t="n">
        <v>0.02</v>
      </c>
    </row>
    <row r="351">
      <c r="A351" s="61" t="n">
        <v>35004</v>
      </c>
      <c r="B351" s="68">
        <f>VLOOKUP(Table5[[#This Row],[Date]],Database!A:E,5,)</f>
        <v/>
      </c>
      <c r="C351" s="14">
        <f>(B351-B350)/B350</f>
        <v/>
      </c>
      <c r="D351" s="14">
        <f>(B351-B339)/B339</f>
        <v/>
      </c>
      <c r="E351" s="15">
        <f>VLOOKUP(Table5[[#This Row],[Date]],'Fed Fund New'!$A:$C,2,FALSE)</f>
        <v/>
      </c>
      <c r="F351" s="27" t="n">
        <v>0.02</v>
      </c>
    </row>
    <row r="352">
      <c r="A352" s="61" t="n">
        <v>35034</v>
      </c>
      <c r="B352" s="68">
        <f>VLOOKUP(Table5[[#This Row],[Date]],Database!A:E,5,)</f>
        <v/>
      </c>
      <c r="C352" s="14">
        <f>(B352-B351)/B351</f>
        <v/>
      </c>
      <c r="D352" s="14">
        <f>(B352-B340)/B340</f>
        <v/>
      </c>
      <c r="E352" s="15">
        <f>VLOOKUP(Table5[[#This Row],[Date]],'Fed Fund New'!$A:$C,2,FALSE)</f>
        <v/>
      </c>
      <c r="F352" s="27" t="n">
        <v>0.02</v>
      </c>
    </row>
    <row r="353">
      <c r="A353" s="61" t="n">
        <v>35065</v>
      </c>
      <c r="B353" s="68">
        <f>VLOOKUP(Table5[[#This Row],[Date]],Database!A:E,5,)</f>
        <v/>
      </c>
      <c r="C353" s="14">
        <f>(B353-B352)/B352</f>
        <v/>
      </c>
      <c r="D353" s="14">
        <f>(B353-B341)/B341</f>
        <v/>
      </c>
      <c r="E353" s="15">
        <f>VLOOKUP(Table5[[#This Row],[Date]],'Fed Fund New'!$A:$C,2,FALSE)</f>
        <v/>
      </c>
      <c r="F353" s="27" t="n">
        <v>0.02</v>
      </c>
    </row>
    <row r="354">
      <c r="A354" s="61" t="n">
        <v>35096</v>
      </c>
      <c r="B354" s="68">
        <f>VLOOKUP(Table5[[#This Row],[Date]],Database!A:E,5,)</f>
        <v/>
      </c>
      <c r="C354" s="14">
        <f>(B354-B353)/B353</f>
        <v/>
      </c>
      <c r="D354" s="14">
        <f>(B354-B342)/B342</f>
        <v/>
      </c>
      <c r="E354" s="15">
        <f>VLOOKUP(Table5[[#This Row],[Date]],'Fed Fund New'!$A:$C,2,FALSE)</f>
        <v/>
      </c>
      <c r="F354" s="27" t="n">
        <v>0.02</v>
      </c>
    </row>
    <row r="355">
      <c r="A355" s="61" t="n">
        <v>35125</v>
      </c>
      <c r="B355" s="68">
        <f>VLOOKUP(Table5[[#This Row],[Date]],Database!A:E,5,)</f>
        <v/>
      </c>
      <c r="C355" s="14">
        <f>(B355-B354)/B354</f>
        <v/>
      </c>
      <c r="D355" s="14">
        <f>(B355-B343)/B343</f>
        <v/>
      </c>
      <c r="E355" s="15">
        <f>VLOOKUP(Table5[[#This Row],[Date]],'Fed Fund New'!$A:$C,2,FALSE)</f>
        <v/>
      </c>
      <c r="F355" s="27" t="n">
        <v>0.02</v>
      </c>
    </row>
    <row r="356">
      <c r="A356" s="61" t="n">
        <v>35156</v>
      </c>
      <c r="B356" s="68">
        <f>VLOOKUP(Table5[[#This Row],[Date]],Database!A:E,5,)</f>
        <v/>
      </c>
      <c r="C356" s="14">
        <f>(B356-B355)/B355</f>
        <v/>
      </c>
      <c r="D356" s="14">
        <f>(B356-B344)/B344</f>
        <v/>
      </c>
      <c r="E356" s="15">
        <f>VLOOKUP(Table5[[#This Row],[Date]],'Fed Fund New'!$A:$C,2,FALSE)</f>
        <v/>
      </c>
      <c r="F356" s="27" t="n">
        <v>0.02</v>
      </c>
    </row>
    <row r="357">
      <c r="A357" s="61" t="n">
        <v>35186</v>
      </c>
      <c r="B357" s="68">
        <f>VLOOKUP(Table5[[#This Row],[Date]],Database!A:E,5,)</f>
        <v/>
      </c>
      <c r="C357" s="14">
        <f>(B357-B356)/B356</f>
        <v/>
      </c>
      <c r="D357" s="14">
        <f>(B357-B345)/B345</f>
        <v/>
      </c>
      <c r="E357" s="15">
        <f>VLOOKUP(Table5[[#This Row],[Date]],'Fed Fund New'!$A:$C,2,FALSE)</f>
        <v/>
      </c>
      <c r="F357" s="27" t="n">
        <v>0.02</v>
      </c>
    </row>
    <row r="358">
      <c r="A358" s="61" t="n">
        <v>35217</v>
      </c>
      <c r="B358" s="68">
        <f>VLOOKUP(Table5[[#This Row],[Date]],Database!A:E,5,)</f>
        <v/>
      </c>
      <c r="C358" s="14">
        <f>(B358-B357)/B357</f>
        <v/>
      </c>
      <c r="D358" s="14">
        <f>(B358-B346)/B346</f>
        <v/>
      </c>
      <c r="E358" s="15">
        <f>VLOOKUP(Table5[[#This Row],[Date]],'Fed Fund New'!$A:$C,2,FALSE)</f>
        <v/>
      </c>
      <c r="F358" s="27" t="n">
        <v>0.02</v>
      </c>
    </row>
    <row r="359">
      <c r="A359" s="61" t="n">
        <v>35247</v>
      </c>
      <c r="B359" s="68">
        <f>VLOOKUP(Table5[[#This Row],[Date]],Database!A:E,5,)</f>
        <v/>
      </c>
      <c r="C359" s="14">
        <f>(B359-B358)/B358</f>
        <v/>
      </c>
      <c r="D359" s="14">
        <f>(B359-B347)/B347</f>
        <v/>
      </c>
      <c r="E359" s="15">
        <f>VLOOKUP(Table5[[#This Row],[Date]],'Fed Fund New'!$A:$C,2,FALSE)</f>
        <v/>
      </c>
      <c r="F359" s="27" t="n">
        <v>0.02</v>
      </c>
    </row>
    <row r="360">
      <c r="A360" s="61" t="n">
        <v>35278</v>
      </c>
      <c r="B360" s="68">
        <f>VLOOKUP(Table5[[#This Row],[Date]],Database!A:E,5,)</f>
        <v/>
      </c>
      <c r="C360" s="14">
        <f>(B360-B359)/B359</f>
        <v/>
      </c>
      <c r="D360" s="14">
        <f>(B360-B348)/B348</f>
        <v/>
      </c>
      <c r="E360" s="15">
        <f>VLOOKUP(Table5[[#This Row],[Date]],'Fed Fund New'!$A:$C,2,FALSE)</f>
        <v/>
      </c>
      <c r="F360" s="27" t="n">
        <v>0.02</v>
      </c>
    </row>
    <row r="361">
      <c r="A361" s="61" t="n">
        <v>35309</v>
      </c>
      <c r="B361" s="68">
        <f>VLOOKUP(Table5[[#This Row],[Date]],Database!A:E,5,)</f>
        <v/>
      </c>
      <c r="C361" s="14">
        <f>(B361-B360)/B360</f>
        <v/>
      </c>
      <c r="D361" s="14">
        <f>(B361-B349)/B349</f>
        <v/>
      </c>
      <c r="E361" s="15">
        <f>VLOOKUP(Table5[[#This Row],[Date]],'Fed Fund New'!$A:$C,2,FALSE)</f>
        <v/>
      </c>
      <c r="F361" s="27" t="n">
        <v>0.02</v>
      </c>
    </row>
    <row r="362">
      <c r="A362" s="61" t="n">
        <v>35339</v>
      </c>
      <c r="B362" s="68">
        <f>VLOOKUP(Table5[[#This Row],[Date]],Database!A:E,5,)</f>
        <v/>
      </c>
      <c r="C362" s="14">
        <f>(B362-B361)/B361</f>
        <v/>
      </c>
      <c r="D362" s="14">
        <f>(B362-B350)/B350</f>
        <v/>
      </c>
      <c r="E362" s="15">
        <f>VLOOKUP(Table5[[#This Row],[Date]],'Fed Fund New'!$A:$C,2,FALSE)</f>
        <v/>
      </c>
      <c r="F362" s="27" t="n">
        <v>0.02</v>
      </c>
    </row>
    <row r="363">
      <c r="A363" s="61" t="n">
        <v>35370</v>
      </c>
      <c r="B363" s="68">
        <f>VLOOKUP(Table5[[#This Row],[Date]],Database!A:E,5,)</f>
        <v/>
      </c>
      <c r="C363" s="14">
        <f>(B363-B362)/B362</f>
        <v/>
      </c>
      <c r="D363" s="14">
        <f>(B363-B351)/B351</f>
        <v/>
      </c>
      <c r="E363" s="15">
        <f>VLOOKUP(Table5[[#This Row],[Date]],'Fed Fund New'!$A:$C,2,FALSE)</f>
        <v/>
      </c>
      <c r="F363" s="27" t="n">
        <v>0.02</v>
      </c>
    </row>
    <row r="364">
      <c r="A364" s="61" t="n">
        <v>35400</v>
      </c>
      <c r="B364" s="68">
        <f>VLOOKUP(Table5[[#This Row],[Date]],Database!A:E,5,)</f>
        <v/>
      </c>
      <c r="C364" s="14">
        <f>(B364-B363)/B363</f>
        <v/>
      </c>
      <c r="D364" s="14">
        <f>(B364-B352)/B352</f>
        <v/>
      </c>
      <c r="E364" s="15">
        <f>VLOOKUP(Table5[[#This Row],[Date]],'Fed Fund New'!$A:$C,2,FALSE)</f>
        <v/>
      </c>
      <c r="F364" s="27" t="n">
        <v>0.02</v>
      </c>
    </row>
    <row r="365">
      <c r="A365" s="61" t="n">
        <v>35431</v>
      </c>
      <c r="B365" s="68">
        <f>VLOOKUP(Table5[[#This Row],[Date]],Database!A:E,5,)</f>
        <v/>
      </c>
      <c r="C365" s="14">
        <f>(B365-B364)/B364</f>
        <v/>
      </c>
      <c r="D365" s="14">
        <f>(B365-B353)/B353</f>
        <v/>
      </c>
      <c r="E365" s="15">
        <f>VLOOKUP(Table5[[#This Row],[Date]],'Fed Fund New'!$A:$C,2,FALSE)</f>
        <v/>
      </c>
      <c r="F365" s="27" t="n">
        <v>0.02</v>
      </c>
    </row>
    <row r="366">
      <c r="A366" s="61" t="n">
        <v>35462</v>
      </c>
      <c r="B366" s="68">
        <f>VLOOKUP(Table5[[#This Row],[Date]],Database!A:E,5,)</f>
        <v/>
      </c>
      <c r="C366" s="14">
        <f>(B366-B365)/B365</f>
        <v/>
      </c>
      <c r="D366" s="14">
        <f>(B366-B354)/B354</f>
        <v/>
      </c>
      <c r="E366" s="15">
        <f>VLOOKUP(Table5[[#This Row],[Date]],'Fed Fund New'!$A:$C,2,FALSE)</f>
        <v/>
      </c>
      <c r="F366" s="27" t="n">
        <v>0.02</v>
      </c>
    </row>
    <row r="367">
      <c r="A367" s="61" t="n">
        <v>35490</v>
      </c>
      <c r="B367" s="68">
        <f>VLOOKUP(Table5[[#This Row],[Date]],Database!A:E,5,)</f>
        <v/>
      </c>
      <c r="C367" s="14">
        <f>(B367-B366)/B366</f>
        <v/>
      </c>
      <c r="D367" s="14">
        <f>(B367-B355)/B355</f>
        <v/>
      </c>
      <c r="E367" s="15">
        <f>VLOOKUP(Table5[[#This Row],[Date]],'Fed Fund New'!$A:$C,2,FALSE)</f>
        <v/>
      </c>
      <c r="F367" s="27" t="n">
        <v>0.02</v>
      </c>
    </row>
    <row r="368">
      <c r="A368" s="61" t="n">
        <v>35521</v>
      </c>
      <c r="B368" s="68">
        <f>VLOOKUP(Table5[[#This Row],[Date]],Database!A:E,5,)</f>
        <v/>
      </c>
      <c r="C368" s="14">
        <f>(B368-B367)/B367</f>
        <v/>
      </c>
      <c r="D368" s="14">
        <f>(B368-B356)/B356</f>
        <v/>
      </c>
      <c r="E368" s="15">
        <f>VLOOKUP(Table5[[#This Row],[Date]],'Fed Fund New'!$A:$C,2,FALSE)</f>
        <v/>
      </c>
      <c r="F368" s="27" t="n">
        <v>0.02</v>
      </c>
    </row>
    <row r="369">
      <c r="A369" s="61" t="n">
        <v>35551</v>
      </c>
      <c r="B369" s="68">
        <f>VLOOKUP(Table5[[#This Row],[Date]],Database!A:E,5,)</f>
        <v/>
      </c>
      <c r="C369" s="14">
        <f>(B369-B368)/B368</f>
        <v/>
      </c>
      <c r="D369" s="14">
        <f>(B369-B357)/B357</f>
        <v/>
      </c>
      <c r="E369" s="15">
        <f>VLOOKUP(Table5[[#This Row],[Date]],'Fed Fund New'!$A:$C,2,FALSE)</f>
        <v/>
      </c>
      <c r="F369" s="27" t="n">
        <v>0.02</v>
      </c>
    </row>
    <row r="370">
      <c r="A370" s="61" t="n">
        <v>35582</v>
      </c>
      <c r="B370" s="68">
        <f>VLOOKUP(Table5[[#This Row],[Date]],Database!A:E,5,)</f>
        <v/>
      </c>
      <c r="C370" s="14">
        <f>(B370-B369)/B369</f>
        <v/>
      </c>
      <c r="D370" s="14">
        <f>(B370-B358)/B358</f>
        <v/>
      </c>
      <c r="E370" s="15">
        <f>VLOOKUP(Table5[[#This Row],[Date]],'Fed Fund New'!$A:$C,2,FALSE)</f>
        <v/>
      </c>
      <c r="F370" s="27" t="n">
        <v>0.02</v>
      </c>
    </row>
    <row r="371">
      <c r="A371" s="61" t="n">
        <v>35612</v>
      </c>
      <c r="B371" s="68">
        <f>VLOOKUP(Table5[[#This Row],[Date]],Database!A:E,5,)</f>
        <v/>
      </c>
      <c r="C371" s="14">
        <f>(B371-B370)/B370</f>
        <v/>
      </c>
      <c r="D371" s="14">
        <f>(B371-B359)/B359</f>
        <v/>
      </c>
      <c r="E371" s="15">
        <f>VLOOKUP(Table5[[#This Row],[Date]],'Fed Fund New'!$A:$C,2,FALSE)</f>
        <v/>
      </c>
      <c r="F371" s="27" t="n">
        <v>0.02</v>
      </c>
    </row>
    <row r="372">
      <c r="A372" s="61" t="n">
        <v>35643</v>
      </c>
      <c r="B372" s="68">
        <f>VLOOKUP(Table5[[#This Row],[Date]],Database!A:E,5,)</f>
        <v/>
      </c>
      <c r="C372" s="14">
        <f>(B372-B371)/B371</f>
        <v/>
      </c>
      <c r="D372" s="14">
        <f>(B372-B360)/B360</f>
        <v/>
      </c>
      <c r="E372" s="15">
        <f>VLOOKUP(Table5[[#This Row],[Date]],'Fed Fund New'!$A:$C,2,FALSE)</f>
        <v/>
      </c>
      <c r="F372" s="27" t="n">
        <v>0.02</v>
      </c>
    </row>
    <row r="373">
      <c r="A373" s="61" t="n">
        <v>35674</v>
      </c>
      <c r="B373" s="68">
        <f>VLOOKUP(Table5[[#This Row],[Date]],Database!A:E,5,)</f>
        <v/>
      </c>
      <c r="C373" s="14">
        <f>(B373-B372)/B372</f>
        <v/>
      </c>
      <c r="D373" s="14">
        <f>(B373-B361)/B361</f>
        <v/>
      </c>
      <c r="E373" s="15">
        <f>VLOOKUP(Table5[[#This Row],[Date]],'Fed Fund New'!$A:$C,2,FALSE)</f>
        <v/>
      </c>
      <c r="F373" s="27" t="n">
        <v>0.02</v>
      </c>
    </row>
    <row r="374">
      <c r="A374" s="61" t="n">
        <v>35704</v>
      </c>
      <c r="B374" s="68">
        <f>VLOOKUP(Table5[[#This Row],[Date]],Database!A:E,5,)</f>
        <v/>
      </c>
      <c r="C374" s="14">
        <f>(B374-B373)/B373</f>
        <v/>
      </c>
      <c r="D374" s="14">
        <f>(B374-B362)/B362</f>
        <v/>
      </c>
      <c r="E374" s="15">
        <f>VLOOKUP(Table5[[#This Row],[Date]],'Fed Fund New'!$A:$C,2,FALSE)</f>
        <v/>
      </c>
      <c r="F374" s="27" t="n">
        <v>0.02</v>
      </c>
    </row>
    <row r="375">
      <c r="A375" s="61" t="n">
        <v>35735</v>
      </c>
      <c r="B375" s="68">
        <f>VLOOKUP(Table5[[#This Row],[Date]],Database!A:E,5,)</f>
        <v/>
      </c>
      <c r="C375" s="14">
        <f>(B375-B374)/B374</f>
        <v/>
      </c>
      <c r="D375" s="14">
        <f>(B375-B363)/B363</f>
        <v/>
      </c>
      <c r="E375" s="15">
        <f>VLOOKUP(Table5[[#This Row],[Date]],'Fed Fund New'!$A:$C,2,FALSE)</f>
        <v/>
      </c>
      <c r="F375" s="27" t="n">
        <v>0.02</v>
      </c>
    </row>
    <row r="376">
      <c r="A376" s="61" t="n">
        <v>35765</v>
      </c>
      <c r="B376" s="68">
        <f>VLOOKUP(Table5[[#This Row],[Date]],Database!A:E,5,)</f>
        <v/>
      </c>
      <c r="C376" s="14">
        <f>(B376-B375)/B375</f>
        <v/>
      </c>
      <c r="D376" s="14">
        <f>(B376-B364)/B364</f>
        <v/>
      </c>
      <c r="E376" s="15">
        <f>VLOOKUP(Table5[[#This Row],[Date]],'Fed Fund New'!$A:$C,2,FALSE)</f>
        <v/>
      </c>
      <c r="F376" s="27" t="n">
        <v>0.02</v>
      </c>
    </row>
    <row r="377">
      <c r="A377" s="61" t="n">
        <v>35796</v>
      </c>
      <c r="B377" s="68">
        <f>VLOOKUP(Table5[[#This Row],[Date]],Database!A:E,5,)</f>
        <v/>
      </c>
      <c r="C377" s="14">
        <f>(B377-B376)/B376</f>
        <v/>
      </c>
      <c r="D377" s="14">
        <f>(B377-B365)/B365</f>
        <v/>
      </c>
      <c r="E377" s="15">
        <f>VLOOKUP(Table5[[#This Row],[Date]],'Fed Fund New'!$A:$C,2,FALSE)</f>
        <v/>
      </c>
      <c r="F377" s="27" t="n">
        <v>0.02</v>
      </c>
    </row>
    <row r="378">
      <c r="A378" s="61" t="n">
        <v>35827</v>
      </c>
      <c r="B378" s="68">
        <f>VLOOKUP(Table5[[#This Row],[Date]],Database!A:E,5,)</f>
        <v/>
      </c>
      <c r="C378" s="14">
        <f>(B378-B377)/B377</f>
        <v/>
      </c>
      <c r="D378" s="14">
        <f>(B378-B366)/B366</f>
        <v/>
      </c>
      <c r="E378" s="15">
        <f>VLOOKUP(Table5[[#This Row],[Date]],'Fed Fund New'!$A:$C,2,FALSE)</f>
        <v/>
      </c>
      <c r="F378" s="27" t="n">
        <v>0.02</v>
      </c>
    </row>
    <row r="379">
      <c r="A379" s="61" t="n">
        <v>35855</v>
      </c>
      <c r="B379" s="68">
        <f>VLOOKUP(Table5[[#This Row],[Date]],Database!A:E,5,)</f>
        <v/>
      </c>
      <c r="C379" s="14">
        <f>(B379-B378)/B378</f>
        <v/>
      </c>
      <c r="D379" s="14">
        <f>(B379-B367)/B367</f>
        <v/>
      </c>
      <c r="E379" s="15">
        <f>VLOOKUP(Table5[[#This Row],[Date]],'Fed Fund New'!$A:$C,2,FALSE)</f>
        <v/>
      </c>
      <c r="F379" s="27" t="n">
        <v>0.02</v>
      </c>
    </row>
    <row r="380">
      <c r="A380" s="61" t="n">
        <v>35886</v>
      </c>
      <c r="B380" s="68">
        <f>VLOOKUP(Table5[[#This Row],[Date]],Database!A:E,5,)</f>
        <v/>
      </c>
      <c r="C380" s="14">
        <f>(B380-B379)/B379</f>
        <v/>
      </c>
      <c r="D380" s="14">
        <f>(B380-B368)/B368</f>
        <v/>
      </c>
      <c r="E380" s="15">
        <f>VLOOKUP(Table5[[#This Row],[Date]],'Fed Fund New'!$A:$C,2,FALSE)</f>
        <v/>
      </c>
      <c r="F380" s="27" t="n">
        <v>0.02</v>
      </c>
    </row>
    <row r="381">
      <c r="A381" s="61" t="n">
        <v>35916</v>
      </c>
      <c r="B381" s="68">
        <f>VLOOKUP(Table5[[#This Row],[Date]],Database!A:E,5,)</f>
        <v/>
      </c>
      <c r="C381" s="14">
        <f>(B381-B380)/B380</f>
        <v/>
      </c>
      <c r="D381" s="14">
        <f>(B381-B369)/B369</f>
        <v/>
      </c>
      <c r="E381" s="15">
        <f>VLOOKUP(Table5[[#This Row],[Date]],'Fed Fund New'!$A:$C,2,FALSE)</f>
        <v/>
      </c>
      <c r="F381" s="27" t="n">
        <v>0.02</v>
      </c>
    </row>
    <row r="382">
      <c r="A382" s="61" t="n">
        <v>35947</v>
      </c>
      <c r="B382" s="68">
        <f>VLOOKUP(Table5[[#This Row],[Date]],Database!A:E,5,)</f>
        <v/>
      </c>
      <c r="C382" s="14">
        <f>(B382-B381)/B381</f>
        <v/>
      </c>
      <c r="D382" s="14">
        <f>(B382-B370)/B370</f>
        <v/>
      </c>
      <c r="E382" s="15">
        <f>VLOOKUP(Table5[[#This Row],[Date]],'Fed Fund New'!$A:$C,2,FALSE)</f>
        <v/>
      </c>
      <c r="F382" s="27" t="n">
        <v>0.02</v>
      </c>
    </row>
    <row r="383">
      <c r="A383" s="61" t="n">
        <v>35977</v>
      </c>
      <c r="B383" s="68">
        <f>VLOOKUP(Table5[[#This Row],[Date]],Database!A:E,5,)</f>
        <v/>
      </c>
      <c r="C383" s="14">
        <f>(B383-B382)/B382</f>
        <v/>
      </c>
      <c r="D383" s="14">
        <f>(B383-B371)/B371</f>
        <v/>
      </c>
      <c r="E383" s="15">
        <f>VLOOKUP(Table5[[#This Row],[Date]],'Fed Fund New'!$A:$C,2,FALSE)</f>
        <v/>
      </c>
      <c r="F383" s="27" t="n">
        <v>0.02</v>
      </c>
    </row>
    <row r="384">
      <c r="A384" s="61" t="n">
        <v>36008</v>
      </c>
      <c r="B384" s="68">
        <f>VLOOKUP(Table5[[#This Row],[Date]],Database!A:E,5,)</f>
        <v/>
      </c>
      <c r="C384" s="14">
        <f>(B384-B383)/B383</f>
        <v/>
      </c>
      <c r="D384" s="14">
        <f>(B384-B372)/B372</f>
        <v/>
      </c>
      <c r="E384" s="15">
        <f>VLOOKUP(Table5[[#This Row],[Date]],'Fed Fund New'!$A:$C,2,FALSE)</f>
        <v/>
      </c>
      <c r="F384" s="27" t="n">
        <v>0.02</v>
      </c>
    </row>
    <row r="385">
      <c r="A385" s="61" t="n">
        <v>36039</v>
      </c>
      <c r="B385" s="68">
        <f>VLOOKUP(Table5[[#This Row],[Date]],Database!A:E,5,)</f>
        <v/>
      </c>
      <c r="C385" s="14">
        <f>(B385-B384)/B384</f>
        <v/>
      </c>
      <c r="D385" s="14">
        <f>(B385-B373)/B373</f>
        <v/>
      </c>
      <c r="E385" s="15">
        <f>VLOOKUP(Table5[[#This Row],[Date]],'Fed Fund New'!$A:$C,2,FALSE)</f>
        <v/>
      </c>
      <c r="F385" s="27" t="n">
        <v>0.02</v>
      </c>
    </row>
    <row r="386">
      <c r="A386" s="61" t="n">
        <v>36069</v>
      </c>
      <c r="B386" s="68">
        <f>VLOOKUP(Table5[[#This Row],[Date]],Database!A:E,5,)</f>
        <v/>
      </c>
      <c r="C386" s="14">
        <f>(B386-B385)/B385</f>
        <v/>
      </c>
      <c r="D386" s="14">
        <f>(B386-B374)/B374</f>
        <v/>
      </c>
      <c r="E386" s="15">
        <f>VLOOKUP(Table5[[#This Row],[Date]],'Fed Fund New'!$A:$C,2,FALSE)</f>
        <v/>
      </c>
      <c r="F386" s="27" t="n">
        <v>0.02</v>
      </c>
    </row>
    <row r="387">
      <c r="A387" s="61" t="n">
        <v>36100</v>
      </c>
      <c r="B387" s="68">
        <f>VLOOKUP(Table5[[#This Row],[Date]],Database!A:E,5,)</f>
        <v/>
      </c>
      <c r="C387" s="14">
        <f>(B387-B386)/B386</f>
        <v/>
      </c>
      <c r="D387" s="14">
        <f>(B387-B375)/B375</f>
        <v/>
      </c>
      <c r="E387" s="15">
        <f>VLOOKUP(Table5[[#This Row],[Date]],'Fed Fund New'!$A:$C,2,FALSE)</f>
        <v/>
      </c>
      <c r="F387" s="27" t="n">
        <v>0.02</v>
      </c>
    </row>
    <row r="388">
      <c r="A388" s="61" t="n">
        <v>36130</v>
      </c>
      <c r="B388" s="68">
        <f>VLOOKUP(Table5[[#This Row],[Date]],Database!A:E,5,)</f>
        <v/>
      </c>
      <c r="C388" s="14">
        <f>(B388-B387)/B387</f>
        <v/>
      </c>
      <c r="D388" s="14">
        <f>(B388-B376)/B376</f>
        <v/>
      </c>
      <c r="E388" s="15">
        <f>VLOOKUP(Table5[[#This Row],[Date]],'Fed Fund New'!$A:$C,2,FALSE)</f>
        <v/>
      </c>
      <c r="F388" s="27" t="n">
        <v>0.02</v>
      </c>
    </row>
    <row r="389">
      <c r="A389" s="61" t="n">
        <v>36161</v>
      </c>
      <c r="B389" s="68">
        <f>VLOOKUP(Table5[[#This Row],[Date]],Database!A:E,5,)</f>
        <v/>
      </c>
      <c r="C389" s="14">
        <f>(B389-B388)/B388</f>
        <v/>
      </c>
      <c r="D389" s="14">
        <f>(B389-B377)/B377</f>
        <v/>
      </c>
      <c r="E389" s="15">
        <f>VLOOKUP(Table5[[#This Row],[Date]],'Fed Fund New'!$A:$C,2,FALSE)</f>
        <v/>
      </c>
      <c r="F389" s="27" t="n">
        <v>0.02</v>
      </c>
    </row>
    <row r="390">
      <c r="A390" s="61" t="n">
        <v>36192</v>
      </c>
      <c r="B390" s="68">
        <f>VLOOKUP(Table5[[#This Row],[Date]],Database!A:E,5,)</f>
        <v/>
      </c>
      <c r="C390" s="14">
        <f>(B390-B389)/B389</f>
        <v/>
      </c>
      <c r="D390" s="14">
        <f>(B390-B378)/B378</f>
        <v/>
      </c>
      <c r="E390" s="15">
        <f>VLOOKUP(Table5[[#This Row],[Date]],'Fed Fund New'!$A:$C,2,FALSE)</f>
        <v/>
      </c>
      <c r="F390" s="27" t="n">
        <v>0.02</v>
      </c>
    </row>
    <row r="391">
      <c r="A391" s="61" t="n">
        <v>36220</v>
      </c>
      <c r="B391" s="68">
        <f>VLOOKUP(Table5[[#This Row],[Date]],Database!A:E,5,)</f>
        <v/>
      </c>
      <c r="C391" s="14">
        <f>(B391-B390)/B390</f>
        <v/>
      </c>
      <c r="D391" s="14">
        <f>(B391-B379)/B379</f>
        <v/>
      </c>
      <c r="E391" s="15">
        <f>VLOOKUP(Table5[[#This Row],[Date]],'Fed Fund New'!$A:$C,2,FALSE)</f>
        <v/>
      </c>
      <c r="F391" s="27" t="n">
        <v>0.02</v>
      </c>
    </row>
    <row r="392">
      <c r="A392" s="61" t="n">
        <v>36251</v>
      </c>
      <c r="B392" s="68">
        <f>VLOOKUP(Table5[[#This Row],[Date]],Database!A:E,5,)</f>
        <v/>
      </c>
      <c r="C392" s="14">
        <f>(B392-B391)/B391</f>
        <v/>
      </c>
      <c r="D392" s="14">
        <f>(B392-B380)/B380</f>
        <v/>
      </c>
      <c r="E392" s="15">
        <f>VLOOKUP(Table5[[#This Row],[Date]],'Fed Fund New'!$A:$C,2,FALSE)</f>
        <v/>
      </c>
      <c r="F392" s="27" t="n">
        <v>0.02</v>
      </c>
    </row>
    <row r="393">
      <c r="A393" s="61" t="n">
        <v>36281</v>
      </c>
      <c r="B393" s="68">
        <f>VLOOKUP(Table5[[#This Row],[Date]],Database!A:E,5,)</f>
        <v/>
      </c>
      <c r="C393" s="14">
        <f>(B393-B392)/B392</f>
        <v/>
      </c>
      <c r="D393" s="14">
        <f>(B393-B381)/B381</f>
        <v/>
      </c>
      <c r="E393" s="15">
        <f>VLOOKUP(Table5[[#This Row],[Date]],'Fed Fund New'!$A:$C,2,FALSE)</f>
        <v/>
      </c>
      <c r="F393" s="27" t="n">
        <v>0.02</v>
      </c>
    </row>
    <row r="394">
      <c r="A394" s="61" t="n">
        <v>36312</v>
      </c>
      <c r="B394" s="68">
        <f>VLOOKUP(Table5[[#This Row],[Date]],Database!A:E,5,)</f>
        <v/>
      </c>
      <c r="C394" s="14">
        <f>(B394-B393)/B393</f>
        <v/>
      </c>
      <c r="D394" s="14">
        <f>(B394-B382)/B382</f>
        <v/>
      </c>
      <c r="E394" s="15">
        <f>VLOOKUP(Table5[[#This Row],[Date]],'Fed Fund New'!$A:$C,2,FALSE)</f>
        <v/>
      </c>
      <c r="F394" s="27" t="n">
        <v>0.02</v>
      </c>
    </row>
    <row r="395">
      <c r="A395" s="61" t="n">
        <v>36342</v>
      </c>
      <c r="B395" s="68">
        <f>VLOOKUP(Table5[[#This Row],[Date]],Database!A:E,5,)</f>
        <v/>
      </c>
      <c r="C395" s="14">
        <f>(B395-B394)/B394</f>
        <v/>
      </c>
      <c r="D395" s="14">
        <f>(B395-B383)/B383</f>
        <v/>
      </c>
      <c r="E395" s="15">
        <f>VLOOKUP(Table5[[#This Row],[Date]],'Fed Fund New'!$A:$C,2,FALSE)</f>
        <v/>
      </c>
      <c r="F395" s="27" t="n">
        <v>0.02</v>
      </c>
    </row>
    <row r="396">
      <c r="A396" s="61" t="n">
        <v>36373</v>
      </c>
      <c r="B396" s="68">
        <f>VLOOKUP(Table5[[#This Row],[Date]],Database!A:E,5,)</f>
        <v/>
      </c>
      <c r="C396" s="14">
        <f>(B396-B395)/B395</f>
        <v/>
      </c>
      <c r="D396" s="14">
        <f>(B396-B384)/B384</f>
        <v/>
      </c>
      <c r="E396" s="15">
        <f>VLOOKUP(Table5[[#This Row],[Date]],'Fed Fund New'!$A:$C,2,FALSE)</f>
        <v/>
      </c>
      <c r="F396" s="27" t="n">
        <v>0.02</v>
      </c>
    </row>
    <row r="397">
      <c r="A397" s="61" t="n">
        <v>36404</v>
      </c>
      <c r="B397" s="68">
        <f>VLOOKUP(Table5[[#This Row],[Date]],Database!A:E,5,)</f>
        <v/>
      </c>
      <c r="C397" s="14">
        <f>(B397-B396)/B396</f>
        <v/>
      </c>
      <c r="D397" s="14">
        <f>(B397-B385)/B385</f>
        <v/>
      </c>
      <c r="E397" s="15">
        <f>VLOOKUP(Table5[[#This Row],[Date]],'Fed Fund New'!$A:$C,2,FALSE)</f>
        <v/>
      </c>
      <c r="F397" s="27" t="n">
        <v>0.02</v>
      </c>
    </row>
    <row r="398">
      <c r="A398" s="61" t="n">
        <v>36434</v>
      </c>
      <c r="B398" s="68">
        <f>VLOOKUP(Table5[[#This Row],[Date]],Database!A:E,5,)</f>
        <v/>
      </c>
      <c r="C398" s="14">
        <f>(B398-B397)/B397</f>
        <v/>
      </c>
      <c r="D398" s="14">
        <f>(B398-B386)/B386</f>
        <v/>
      </c>
      <c r="E398" s="15">
        <f>VLOOKUP(Table5[[#This Row],[Date]],'Fed Fund New'!$A:$C,2,FALSE)</f>
        <v/>
      </c>
      <c r="F398" s="27" t="n">
        <v>0.02</v>
      </c>
    </row>
    <row r="399">
      <c r="A399" s="61" t="n">
        <v>36465</v>
      </c>
      <c r="B399" s="68">
        <f>VLOOKUP(Table5[[#This Row],[Date]],Database!A:E,5,)</f>
        <v/>
      </c>
      <c r="C399" s="14">
        <f>(B399-B398)/B398</f>
        <v/>
      </c>
      <c r="D399" s="14">
        <f>(B399-B387)/B387</f>
        <v/>
      </c>
      <c r="E399" s="15">
        <f>VLOOKUP(Table5[[#This Row],[Date]],'Fed Fund New'!$A:$C,2,FALSE)</f>
        <v/>
      </c>
      <c r="F399" s="27" t="n">
        <v>0.02</v>
      </c>
    </row>
    <row r="400">
      <c r="A400" s="61" t="n">
        <v>36495</v>
      </c>
      <c r="B400" s="68">
        <f>VLOOKUP(Table5[[#This Row],[Date]],Database!A:E,5,)</f>
        <v/>
      </c>
      <c r="C400" s="14">
        <f>(B400-B399)/B399</f>
        <v/>
      </c>
      <c r="D400" s="14">
        <f>(B400-B388)/B388</f>
        <v/>
      </c>
      <c r="E400" s="15">
        <f>VLOOKUP(Table5[[#This Row],[Date]],'Fed Fund New'!$A:$C,2,FALSE)</f>
        <v/>
      </c>
      <c r="F400" s="27" t="n">
        <v>0.02</v>
      </c>
    </row>
    <row r="401">
      <c r="A401" s="61" t="n">
        <v>36526</v>
      </c>
      <c r="B401" s="68">
        <f>VLOOKUP(Table5[[#This Row],[Date]],Database!A:E,5,)</f>
        <v/>
      </c>
      <c r="C401" s="14">
        <f>(B401-B400)/B400</f>
        <v/>
      </c>
      <c r="D401" s="14">
        <f>(B401-B389)/B389</f>
        <v/>
      </c>
      <c r="E401" s="15">
        <f>VLOOKUP(Table5[[#This Row],[Date]],'Fed Fund New'!$A:$C,2,FALSE)</f>
        <v/>
      </c>
      <c r="F401" s="27" t="n">
        <v>0.02</v>
      </c>
    </row>
    <row r="402">
      <c r="A402" s="61" t="n">
        <v>36557</v>
      </c>
      <c r="B402" s="68">
        <f>VLOOKUP(Table5[[#This Row],[Date]],Database!A:E,5,)</f>
        <v/>
      </c>
      <c r="C402" s="14">
        <f>(B402-B401)/B401</f>
        <v/>
      </c>
      <c r="D402" s="14">
        <f>(B402-B390)/B390</f>
        <v/>
      </c>
      <c r="E402" s="15">
        <f>VLOOKUP(Table5[[#This Row],[Date]],'Fed Fund New'!$A:$C,2,FALSE)</f>
        <v/>
      </c>
      <c r="F402" s="27" t="n">
        <v>0.02</v>
      </c>
    </row>
    <row r="403">
      <c r="A403" s="61" t="n">
        <v>36586</v>
      </c>
      <c r="B403" s="68">
        <f>VLOOKUP(Table5[[#This Row],[Date]],Database!A:E,5,)</f>
        <v/>
      </c>
      <c r="C403" s="14">
        <f>(B403-B402)/B402</f>
        <v/>
      </c>
      <c r="D403" s="14">
        <f>(B403-B391)/B391</f>
        <v/>
      </c>
      <c r="E403" s="15">
        <f>VLOOKUP(Table5[[#This Row],[Date]],'Fed Fund New'!$A:$C,2,FALSE)</f>
        <v/>
      </c>
      <c r="F403" s="27" t="n">
        <v>0.02</v>
      </c>
    </row>
    <row r="404">
      <c r="A404" s="61" t="n">
        <v>36617</v>
      </c>
      <c r="B404" s="68">
        <f>VLOOKUP(Table5[[#This Row],[Date]],Database!A:E,5,)</f>
        <v/>
      </c>
      <c r="C404" s="14">
        <f>(B404-B403)/B403</f>
        <v/>
      </c>
      <c r="D404" s="14">
        <f>(B404-B392)/B392</f>
        <v/>
      </c>
      <c r="E404" s="15">
        <f>VLOOKUP(Table5[[#This Row],[Date]],'Fed Fund New'!$A:$C,2,FALSE)</f>
        <v/>
      </c>
      <c r="F404" s="27" t="n">
        <v>0.02</v>
      </c>
    </row>
    <row r="405">
      <c r="A405" s="61" t="n">
        <v>36647</v>
      </c>
      <c r="B405" s="68">
        <f>VLOOKUP(Table5[[#This Row],[Date]],Database!A:E,5,)</f>
        <v/>
      </c>
      <c r="C405" s="14">
        <f>(B405-B404)/B404</f>
        <v/>
      </c>
      <c r="D405" s="14">
        <f>(B405-B393)/B393</f>
        <v/>
      </c>
      <c r="E405" s="15">
        <f>VLOOKUP(Table5[[#This Row],[Date]],'Fed Fund New'!$A:$C,2,FALSE)</f>
        <v/>
      </c>
      <c r="F405" s="27" t="n">
        <v>0.02</v>
      </c>
    </row>
    <row r="406">
      <c r="A406" s="61" t="n">
        <v>36678</v>
      </c>
      <c r="B406" s="68">
        <f>VLOOKUP(Table5[[#This Row],[Date]],Database!A:E,5,)</f>
        <v/>
      </c>
      <c r="C406" s="14">
        <f>(B406-B405)/B405</f>
        <v/>
      </c>
      <c r="D406" s="14">
        <f>(B406-B394)/B394</f>
        <v/>
      </c>
      <c r="E406" s="15">
        <f>VLOOKUP(Table5[[#This Row],[Date]],'Fed Fund New'!$A:$C,2,FALSE)</f>
        <v/>
      </c>
      <c r="F406" s="27" t="n">
        <v>0.02</v>
      </c>
    </row>
    <row r="407">
      <c r="A407" s="61" t="n">
        <v>36708</v>
      </c>
      <c r="B407" s="68">
        <f>VLOOKUP(Table5[[#This Row],[Date]],Database!A:E,5,)</f>
        <v/>
      </c>
      <c r="C407" s="14">
        <f>(B407-B406)/B406</f>
        <v/>
      </c>
      <c r="D407" s="14">
        <f>(B407-B395)/B395</f>
        <v/>
      </c>
      <c r="E407" s="15">
        <f>VLOOKUP(Table5[[#This Row],[Date]],'Fed Fund New'!$A:$C,2,FALSE)</f>
        <v/>
      </c>
      <c r="F407" s="27" t="n">
        <v>0.02</v>
      </c>
    </row>
    <row r="408">
      <c r="A408" s="61" t="n">
        <v>36739</v>
      </c>
      <c r="B408" s="68">
        <f>VLOOKUP(Table5[[#This Row],[Date]],Database!A:E,5,)</f>
        <v/>
      </c>
      <c r="C408" s="14">
        <f>(B408-B407)/B407</f>
        <v/>
      </c>
      <c r="D408" s="14">
        <f>(B408-B396)/B396</f>
        <v/>
      </c>
      <c r="E408" s="15">
        <f>VLOOKUP(Table5[[#This Row],[Date]],'Fed Fund New'!$A:$C,2,FALSE)</f>
        <v/>
      </c>
      <c r="F408" s="27" t="n">
        <v>0.02</v>
      </c>
    </row>
    <row r="409">
      <c r="A409" s="61" t="n">
        <v>36770</v>
      </c>
      <c r="B409" s="68">
        <f>VLOOKUP(Table5[[#This Row],[Date]],Database!A:E,5,)</f>
        <v/>
      </c>
      <c r="C409" s="14">
        <f>(B409-B408)/B408</f>
        <v/>
      </c>
      <c r="D409" s="14">
        <f>(B409-B397)/B397</f>
        <v/>
      </c>
      <c r="E409" s="15">
        <f>VLOOKUP(Table5[[#This Row],[Date]],'Fed Fund New'!$A:$C,2,FALSE)</f>
        <v/>
      </c>
      <c r="F409" s="27" t="n">
        <v>0.02</v>
      </c>
    </row>
    <row r="410">
      <c r="A410" s="61" t="n">
        <v>36800</v>
      </c>
      <c r="B410" s="68">
        <f>VLOOKUP(Table5[[#This Row],[Date]],Database!A:E,5,)</f>
        <v/>
      </c>
      <c r="C410" s="14">
        <f>(B410-B409)/B409</f>
        <v/>
      </c>
      <c r="D410" s="14">
        <f>(B410-B398)/B398</f>
        <v/>
      </c>
      <c r="E410" s="15">
        <f>VLOOKUP(Table5[[#This Row],[Date]],'Fed Fund New'!$A:$C,2,FALSE)</f>
        <v/>
      </c>
      <c r="F410" s="27" t="n">
        <v>0.02</v>
      </c>
    </row>
    <row r="411">
      <c r="A411" s="61" t="n">
        <v>36831</v>
      </c>
      <c r="B411" s="68">
        <f>VLOOKUP(Table5[[#This Row],[Date]],Database!A:E,5,)</f>
        <v/>
      </c>
      <c r="C411" s="14">
        <f>(B411-B410)/B410</f>
        <v/>
      </c>
      <c r="D411" s="14">
        <f>(B411-B399)/B399</f>
        <v/>
      </c>
      <c r="E411" s="15">
        <f>VLOOKUP(Table5[[#This Row],[Date]],'Fed Fund New'!$A:$C,2,FALSE)</f>
        <v/>
      </c>
      <c r="F411" s="27" t="n">
        <v>0.02</v>
      </c>
    </row>
    <row r="412">
      <c r="A412" s="61" t="n">
        <v>36861</v>
      </c>
      <c r="B412" s="68">
        <f>VLOOKUP(Table5[[#This Row],[Date]],Database!A:E,5,)</f>
        <v/>
      </c>
      <c r="C412" s="14">
        <f>(B412-B411)/B411</f>
        <v/>
      </c>
      <c r="D412" s="14">
        <f>(B412-B400)/B400</f>
        <v/>
      </c>
      <c r="E412" s="15">
        <f>VLOOKUP(Table5[[#This Row],[Date]],'Fed Fund New'!$A:$C,2,FALSE)</f>
        <v/>
      </c>
      <c r="F412" s="27" t="n">
        <v>0.02</v>
      </c>
    </row>
    <row r="413">
      <c r="A413" s="61" t="n">
        <v>36892</v>
      </c>
      <c r="B413" s="68">
        <f>VLOOKUP(Table5[[#This Row],[Date]],Database!A:E,5,)</f>
        <v/>
      </c>
      <c r="C413" s="14">
        <f>(B413-B412)/B412</f>
        <v/>
      </c>
      <c r="D413" s="14">
        <f>(B413-B401)/B401</f>
        <v/>
      </c>
      <c r="E413" s="15">
        <f>VLOOKUP(Table5[[#This Row],[Date]],'Fed Fund New'!$A:$C,2,FALSE)</f>
        <v/>
      </c>
      <c r="F413" s="27" t="n">
        <v>0.02</v>
      </c>
    </row>
    <row r="414">
      <c r="A414" s="61" t="n">
        <v>36923</v>
      </c>
      <c r="B414" s="68">
        <f>VLOOKUP(Table5[[#This Row],[Date]],Database!A:E,5,)</f>
        <v/>
      </c>
      <c r="C414" s="14">
        <f>(B414-B413)/B413</f>
        <v/>
      </c>
      <c r="D414" s="14">
        <f>(B414-B402)/B402</f>
        <v/>
      </c>
      <c r="E414" s="15">
        <f>VLOOKUP(Table5[[#This Row],[Date]],'Fed Fund New'!$A:$C,2,FALSE)</f>
        <v/>
      </c>
      <c r="F414" s="27" t="n">
        <v>0.02</v>
      </c>
    </row>
    <row r="415">
      <c r="A415" s="61" t="n">
        <v>36951</v>
      </c>
      <c r="B415" s="68">
        <f>VLOOKUP(Table5[[#This Row],[Date]],Database!A:E,5,)</f>
        <v/>
      </c>
      <c r="C415" s="14">
        <f>(B415-B414)/B414</f>
        <v/>
      </c>
      <c r="D415" s="14">
        <f>(B415-B403)/B403</f>
        <v/>
      </c>
      <c r="E415" s="15">
        <f>VLOOKUP(Table5[[#This Row],[Date]],'Fed Fund New'!$A:$C,2,FALSE)</f>
        <v/>
      </c>
      <c r="F415" s="27" t="n">
        <v>0.02</v>
      </c>
    </row>
    <row r="416">
      <c r="A416" s="61" t="n">
        <v>36982</v>
      </c>
      <c r="B416" s="68">
        <f>VLOOKUP(Table5[[#This Row],[Date]],Database!A:E,5,)</f>
        <v/>
      </c>
      <c r="C416" s="14">
        <f>(B416-B415)/B415</f>
        <v/>
      </c>
      <c r="D416" s="14">
        <f>(B416-B404)/B404</f>
        <v/>
      </c>
      <c r="E416" s="15">
        <f>VLOOKUP(Table5[[#This Row],[Date]],'Fed Fund New'!$A:$C,2,FALSE)</f>
        <v/>
      </c>
      <c r="F416" s="27" t="n">
        <v>0.02</v>
      </c>
    </row>
    <row r="417">
      <c r="A417" s="61" t="n">
        <v>37012</v>
      </c>
      <c r="B417" s="68">
        <f>VLOOKUP(Table5[[#This Row],[Date]],Database!A:E,5,)</f>
        <v/>
      </c>
      <c r="C417" s="14">
        <f>(B417-B416)/B416</f>
        <v/>
      </c>
      <c r="D417" s="14">
        <f>(B417-B405)/B405</f>
        <v/>
      </c>
      <c r="E417" s="15">
        <f>VLOOKUP(Table5[[#This Row],[Date]],'Fed Fund New'!$A:$C,2,FALSE)</f>
        <v/>
      </c>
      <c r="F417" s="27" t="n">
        <v>0.02</v>
      </c>
    </row>
    <row r="418">
      <c r="A418" s="61" t="n">
        <v>37043</v>
      </c>
      <c r="B418" s="68">
        <f>VLOOKUP(Table5[[#This Row],[Date]],Database!A:E,5,)</f>
        <v/>
      </c>
      <c r="C418" s="14">
        <f>(B418-B417)/B417</f>
        <v/>
      </c>
      <c r="D418" s="14">
        <f>(B418-B406)/B406</f>
        <v/>
      </c>
      <c r="E418" s="15">
        <f>VLOOKUP(Table5[[#This Row],[Date]],'Fed Fund New'!$A:$C,2,FALSE)</f>
        <v/>
      </c>
      <c r="F418" s="27" t="n">
        <v>0.02</v>
      </c>
    </row>
    <row r="419">
      <c r="A419" s="61" t="n">
        <v>37073</v>
      </c>
      <c r="B419" s="68">
        <f>VLOOKUP(Table5[[#This Row],[Date]],Database!A:E,5,)</f>
        <v/>
      </c>
      <c r="C419" s="14">
        <f>(B419-B418)/B418</f>
        <v/>
      </c>
      <c r="D419" s="14">
        <f>(B419-B407)/B407</f>
        <v/>
      </c>
      <c r="E419" s="15">
        <f>VLOOKUP(Table5[[#This Row],[Date]],'Fed Fund New'!$A:$C,2,FALSE)</f>
        <v/>
      </c>
      <c r="F419" s="27" t="n">
        <v>0.02</v>
      </c>
    </row>
    <row r="420">
      <c r="A420" s="61" t="n">
        <v>37104</v>
      </c>
      <c r="B420" s="68">
        <f>VLOOKUP(Table5[[#This Row],[Date]],Database!A:E,5,)</f>
        <v/>
      </c>
      <c r="C420" s="14">
        <f>(B420-B419)/B419</f>
        <v/>
      </c>
      <c r="D420" s="14">
        <f>(B420-B408)/B408</f>
        <v/>
      </c>
      <c r="E420" s="15">
        <f>VLOOKUP(Table5[[#This Row],[Date]],'Fed Fund New'!$A:$C,2,FALSE)</f>
        <v/>
      </c>
      <c r="F420" s="27" t="n">
        <v>0.02</v>
      </c>
    </row>
    <row r="421">
      <c r="A421" s="61" t="n">
        <v>37135</v>
      </c>
      <c r="B421" s="68">
        <f>VLOOKUP(Table5[[#This Row],[Date]],Database!A:E,5,)</f>
        <v/>
      </c>
      <c r="C421" s="14">
        <f>(B421-B420)/B420</f>
        <v/>
      </c>
      <c r="D421" s="14">
        <f>(B421-B409)/B409</f>
        <v/>
      </c>
      <c r="E421" s="15">
        <f>VLOOKUP(Table5[[#This Row],[Date]],'Fed Fund New'!$A:$C,2,FALSE)</f>
        <v/>
      </c>
      <c r="F421" s="27" t="n">
        <v>0.02</v>
      </c>
    </row>
    <row r="422">
      <c r="A422" s="61" t="n">
        <v>37165</v>
      </c>
      <c r="B422" s="68">
        <f>VLOOKUP(Table5[[#This Row],[Date]],Database!A:E,5,)</f>
        <v/>
      </c>
      <c r="C422" s="14">
        <f>(B422-B421)/B421</f>
        <v/>
      </c>
      <c r="D422" s="14">
        <f>(B422-B410)/B410</f>
        <v/>
      </c>
      <c r="E422" s="15">
        <f>VLOOKUP(Table5[[#This Row],[Date]],'Fed Fund New'!$A:$C,2,FALSE)</f>
        <v/>
      </c>
      <c r="F422" s="27" t="n">
        <v>0.02</v>
      </c>
    </row>
    <row r="423">
      <c r="A423" s="61" t="n">
        <v>37196</v>
      </c>
      <c r="B423" s="68">
        <f>VLOOKUP(Table5[[#This Row],[Date]],Database!A:E,5,)</f>
        <v/>
      </c>
      <c r="C423" s="14">
        <f>(B423-B422)/B422</f>
        <v/>
      </c>
      <c r="D423" s="14">
        <f>(B423-B411)/B411</f>
        <v/>
      </c>
      <c r="E423" s="15">
        <f>VLOOKUP(Table5[[#This Row],[Date]],'Fed Fund New'!$A:$C,2,FALSE)</f>
        <v/>
      </c>
      <c r="F423" s="27" t="n">
        <v>0.02</v>
      </c>
    </row>
    <row r="424">
      <c r="A424" s="61" t="n">
        <v>37226</v>
      </c>
      <c r="B424" s="68">
        <f>VLOOKUP(Table5[[#This Row],[Date]],Database!A:E,5,)</f>
        <v/>
      </c>
      <c r="C424" s="14">
        <f>(B424-B423)/B423</f>
        <v/>
      </c>
      <c r="D424" s="14">
        <f>(B424-B412)/B412</f>
        <v/>
      </c>
      <c r="E424" s="15">
        <f>VLOOKUP(Table5[[#This Row],[Date]],'Fed Fund New'!$A:$C,2,FALSE)</f>
        <v/>
      </c>
      <c r="F424" s="27" t="n">
        <v>0.02</v>
      </c>
    </row>
    <row r="425">
      <c r="A425" s="61" t="n">
        <v>37257</v>
      </c>
      <c r="B425" s="68">
        <f>VLOOKUP(Table5[[#This Row],[Date]],Database!A:E,5,)</f>
        <v/>
      </c>
      <c r="C425" s="14">
        <f>(B425-B424)/B424</f>
        <v/>
      </c>
      <c r="D425" s="14">
        <f>(B425-B413)/B413</f>
        <v/>
      </c>
      <c r="E425" s="15">
        <f>VLOOKUP(Table5[[#This Row],[Date]],'Fed Fund New'!$A:$C,2,FALSE)</f>
        <v/>
      </c>
      <c r="F425" s="27" t="n">
        <v>0.02</v>
      </c>
    </row>
    <row r="426">
      <c r="A426" s="61" t="n">
        <v>37288</v>
      </c>
      <c r="B426" s="68">
        <f>VLOOKUP(Table5[[#This Row],[Date]],Database!A:E,5,)</f>
        <v/>
      </c>
      <c r="C426" s="14">
        <f>(B426-B425)/B425</f>
        <v/>
      </c>
      <c r="D426" s="14">
        <f>(B426-B414)/B414</f>
        <v/>
      </c>
      <c r="E426" s="15">
        <f>VLOOKUP(Table5[[#This Row],[Date]],'Fed Fund New'!$A:$C,2,FALSE)</f>
        <v/>
      </c>
      <c r="F426" s="27" t="n">
        <v>0.02</v>
      </c>
    </row>
    <row r="427">
      <c r="A427" s="61" t="n">
        <v>37316</v>
      </c>
      <c r="B427" s="68">
        <f>VLOOKUP(Table5[[#This Row],[Date]],Database!A:E,5,)</f>
        <v/>
      </c>
      <c r="C427" s="14">
        <f>(B427-B426)/B426</f>
        <v/>
      </c>
      <c r="D427" s="14">
        <f>(B427-B415)/B415</f>
        <v/>
      </c>
      <c r="E427" s="15">
        <f>VLOOKUP(Table5[[#This Row],[Date]],'Fed Fund New'!$A:$C,2,FALSE)</f>
        <v/>
      </c>
      <c r="F427" s="27" t="n">
        <v>0.02</v>
      </c>
    </row>
    <row r="428">
      <c r="A428" s="61" t="n">
        <v>37347</v>
      </c>
      <c r="B428" s="68">
        <f>VLOOKUP(Table5[[#This Row],[Date]],Database!A:E,5,)</f>
        <v/>
      </c>
      <c r="C428" s="14">
        <f>(B428-B427)/B427</f>
        <v/>
      </c>
      <c r="D428" s="14">
        <f>(B428-B416)/B416</f>
        <v/>
      </c>
      <c r="E428" s="15">
        <f>VLOOKUP(Table5[[#This Row],[Date]],'Fed Fund New'!$A:$C,2,FALSE)</f>
        <v/>
      </c>
      <c r="F428" s="27" t="n">
        <v>0.02</v>
      </c>
    </row>
    <row r="429">
      <c r="A429" s="61" t="n">
        <v>37377</v>
      </c>
      <c r="B429" s="68">
        <f>VLOOKUP(Table5[[#This Row],[Date]],Database!A:E,5,)</f>
        <v/>
      </c>
      <c r="C429" s="14">
        <f>(B429-B428)/B428</f>
        <v/>
      </c>
      <c r="D429" s="14">
        <f>(B429-B417)/B417</f>
        <v/>
      </c>
      <c r="E429" s="15">
        <f>VLOOKUP(Table5[[#This Row],[Date]],'Fed Fund New'!$A:$C,2,FALSE)</f>
        <v/>
      </c>
      <c r="F429" s="27" t="n">
        <v>0.02</v>
      </c>
    </row>
    <row r="430">
      <c r="A430" s="61" t="n">
        <v>37408</v>
      </c>
      <c r="B430" s="68">
        <f>VLOOKUP(Table5[[#This Row],[Date]],Database!A:E,5,)</f>
        <v/>
      </c>
      <c r="C430" s="14">
        <f>(B430-B429)/B429</f>
        <v/>
      </c>
      <c r="D430" s="14">
        <f>(B430-B418)/B418</f>
        <v/>
      </c>
      <c r="E430" s="15">
        <f>VLOOKUP(Table5[[#This Row],[Date]],'Fed Fund New'!$A:$C,2,FALSE)</f>
        <v/>
      </c>
      <c r="F430" s="27" t="n">
        <v>0.02</v>
      </c>
    </row>
    <row r="431">
      <c r="A431" s="61" t="n">
        <v>37438</v>
      </c>
      <c r="B431" s="68">
        <f>VLOOKUP(Table5[[#This Row],[Date]],Database!A:E,5,)</f>
        <v/>
      </c>
      <c r="C431" s="14">
        <f>(B431-B430)/B430</f>
        <v/>
      </c>
      <c r="D431" s="14">
        <f>(B431-B419)/B419</f>
        <v/>
      </c>
      <c r="E431" s="15">
        <f>VLOOKUP(Table5[[#This Row],[Date]],'Fed Fund New'!$A:$C,2,FALSE)</f>
        <v/>
      </c>
      <c r="F431" s="27" t="n">
        <v>0.02</v>
      </c>
    </row>
    <row r="432">
      <c r="A432" s="61" t="n">
        <v>37469</v>
      </c>
      <c r="B432" s="68">
        <f>VLOOKUP(Table5[[#This Row],[Date]],Database!A:E,5,)</f>
        <v/>
      </c>
      <c r="C432" s="14">
        <f>(B432-B431)/B431</f>
        <v/>
      </c>
      <c r="D432" s="14">
        <f>(B432-B420)/B420</f>
        <v/>
      </c>
      <c r="E432" s="15">
        <f>VLOOKUP(Table5[[#This Row],[Date]],'Fed Fund New'!$A:$C,2,FALSE)</f>
        <v/>
      </c>
      <c r="F432" s="27" t="n">
        <v>0.02</v>
      </c>
    </row>
    <row r="433">
      <c r="A433" s="61" t="n">
        <v>37500</v>
      </c>
      <c r="B433" s="68">
        <f>VLOOKUP(Table5[[#This Row],[Date]],Database!A:E,5,)</f>
        <v/>
      </c>
      <c r="C433" s="14">
        <f>(B433-B432)/B432</f>
        <v/>
      </c>
      <c r="D433" s="14">
        <f>(B433-B421)/B421</f>
        <v/>
      </c>
      <c r="E433" s="15">
        <f>VLOOKUP(Table5[[#This Row],[Date]],'Fed Fund New'!$A:$C,2,FALSE)</f>
        <v/>
      </c>
      <c r="F433" s="27" t="n">
        <v>0.02</v>
      </c>
    </row>
    <row r="434">
      <c r="A434" s="61" t="n">
        <v>37530</v>
      </c>
      <c r="B434" s="68">
        <f>VLOOKUP(Table5[[#This Row],[Date]],Database!A:E,5,)</f>
        <v/>
      </c>
      <c r="C434" s="14">
        <f>(B434-B433)/B433</f>
        <v/>
      </c>
      <c r="D434" s="14">
        <f>(B434-B422)/B422</f>
        <v/>
      </c>
      <c r="E434" s="15">
        <f>VLOOKUP(Table5[[#This Row],[Date]],'Fed Fund New'!$A:$C,2,FALSE)</f>
        <v/>
      </c>
      <c r="F434" s="27" t="n">
        <v>0.02</v>
      </c>
    </row>
    <row r="435">
      <c r="A435" s="61" t="n">
        <v>37561</v>
      </c>
      <c r="B435" s="68">
        <f>VLOOKUP(Table5[[#This Row],[Date]],Database!A:E,5,)</f>
        <v/>
      </c>
      <c r="C435" s="14">
        <f>(B435-B434)/B434</f>
        <v/>
      </c>
      <c r="D435" s="14">
        <f>(B435-B423)/B423</f>
        <v/>
      </c>
      <c r="E435" s="15">
        <f>VLOOKUP(Table5[[#This Row],[Date]],'Fed Fund New'!$A:$C,2,FALSE)</f>
        <v/>
      </c>
      <c r="F435" s="27" t="n">
        <v>0.02</v>
      </c>
    </row>
    <row r="436">
      <c r="A436" s="61" t="n">
        <v>37591</v>
      </c>
      <c r="B436" s="68">
        <f>VLOOKUP(Table5[[#This Row],[Date]],Database!A:E,5,)</f>
        <v/>
      </c>
      <c r="C436" s="14">
        <f>(B436-B435)/B435</f>
        <v/>
      </c>
      <c r="D436" s="14">
        <f>(B436-B424)/B424</f>
        <v/>
      </c>
      <c r="E436" s="15">
        <f>VLOOKUP(Table5[[#This Row],[Date]],'Fed Fund New'!$A:$C,2,FALSE)</f>
        <v/>
      </c>
      <c r="F436" s="27" t="n">
        <v>0.02</v>
      </c>
    </row>
    <row r="437">
      <c r="A437" s="61" t="n">
        <v>37622</v>
      </c>
      <c r="B437" s="68">
        <f>VLOOKUP(Table5[[#This Row],[Date]],Database!A:E,5,)</f>
        <v/>
      </c>
      <c r="C437" s="14">
        <f>(B437-B436)/B436</f>
        <v/>
      </c>
      <c r="D437" s="14">
        <f>(B437-B425)/B425</f>
        <v/>
      </c>
      <c r="E437" s="15">
        <f>VLOOKUP(Table5[[#This Row],[Date]],'Fed Fund New'!$A:$C,2,FALSE)</f>
        <v/>
      </c>
      <c r="F437" s="27" t="n">
        <v>0.02</v>
      </c>
    </row>
    <row r="438">
      <c r="A438" s="61" t="n">
        <v>37653</v>
      </c>
      <c r="B438" s="68">
        <f>VLOOKUP(Table5[[#This Row],[Date]],Database!A:E,5,)</f>
        <v/>
      </c>
      <c r="C438" s="14">
        <f>(B438-B437)/B437</f>
        <v/>
      </c>
      <c r="D438" s="14">
        <f>(B438-B426)/B426</f>
        <v/>
      </c>
      <c r="E438" s="15">
        <f>VLOOKUP(Table5[[#This Row],[Date]],'Fed Fund New'!$A:$C,2,FALSE)</f>
        <v/>
      </c>
      <c r="F438" s="27" t="n">
        <v>0.02</v>
      </c>
    </row>
    <row r="439">
      <c r="A439" s="61" t="n">
        <v>37681</v>
      </c>
      <c r="B439" s="68">
        <f>VLOOKUP(Table5[[#This Row],[Date]],Database!A:E,5,)</f>
        <v/>
      </c>
      <c r="C439" s="14">
        <f>(B439-B438)/B438</f>
        <v/>
      </c>
      <c r="D439" s="14">
        <f>(B439-B427)/B427</f>
        <v/>
      </c>
      <c r="E439" s="15">
        <f>VLOOKUP(Table5[[#This Row],[Date]],'Fed Fund New'!$A:$C,2,FALSE)</f>
        <v/>
      </c>
      <c r="F439" s="27" t="n">
        <v>0.02</v>
      </c>
    </row>
    <row r="440">
      <c r="A440" s="61" t="n">
        <v>37712</v>
      </c>
      <c r="B440" s="68">
        <f>VLOOKUP(Table5[[#This Row],[Date]],Database!A:E,5,)</f>
        <v/>
      </c>
      <c r="C440" s="14">
        <f>(B440-B439)/B439</f>
        <v/>
      </c>
      <c r="D440" s="14">
        <f>(B440-B428)/B428</f>
        <v/>
      </c>
      <c r="E440" s="15">
        <f>VLOOKUP(Table5[[#This Row],[Date]],'Fed Fund New'!$A:$C,2,FALSE)</f>
        <v/>
      </c>
      <c r="F440" s="27" t="n">
        <v>0.02</v>
      </c>
    </row>
    <row r="441">
      <c r="A441" s="61" t="n">
        <v>37742</v>
      </c>
      <c r="B441" s="68">
        <f>VLOOKUP(Table5[[#This Row],[Date]],Database!A:E,5,)</f>
        <v/>
      </c>
      <c r="C441" s="14">
        <f>(B441-B440)/B440</f>
        <v/>
      </c>
      <c r="D441" s="14">
        <f>(B441-B429)/B429</f>
        <v/>
      </c>
      <c r="E441" s="15">
        <f>VLOOKUP(Table5[[#This Row],[Date]],'Fed Fund New'!$A:$C,2,FALSE)</f>
        <v/>
      </c>
      <c r="F441" s="27" t="n">
        <v>0.02</v>
      </c>
    </row>
    <row r="442">
      <c r="A442" s="61" t="n">
        <v>37773</v>
      </c>
      <c r="B442" s="68">
        <f>VLOOKUP(Table5[[#This Row],[Date]],Database!A:E,5,)</f>
        <v/>
      </c>
      <c r="C442" s="14">
        <f>(B442-B441)/B441</f>
        <v/>
      </c>
      <c r="D442" s="14">
        <f>(B442-B430)/B430</f>
        <v/>
      </c>
      <c r="E442" s="15">
        <f>VLOOKUP(Table5[[#This Row],[Date]],'Fed Fund New'!$A:$C,2,FALSE)</f>
        <v/>
      </c>
      <c r="F442" s="27" t="n">
        <v>0.02</v>
      </c>
    </row>
    <row r="443">
      <c r="A443" s="61" t="n">
        <v>37803</v>
      </c>
      <c r="B443" s="68">
        <f>VLOOKUP(Table5[[#This Row],[Date]],Database!A:E,5,)</f>
        <v/>
      </c>
      <c r="C443" s="14">
        <f>(B443-B442)/B442</f>
        <v/>
      </c>
      <c r="D443" s="14">
        <f>(B443-B431)/B431</f>
        <v/>
      </c>
      <c r="E443" s="15">
        <f>VLOOKUP(Table5[[#This Row],[Date]],'Fed Fund New'!$A:$C,2,FALSE)</f>
        <v/>
      </c>
      <c r="F443" s="27" t="n">
        <v>0.02</v>
      </c>
    </row>
    <row r="444">
      <c r="A444" s="61" t="n">
        <v>37834</v>
      </c>
      <c r="B444" s="68">
        <f>VLOOKUP(Table5[[#This Row],[Date]],Database!A:E,5,)</f>
        <v/>
      </c>
      <c r="C444" s="14">
        <f>(B444-B443)/B443</f>
        <v/>
      </c>
      <c r="D444" s="14">
        <f>(B444-B432)/B432</f>
        <v/>
      </c>
      <c r="E444" s="15">
        <f>VLOOKUP(Table5[[#This Row],[Date]],'Fed Fund New'!$A:$C,2,FALSE)</f>
        <v/>
      </c>
      <c r="F444" s="27" t="n">
        <v>0.02</v>
      </c>
    </row>
    <row r="445">
      <c r="A445" s="61" t="n">
        <v>37865</v>
      </c>
      <c r="B445" s="68">
        <f>VLOOKUP(Table5[[#This Row],[Date]],Database!A:E,5,)</f>
        <v/>
      </c>
      <c r="C445" s="14">
        <f>(B445-B444)/B444</f>
        <v/>
      </c>
      <c r="D445" s="14">
        <f>(B445-B433)/B433</f>
        <v/>
      </c>
      <c r="E445" s="15">
        <f>VLOOKUP(Table5[[#This Row],[Date]],'Fed Fund New'!$A:$C,2,FALSE)</f>
        <v/>
      </c>
      <c r="F445" s="27" t="n">
        <v>0.02</v>
      </c>
    </row>
    <row r="446">
      <c r="A446" s="61" t="n">
        <v>37895</v>
      </c>
      <c r="B446" s="68">
        <f>VLOOKUP(Table5[[#This Row],[Date]],Database!A:E,5,)</f>
        <v/>
      </c>
      <c r="C446" s="14">
        <f>(B446-B445)/B445</f>
        <v/>
      </c>
      <c r="D446" s="14">
        <f>(B446-B434)/B434</f>
        <v/>
      </c>
      <c r="E446" s="15">
        <f>VLOOKUP(Table5[[#This Row],[Date]],'Fed Fund New'!$A:$C,2,FALSE)</f>
        <v/>
      </c>
      <c r="F446" s="27" t="n">
        <v>0.02</v>
      </c>
    </row>
    <row r="447">
      <c r="A447" s="61" t="n">
        <v>37926</v>
      </c>
      <c r="B447" s="68">
        <f>VLOOKUP(Table5[[#This Row],[Date]],Database!A:E,5,)</f>
        <v/>
      </c>
      <c r="C447" s="14">
        <f>(B447-B446)/B446</f>
        <v/>
      </c>
      <c r="D447" s="14">
        <f>(B447-B435)/B435</f>
        <v/>
      </c>
      <c r="E447" s="15">
        <f>VLOOKUP(Table5[[#This Row],[Date]],'Fed Fund New'!$A:$C,2,FALSE)</f>
        <v/>
      </c>
      <c r="F447" s="27" t="n">
        <v>0.02</v>
      </c>
    </row>
    <row r="448">
      <c r="A448" s="61" t="n">
        <v>37956</v>
      </c>
      <c r="B448" s="68">
        <f>VLOOKUP(Table5[[#This Row],[Date]],Database!A:E,5,)</f>
        <v/>
      </c>
      <c r="C448" s="14">
        <f>(B448-B447)/B447</f>
        <v/>
      </c>
      <c r="D448" s="14">
        <f>(B448-B436)/B436</f>
        <v/>
      </c>
      <c r="E448" s="15">
        <f>VLOOKUP(Table5[[#This Row],[Date]],'Fed Fund New'!$A:$C,2,FALSE)</f>
        <v/>
      </c>
      <c r="F448" s="27" t="n">
        <v>0.02</v>
      </c>
    </row>
    <row r="449">
      <c r="A449" s="61" t="n">
        <v>37987</v>
      </c>
      <c r="B449" s="68">
        <f>VLOOKUP(Table5[[#This Row],[Date]],Database!A:E,5,)</f>
        <v/>
      </c>
      <c r="C449" s="14">
        <f>(B449-B448)/B448</f>
        <v/>
      </c>
      <c r="D449" s="14">
        <f>(B449-B437)/B437</f>
        <v/>
      </c>
      <c r="E449" s="15">
        <f>VLOOKUP(Table5[[#This Row],[Date]],'Fed Fund New'!$A:$C,2,FALSE)</f>
        <v/>
      </c>
      <c r="F449" s="27" t="n">
        <v>0.02</v>
      </c>
    </row>
    <row r="450">
      <c r="A450" s="61" t="n">
        <v>38018</v>
      </c>
      <c r="B450" s="68">
        <f>VLOOKUP(Table5[[#This Row],[Date]],Database!A:E,5,)</f>
        <v/>
      </c>
      <c r="C450" s="14">
        <f>(B450-B449)/B449</f>
        <v/>
      </c>
      <c r="D450" s="14">
        <f>(B450-B438)/B438</f>
        <v/>
      </c>
      <c r="E450" s="15">
        <f>VLOOKUP(Table5[[#This Row],[Date]],'Fed Fund New'!$A:$C,2,FALSE)</f>
        <v/>
      </c>
      <c r="F450" s="27" t="n">
        <v>0.02</v>
      </c>
    </row>
    <row r="451">
      <c r="A451" s="61" t="n">
        <v>38047</v>
      </c>
      <c r="B451" s="68">
        <f>VLOOKUP(Table5[[#This Row],[Date]],Database!A:E,5,)</f>
        <v/>
      </c>
      <c r="C451" s="14">
        <f>(B451-B450)/B450</f>
        <v/>
      </c>
      <c r="D451" s="14">
        <f>(B451-B439)/B439</f>
        <v/>
      </c>
      <c r="E451" s="15">
        <f>VLOOKUP(Table5[[#This Row],[Date]],'Fed Fund New'!$A:$C,2,FALSE)</f>
        <v/>
      </c>
      <c r="F451" s="27" t="n">
        <v>0.02</v>
      </c>
    </row>
    <row r="452">
      <c r="A452" s="61" t="n">
        <v>38078</v>
      </c>
      <c r="B452" s="68">
        <f>VLOOKUP(Table5[[#This Row],[Date]],Database!A:E,5,)</f>
        <v/>
      </c>
      <c r="C452" s="14">
        <f>(B452-B451)/B451</f>
        <v/>
      </c>
      <c r="D452" s="14">
        <f>(B452-B440)/B440</f>
        <v/>
      </c>
      <c r="E452" s="15">
        <f>VLOOKUP(Table5[[#This Row],[Date]],'Fed Fund New'!$A:$C,2,FALSE)</f>
        <v/>
      </c>
      <c r="F452" s="27" t="n">
        <v>0.02</v>
      </c>
    </row>
    <row r="453">
      <c r="A453" s="61" t="n">
        <v>38108</v>
      </c>
      <c r="B453" s="68">
        <f>VLOOKUP(Table5[[#This Row],[Date]],Database!A:E,5,)</f>
        <v/>
      </c>
      <c r="C453" s="14">
        <f>(B453-B452)/B452</f>
        <v/>
      </c>
      <c r="D453" s="14">
        <f>(B453-B441)/B441</f>
        <v/>
      </c>
      <c r="E453" s="15">
        <f>VLOOKUP(Table5[[#This Row],[Date]],'Fed Fund New'!$A:$C,2,FALSE)</f>
        <v/>
      </c>
      <c r="F453" s="27" t="n">
        <v>0.02</v>
      </c>
    </row>
    <row r="454">
      <c r="A454" s="61" t="n">
        <v>38139</v>
      </c>
      <c r="B454" s="68">
        <f>VLOOKUP(Table5[[#This Row],[Date]],Database!A:E,5,)</f>
        <v/>
      </c>
      <c r="C454" s="14">
        <f>(B454-B453)/B453</f>
        <v/>
      </c>
      <c r="D454" s="14">
        <f>(B454-B442)/B442</f>
        <v/>
      </c>
      <c r="E454" s="15">
        <f>VLOOKUP(Table5[[#This Row],[Date]],'Fed Fund New'!$A:$C,2,FALSE)</f>
        <v/>
      </c>
      <c r="F454" s="27" t="n">
        <v>0.02</v>
      </c>
    </row>
    <row r="455">
      <c r="A455" s="61" t="n">
        <v>38169</v>
      </c>
      <c r="B455" s="68">
        <f>VLOOKUP(Table5[[#This Row],[Date]],Database!A:E,5,)</f>
        <v/>
      </c>
      <c r="C455" s="14">
        <f>(B455-B454)/B454</f>
        <v/>
      </c>
      <c r="D455" s="14">
        <f>(B455-B443)/B443</f>
        <v/>
      </c>
      <c r="E455" s="15">
        <f>VLOOKUP(Table5[[#This Row],[Date]],'Fed Fund New'!$A:$C,2,FALSE)</f>
        <v/>
      </c>
      <c r="F455" s="27" t="n">
        <v>0.02</v>
      </c>
    </row>
    <row r="456">
      <c r="A456" s="61" t="n">
        <v>38200</v>
      </c>
      <c r="B456" s="68">
        <f>VLOOKUP(Table5[[#This Row],[Date]],Database!A:E,5,)</f>
        <v/>
      </c>
      <c r="C456" s="14">
        <f>(B456-B455)/B455</f>
        <v/>
      </c>
      <c r="D456" s="14">
        <f>(B456-B444)/B444</f>
        <v/>
      </c>
      <c r="E456" s="15">
        <f>VLOOKUP(Table5[[#This Row],[Date]],'Fed Fund New'!$A:$C,2,FALSE)</f>
        <v/>
      </c>
      <c r="F456" s="27" t="n">
        <v>0.02</v>
      </c>
    </row>
    <row r="457">
      <c r="A457" s="61" t="n">
        <v>38231</v>
      </c>
      <c r="B457" s="68">
        <f>VLOOKUP(Table5[[#This Row],[Date]],Database!A:E,5,)</f>
        <v/>
      </c>
      <c r="C457" s="14">
        <f>(B457-B456)/B456</f>
        <v/>
      </c>
      <c r="D457" s="14">
        <f>(B457-B445)/B445</f>
        <v/>
      </c>
      <c r="E457" s="15">
        <f>VLOOKUP(Table5[[#This Row],[Date]],'Fed Fund New'!$A:$C,2,FALSE)</f>
        <v/>
      </c>
      <c r="F457" s="27" t="n">
        <v>0.02</v>
      </c>
    </row>
    <row r="458">
      <c r="A458" s="61" t="n">
        <v>38261</v>
      </c>
      <c r="B458" s="68">
        <f>VLOOKUP(Table5[[#This Row],[Date]],Database!A:E,5,)</f>
        <v/>
      </c>
      <c r="C458" s="14">
        <f>(B458-B457)/B457</f>
        <v/>
      </c>
      <c r="D458" s="14">
        <f>(B458-B446)/B446</f>
        <v/>
      </c>
      <c r="E458" s="15">
        <f>VLOOKUP(Table5[[#This Row],[Date]],'Fed Fund New'!$A:$C,2,FALSE)</f>
        <v/>
      </c>
      <c r="F458" s="27" t="n">
        <v>0.02</v>
      </c>
    </row>
    <row r="459">
      <c r="A459" s="61" t="n">
        <v>38292</v>
      </c>
      <c r="B459" s="68">
        <f>VLOOKUP(Table5[[#This Row],[Date]],Database!A:E,5,)</f>
        <v/>
      </c>
      <c r="C459" s="14">
        <f>(B459-B458)/B458</f>
        <v/>
      </c>
      <c r="D459" s="14">
        <f>(B459-B447)/B447</f>
        <v/>
      </c>
      <c r="E459" s="15">
        <f>VLOOKUP(Table5[[#This Row],[Date]],'Fed Fund New'!$A:$C,2,FALSE)</f>
        <v/>
      </c>
      <c r="F459" s="27" t="n">
        <v>0.02</v>
      </c>
    </row>
    <row r="460">
      <c r="A460" s="61" t="n">
        <v>38322</v>
      </c>
      <c r="B460" s="68">
        <f>VLOOKUP(Table5[[#This Row],[Date]],Database!A:E,5,)</f>
        <v/>
      </c>
      <c r="C460" s="14">
        <f>(B460-B459)/B459</f>
        <v/>
      </c>
      <c r="D460" s="14">
        <f>(B460-B448)/B448</f>
        <v/>
      </c>
      <c r="E460" s="15">
        <f>VLOOKUP(Table5[[#This Row],[Date]],'Fed Fund New'!$A:$C,2,FALSE)</f>
        <v/>
      </c>
      <c r="F460" s="27" t="n">
        <v>0.02</v>
      </c>
    </row>
    <row r="461">
      <c r="A461" s="61" t="n">
        <v>38353</v>
      </c>
      <c r="B461" s="68">
        <f>VLOOKUP(Table5[[#This Row],[Date]],Database!A:E,5,)</f>
        <v/>
      </c>
      <c r="C461" s="14">
        <f>(B461-B460)/B460</f>
        <v/>
      </c>
      <c r="D461" s="14">
        <f>(B461-B449)/B449</f>
        <v/>
      </c>
      <c r="E461" s="15">
        <f>VLOOKUP(Table5[[#This Row],[Date]],'Fed Fund New'!$A:$C,2,FALSE)</f>
        <v/>
      </c>
      <c r="F461" s="27" t="n">
        <v>0.02</v>
      </c>
    </row>
    <row r="462">
      <c r="A462" s="61" t="n">
        <v>38384</v>
      </c>
      <c r="B462" s="68">
        <f>VLOOKUP(Table5[[#This Row],[Date]],Database!A:E,5,)</f>
        <v/>
      </c>
      <c r="C462" s="14">
        <f>(B462-B461)/B461</f>
        <v/>
      </c>
      <c r="D462" s="14">
        <f>(B462-B450)/B450</f>
        <v/>
      </c>
      <c r="E462" s="15">
        <f>VLOOKUP(Table5[[#This Row],[Date]],'Fed Fund New'!$A:$C,2,FALSE)</f>
        <v/>
      </c>
      <c r="F462" s="27" t="n">
        <v>0.02</v>
      </c>
    </row>
    <row r="463">
      <c r="A463" s="61" t="n">
        <v>38412</v>
      </c>
      <c r="B463" s="68">
        <f>VLOOKUP(Table5[[#This Row],[Date]],Database!A:E,5,)</f>
        <v/>
      </c>
      <c r="C463" s="14">
        <f>(B463-B462)/B462</f>
        <v/>
      </c>
      <c r="D463" s="14">
        <f>(B463-B451)/B451</f>
        <v/>
      </c>
      <c r="E463" s="15">
        <f>VLOOKUP(Table5[[#This Row],[Date]],'Fed Fund New'!$A:$C,2,FALSE)</f>
        <v/>
      </c>
      <c r="F463" s="27" t="n">
        <v>0.02</v>
      </c>
    </row>
    <row r="464">
      <c r="A464" s="61" t="n">
        <v>38443</v>
      </c>
      <c r="B464" s="68">
        <f>VLOOKUP(Table5[[#This Row],[Date]],Database!A:E,5,)</f>
        <v/>
      </c>
      <c r="C464" s="14">
        <f>(B464-B463)/B463</f>
        <v/>
      </c>
      <c r="D464" s="14">
        <f>(B464-B452)/B452</f>
        <v/>
      </c>
      <c r="E464" s="15">
        <f>VLOOKUP(Table5[[#This Row],[Date]],'Fed Fund New'!$A:$C,2,FALSE)</f>
        <v/>
      </c>
      <c r="F464" s="27" t="n">
        <v>0.02</v>
      </c>
    </row>
    <row r="465">
      <c r="A465" s="61" t="n">
        <v>38473</v>
      </c>
      <c r="B465" s="68">
        <f>VLOOKUP(Table5[[#This Row],[Date]],Database!A:E,5,)</f>
        <v/>
      </c>
      <c r="C465" s="14">
        <f>(B465-B464)/B464</f>
        <v/>
      </c>
      <c r="D465" s="14">
        <f>(B465-B453)/B453</f>
        <v/>
      </c>
      <c r="E465" s="15">
        <f>VLOOKUP(Table5[[#This Row],[Date]],'Fed Fund New'!$A:$C,2,FALSE)</f>
        <v/>
      </c>
      <c r="F465" s="27" t="n">
        <v>0.02</v>
      </c>
    </row>
    <row r="466">
      <c r="A466" s="61" t="n">
        <v>38504</v>
      </c>
      <c r="B466" s="68">
        <f>VLOOKUP(Table5[[#This Row],[Date]],Database!A:E,5,)</f>
        <v/>
      </c>
      <c r="C466" s="14">
        <f>(B466-B465)/B465</f>
        <v/>
      </c>
      <c r="D466" s="14">
        <f>(B466-B454)/B454</f>
        <v/>
      </c>
      <c r="E466" s="15">
        <f>VLOOKUP(Table5[[#This Row],[Date]],'Fed Fund New'!$A:$C,2,FALSE)</f>
        <v/>
      </c>
      <c r="F466" s="27" t="n">
        <v>0.02</v>
      </c>
    </row>
    <row r="467">
      <c r="A467" s="61" t="n">
        <v>38534</v>
      </c>
      <c r="B467" s="68">
        <f>VLOOKUP(Table5[[#This Row],[Date]],Database!A:E,5,)</f>
        <v/>
      </c>
      <c r="C467" s="14">
        <f>(B467-B466)/B466</f>
        <v/>
      </c>
      <c r="D467" s="14">
        <f>(B467-B455)/B455</f>
        <v/>
      </c>
      <c r="E467" s="15">
        <f>VLOOKUP(Table5[[#This Row],[Date]],'Fed Fund New'!$A:$C,2,FALSE)</f>
        <v/>
      </c>
      <c r="F467" s="27" t="n">
        <v>0.02</v>
      </c>
    </row>
    <row r="468">
      <c r="A468" s="61" t="n">
        <v>38565</v>
      </c>
      <c r="B468" s="68">
        <f>VLOOKUP(Table5[[#This Row],[Date]],Database!A:E,5,)</f>
        <v/>
      </c>
      <c r="C468" s="14">
        <f>(B468-B467)/B467</f>
        <v/>
      </c>
      <c r="D468" s="14">
        <f>(B468-B456)/B456</f>
        <v/>
      </c>
      <c r="E468" s="15">
        <f>VLOOKUP(Table5[[#This Row],[Date]],'Fed Fund New'!$A:$C,2,FALSE)</f>
        <v/>
      </c>
      <c r="F468" s="27" t="n">
        <v>0.02</v>
      </c>
    </row>
    <row r="469">
      <c r="A469" s="61" t="n">
        <v>38596</v>
      </c>
      <c r="B469" s="68">
        <f>VLOOKUP(Table5[[#This Row],[Date]],Database!A:E,5,)</f>
        <v/>
      </c>
      <c r="C469" s="14">
        <f>(B469-B468)/B468</f>
        <v/>
      </c>
      <c r="D469" s="14">
        <f>(B469-B457)/B457</f>
        <v/>
      </c>
      <c r="E469" s="15">
        <f>VLOOKUP(Table5[[#This Row],[Date]],'Fed Fund New'!$A:$C,2,FALSE)</f>
        <v/>
      </c>
      <c r="F469" s="27" t="n">
        <v>0.02</v>
      </c>
    </row>
    <row r="470">
      <c r="A470" s="61" t="n">
        <v>38626</v>
      </c>
      <c r="B470" s="68">
        <f>VLOOKUP(Table5[[#This Row],[Date]],Database!A:E,5,)</f>
        <v/>
      </c>
      <c r="C470" s="14">
        <f>(B470-B469)/B469</f>
        <v/>
      </c>
      <c r="D470" s="14">
        <f>(B470-B458)/B458</f>
        <v/>
      </c>
      <c r="E470" s="15">
        <f>VLOOKUP(Table5[[#This Row],[Date]],'Fed Fund New'!$A:$C,2,FALSE)</f>
        <v/>
      </c>
      <c r="F470" s="27" t="n">
        <v>0.02</v>
      </c>
    </row>
    <row r="471">
      <c r="A471" s="61" t="n">
        <v>38657</v>
      </c>
      <c r="B471" s="68">
        <f>VLOOKUP(Table5[[#This Row],[Date]],Database!A:E,5,)</f>
        <v/>
      </c>
      <c r="C471" s="14">
        <f>(B471-B470)/B470</f>
        <v/>
      </c>
      <c r="D471" s="14">
        <f>(B471-B459)/B459</f>
        <v/>
      </c>
      <c r="E471" s="15">
        <f>VLOOKUP(Table5[[#This Row],[Date]],'Fed Fund New'!$A:$C,2,FALSE)</f>
        <v/>
      </c>
      <c r="F471" s="27" t="n">
        <v>0.02</v>
      </c>
    </row>
    <row r="472">
      <c r="A472" s="61" t="n">
        <v>38687</v>
      </c>
      <c r="B472" s="68">
        <f>VLOOKUP(Table5[[#This Row],[Date]],Database!A:E,5,)</f>
        <v/>
      </c>
      <c r="C472" s="14">
        <f>(B472-B471)/B471</f>
        <v/>
      </c>
      <c r="D472" s="14">
        <f>(B472-B460)/B460</f>
        <v/>
      </c>
      <c r="E472" s="15">
        <f>VLOOKUP(Table5[[#This Row],[Date]],'Fed Fund New'!$A:$C,2,FALSE)</f>
        <v/>
      </c>
      <c r="F472" s="27" t="n">
        <v>0.02</v>
      </c>
    </row>
    <row r="473">
      <c r="A473" s="61" t="n">
        <v>38718</v>
      </c>
      <c r="B473" s="68">
        <f>VLOOKUP(Table5[[#This Row],[Date]],Database!A:E,5,)</f>
        <v/>
      </c>
      <c r="C473" s="14">
        <f>(B473-B472)/B472</f>
        <v/>
      </c>
      <c r="D473" s="14">
        <f>(B473-B461)/B461</f>
        <v/>
      </c>
      <c r="E473" s="15">
        <f>VLOOKUP(Table5[[#This Row],[Date]],'Fed Fund New'!$A:$C,2,FALSE)</f>
        <v/>
      </c>
      <c r="F473" s="27" t="n">
        <v>0.02</v>
      </c>
    </row>
    <row r="474">
      <c r="A474" s="61" t="n">
        <v>38749</v>
      </c>
      <c r="B474" s="68">
        <f>VLOOKUP(Table5[[#This Row],[Date]],Database!A:E,5,)</f>
        <v/>
      </c>
      <c r="C474" s="14">
        <f>(B474-B473)/B473</f>
        <v/>
      </c>
      <c r="D474" s="14">
        <f>(B474-B462)/B462</f>
        <v/>
      </c>
      <c r="E474" s="15">
        <f>VLOOKUP(Table5[[#This Row],[Date]],'Fed Fund New'!$A:$C,2,FALSE)</f>
        <v/>
      </c>
      <c r="F474" s="27" t="n">
        <v>0.02</v>
      </c>
    </row>
    <row r="475">
      <c r="A475" s="61" t="n">
        <v>38777</v>
      </c>
      <c r="B475" s="68">
        <f>VLOOKUP(Table5[[#This Row],[Date]],Database!A:E,5,)</f>
        <v/>
      </c>
      <c r="C475" s="14">
        <f>(B475-B474)/B474</f>
        <v/>
      </c>
      <c r="D475" s="14">
        <f>(B475-B463)/B463</f>
        <v/>
      </c>
      <c r="E475" s="15">
        <f>VLOOKUP(Table5[[#This Row],[Date]],'Fed Fund New'!$A:$C,2,FALSE)</f>
        <v/>
      </c>
      <c r="F475" s="27" t="n">
        <v>0.02</v>
      </c>
    </row>
    <row r="476">
      <c r="A476" s="61" t="n">
        <v>38808</v>
      </c>
      <c r="B476" s="68">
        <f>VLOOKUP(Table5[[#This Row],[Date]],Database!A:E,5,)</f>
        <v/>
      </c>
      <c r="C476" s="14">
        <f>(B476-B475)/B475</f>
        <v/>
      </c>
      <c r="D476" s="14">
        <f>(B476-B464)/B464</f>
        <v/>
      </c>
      <c r="E476" s="15">
        <f>VLOOKUP(Table5[[#This Row],[Date]],'Fed Fund New'!$A:$C,2,FALSE)</f>
        <v/>
      </c>
      <c r="F476" s="27" t="n">
        <v>0.02</v>
      </c>
    </row>
    <row r="477">
      <c r="A477" s="61" t="n">
        <v>38838</v>
      </c>
      <c r="B477" s="68">
        <f>VLOOKUP(Table5[[#This Row],[Date]],Database!A:E,5,)</f>
        <v/>
      </c>
      <c r="C477" s="14">
        <f>(B477-B476)/B476</f>
        <v/>
      </c>
      <c r="D477" s="14">
        <f>(B477-B465)/B465</f>
        <v/>
      </c>
      <c r="E477" s="15">
        <f>VLOOKUP(Table5[[#This Row],[Date]],'Fed Fund New'!$A:$C,2,FALSE)</f>
        <v/>
      </c>
      <c r="F477" s="27" t="n">
        <v>0.02</v>
      </c>
    </row>
    <row r="478">
      <c r="A478" s="61" t="n">
        <v>38869</v>
      </c>
      <c r="B478" s="68">
        <f>VLOOKUP(Table5[[#This Row],[Date]],Database!A:E,5,)</f>
        <v/>
      </c>
      <c r="C478" s="14">
        <f>(B478-B477)/B477</f>
        <v/>
      </c>
      <c r="D478" s="14">
        <f>(B478-B466)/B466</f>
        <v/>
      </c>
      <c r="E478" s="15">
        <f>VLOOKUP(Table5[[#This Row],[Date]],'Fed Fund New'!$A:$C,2,FALSE)</f>
        <v/>
      </c>
      <c r="F478" s="27" t="n">
        <v>0.02</v>
      </c>
    </row>
    <row r="479">
      <c r="A479" s="61" t="n">
        <v>38899</v>
      </c>
      <c r="B479" s="68">
        <f>VLOOKUP(Table5[[#This Row],[Date]],Database!A:E,5,)</f>
        <v/>
      </c>
      <c r="C479" s="14">
        <f>(B479-B478)/B478</f>
        <v/>
      </c>
      <c r="D479" s="14">
        <f>(B479-B467)/B467</f>
        <v/>
      </c>
      <c r="E479" s="15">
        <f>VLOOKUP(Table5[[#This Row],[Date]],'Fed Fund New'!$A:$C,2,FALSE)</f>
        <v/>
      </c>
      <c r="F479" s="27" t="n">
        <v>0.02</v>
      </c>
    </row>
    <row r="480">
      <c r="A480" s="61" t="n">
        <v>38930</v>
      </c>
      <c r="B480" s="68">
        <f>VLOOKUP(Table5[[#This Row],[Date]],Database!A:E,5,)</f>
        <v/>
      </c>
      <c r="C480" s="14">
        <f>(B480-B479)/B479</f>
        <v/>
      </c>
      <c r="D480" s="14">
        <f>(B480-B468)/B468</f>
        <v/>
      </c>
      <c r="E480" s="15">
        <f>VLOOKUP(Table5[[#This Row],[Date]],'Fed Fund New'!$A:$C,2,FALSE)</f>
        <v/>
      </c>
      <c r="F480" s="27" t="n">
        <v>0.02</v>
      </c>
    </row>
    <row r="481">
      <c r="A481" s="61" t="n">
        <v>38961</v>
      </c>
      <c r="B481" s="68">
        <f>VLOOKUP(Table5[[#This Row],[Date]],Database!A:E,5,)</f>
        <v/>
      </c>
      <c r="C481" s="14">
        <f>(B481-B480)/B480</f>
        <v/>
      </c>
      <c r="D481" s="14">
        <f>(B481-B469)/B469</f>
        <v/>
      </c>
      <c r="E481" s="15">
        <f>VLOOKUP(Table5[[#This Row],[Date]],'Fed Fund New'!$A:$C,2,FALSE)</f>
        <v/>
      </c>
      <c r="F481" s="27" t="n">
        <v>0.02</v>
      </c>
    </row>
    <row r="482">
      <c r="A482" s="61" t="n">
        <v>38991</v>
      </c>
      <c r="B482" s="68">
        <f>VLOOKUP(Table5[[#This Row],[Date]],Database!A:E,5,)</f>
        <v/>
      </c>
      <c r="C482" s="14">
        <f>(B482-B481)/B481</f>
        <v/>
      </c>
      <c r="D482" s="14">
        <f>(B482-B470)/B470</f>
        <v/>
      </c>
      <c r="E482" s="15">
        <f>VLOOKUP(Table5[[#This Row],[Date]],'Fed Fund New'!$A:$C,2,FALSE)</f>
        <v/>
      </c>
      <c r="F482" s="27" t="n">
        <v>0.02</v>
      </c>
    </row>
    <row r="483">
      <c r="A483" s="61" t="n">
        <v>39022</v>
      </c>
      <c r="B483" s="68">
        <f>VLOOKUP(Table5[[#This Row],[Date]],Database!A:E,5,)</f>
        <v/>
      </c>
      <c r="C483" s="14">
        <f>(B483-B482)/B482</f>
        <v/>
      </c>
      <c r="D483" s="14">
        <f>(B483-B471)/B471</f>
        <v/>
      </c>
      <c r="E483" s="15">
        <f>VLOOKUP(Table5[[#This Row],[Date]],'Fed Fund New'!$A:$C,2,FALSE)</f>
        <v/>
      </c>
      <c r="F483" s="27" t="n">
        <v>0.02</v>
      </c>
    </row>
    <row r="484">
      <c r="A484" s="61" t="n">
        <v>39052</v>
      </c>
      <c r="B484" s="68">
        <f>VLOOKUP(Table5[[#This Row],[Date]],Database!A:E,5,)</f>
        <v/>
      </c>
      <c r="C484" s="14">
        <f>(B484-B483)/B483</f>
        <v/>
      </c>
      <c r="D484" s="14">
        <f>(B484-B472)/B472</f>
        <v/>
      </c>
      <c r="E484" s="15">
        <f>VLOOKUP(Table5[[#This Row],[Date]],'Fed Fund New'!$A:$C,2,FALSE)</f>
        <v/>
      </c>
      <c r="F484" s="27" t="n">
        <v>0.02</v>
      </c>
    </row>
    <row r="485">
      <c r="A485" s="61" t="n">
        <v>39083</v>
      </c>
      <c r="B485" s="68">
        <f>VLOOKUP(Table5[[#This Row],[Date]],Database!A:E,5,)</f>
        <v/>
      </c>
      <c r="C485" s="14">
        <f>(B485-B484)/B484</f>
        <v/>
      </c>
      <c r="D485" s="14">
        <f>(B485-B473)/B473</f>
        <v/>
      </c>
      <c r="E485" s="15">
        <f>VLOOKUP(Table5[[#This Row],[Date]],'Fed Fund New'!$A:$C,2,FALSE)</f>
        <v/>
      </c>
      <c r="F485" s="27" t="n">
        <v>0.02</v>
      </c>
    </row>
    <row r="486">
      <c r="A486" s="61" t="n">
        <v>39114</v>
      </c>
      <c r="B486" s="68">
        <f>VLOOKUP(Table5[[#This Row],[Date]],Database!A:E,5,)</f>
        <v/>
      </c>
      <c r="C486" s="14">
        <f>(B486-B485)/B485</f>
        <v/>
      </c>
      <c r="D486" s="14">
        <f>(B486-B474)/B474</f>
        <v/>
      </c>
      <c r="E486" s="15">
        <f>VLOOKUP(Table5[[#This Row],[Date]],'Fed Fund New'!$A:$C,2,FALSE)</f>
        <v/>
      </c>
      <c r="F486" s="27" t="n">
        <v>0.02</v>
      </c>
    </row>
    <row r="487">
      <c r="A487" s="61" t="n">
        <v>39142</v>
      </c>
      <c r="B487" s="68">
        <f>VLOOKUP(Table5[[#This Row],[Date]],Database!A:E,5,)</f>
        <v/>
      </c>
      <c r="C487" s="14">
        <f>(B487-B486)/B486</f>
        <v/>
      </c>
      <c r="D487" s="14">
        <f>(B487-B475)/B475</f>
        <v/>
      </c>
      <c r="E487" s="15">
        <f>VLOOKUP(Table5[[#This Row],[Date]],'Fed Fund New'!$A:$C,2,FALSE)</f>
        <v/>
      </c>
      <c r="F487" s="27" t="n">
        <v>0.02</v>
      </c>
    </row>
    <row r="488">
      <c r="A488" s="61" t="n">
        <v>39173</v>
      </c>
      <c r="B488" s="68">
        <f>VLOOKUP(Table5[[#This Row],[Date]],Database!A:E,5,)</f>
        <v/>
      </c>
      <c r="C488" s="14">
        <f>(B488-B487)/B487</f>
        <v/>
      </c>
      <c r="D488" s="14">
        <f>(B488-B476)/B476</f>
        <v/>
      </c>
      <c r="E488" s="15">
        <f>VLOOKUP(Table5[[#This Row],[Date]],'Fed Fund New'!$A:$C,2,FALSE)</f>
        <v/>
      </c>
      <c r="F488" s="27" t="n">
        <v>0.02</v>
      </c>
    </row>
    <row r="489">
      <c r="A489" s="61" t="n">
        <v>39203</v>
      </c>
      <c r="B489" s="68">
        <f>VLOOKUP(Table5[[#This Row],[Date]],Database!A:E,5,)</f>
        <v/>
      </c>
      <c r="C489" s="14">
        <f>(B489-B488)/B488</f>
        <v/>
      </c>
      <c r="D489" s="14">
        <f>(B489-B477)/B477</f>
        <v/>
      </c>
      <c r="E489" s="15">
        <f>VLOOKUP(Table5[[#This Row],[Date]],'Fed Fund New'!$A:$C,2,FALSE)</f>
        <v/>
      </c>
      <c r="F489" s="27" t="n">
        <v>0.02</v>
      </c>
    </row>
    <row r="490">
      <c r="A490" s="61" t="n">
        <v>39234</v>
      </c>
      <c r="B490" s="68">
        <f>VLOOKUP(Table5[[#This Row],[Date]],Database!A:E,5,)</f>
        <v/>
      </c>
      <c r="C490" s="14">
        <f>(B490-B489)/B489</f>
        <v/>
      </c>
      <c r="D490" s="14">
        <f>(B490-B478)/B478</f>
        <v/>
      </c>
      <c r="E490" s="15">
        <f>VLOOKUP(Table5[[#This Row],[Date]],'Fed Fund New'!$A:$C,2,FALSE)</f>
        <v/>
      </c>
      <c r="F490" s="27" t="n">
        <v>0.02</v>
      </c>
    </row>
    <row r="491">
      <c r="A491" s="61" t="n">
        <v>39264</v>
      </c>
      <c r="B491" s="68">
        <f>VLOOKUP(Table5[[#This Row],[Date]],Database!A:E,5,)</f>
        <v/>
      </c>
      <c r="C491" s="14">
        <f>(B491-B490)/B490</f>
        <v/>
      </c>
      <c r="D491" s="14">
        <f>(B491-B479)/B479</f>
        <v/>
      </c>
      <c r="E491" s="15">
        <f>VLOOKUP(Table5[[#This Row],[Date]],'Fed Fund New'!$A:$C,2,FALSE)</f>
        <v/>
      </c>
      <c r="F491" s="27" t="n">
        <v>0.02</v>
      </c>
    </row>
    <row r="492">
      <c r="A492" s="61" t="n">
        <v>39295</v>
      </c>
      <c r="B492" s="68">
        <f>VLOOKUP(Table5[[#This Row],[Date]],Database!A:E,5,)</f>
        <v/>
      </c>
      <c r="C492" s="14">
        <f>(B492-B491)/B491</f>
        <v/>
      </c>
      <c r="D492" s="14">
        <f>(B492-B480)/B480</f>
        <v/>
      </c>
      <c r="E492" s="15">
        <f>VLOOKUP(Table5[[#This Row],[Date]],'Fed Fund New'!$A:$C,2,FALSE)</f>
        <v/>
      </c>
      <c r="F492" s="27" t="n">
        <v>0.02</v>
      </c>
    </row>
    <row r="493">
      <c r="A493" s="61" t="n">
        <v>39326</v>
      </c>
      <c r="B493" s="68">
        <f>VLOOKUP(Table5[[#This Row],[Date]],Database!A:E,5,)</f>
        <v/>
      </c>
      <c r="C493" s="14">
        <f>(B493-B492)/B492</f>
        <v/>
      </c>
      <c r="D493" s="14">
        <f>(B493-B481)/B481</f>
        <v/>
      </c>
      <c r="E493" s="15">
        <f>VLOOKUP(Table5[[#This Row],[Date]],'Fed Fund New'!$A:$C,2,FALSE)</f>
        <v/>
      </c>
      <c r="F493" s="27" t="n">
        <v>0.02</v>
      </c>
    </row>
    <row r="494">
      <c r="A494" s="61" t="n">
        <v>39356</v>
      </c>
      <c r="B494" s="68">
        <f>VLOOKUP(Table5[[#This Row],[Date]],Database!A:E,5,)</f>
        <v/>
      </c>
      <c r="C494" s="14">
        <f>(B494-B493)/B493</f>
        <v/>
      </c>
      <c r="D494" s="14">
        <f>(B494-B482)/B482</f>
        <v/>
      </c>
      <c r="E494" s="15">
        <f>VLOOKUP(Table5[[#This Row],[Date]],'Fed Fund New'!$A:$C,2,FALSE)</f>
        <v/>
      </c>
      <c r="F494" s="27" t="n">
        <v>0.02</v>
      </c>
    </row>
    <row r="495">
      <c r="A495" s="61" t="n">
        <v>39387</v>
      </c>
      <c r="B495" s="68">
        <f>VLOOKUP(Table5[[#This Row],[Date]],Database!A:E,5,)</f>
        <v/>
      </c>
      <c r="C495" s="14">
        <f>(B495-B494)/B494</f>
        <v/>
      </c>
      <c r="D495" s="14">
        <f>(B495-B483)/B483</f>
        <v/>
      </c>
      <c r="E495" s="15">
        <f>VLOOKUP(Table5[[#This Row],[Date]],'Fed Fund New'!$A:$C,2,FALSE)</f>
        <v/>
      </c>
      <c r="F495" s="27" t="n">
        <v>0.02</v>
      </c>
    </row>
    <row r="496">
      <c r="A496" s="61" t="n">
        <v>39417</v>
      </c>
      <c r="B496" s="68">
        <f>VLOOKUP(Table5[[#This Row],[Date]],Database!A:E,5,)</f>
        <v/>
      </c>
      <c r="C496" s="14">
        <f>(B496-B495)/B495</f>
        <v/>
      </c>
      <c r="D496" s="14">
        <f>(B496-B484)/B484</f>
        <v/>
      </c>
      <c r="E496" s="15">
        <f>VLOOKUP(Table5[[#This Row],[Date]],'Fed Fund New'!$A:$C,2,FALSE)</f>
        <v/>
      </c>
      <c r="F496" s="27" t="n">
        <v>0.02</v>
      </c>
    </row>
    <row r="497">
      <c r="A497" s="61" t="n">
        <v>39448</v>
      </c>
      <c r="B497" s="68">
        <f>VLOOKUP(Table5[[#This Row],[Date]],Database!A:E,5,)</f>
        <v/>
      </c>
      <c r="C497" s="14">
        <f>(B497-B496)/B496</f>
        <v/>
      </c>
      <c r="D497" s="14">
        <f>(B497-B485)/B485</f>
        <v/>
      </c>
      <c r="E497" s="15">
        <f>VLOOKUP(Table5[[#This Row],[Date]],'Fed Fund New'!$A:$C,2,FALSE)</f>
        <v/>
      </c>
      <c r="F497" s="27" t="n">
        <v>0.02</v>
      </c>
    </row>
    <row r="498">
      <c r="A498" s="61" t="n">
        <v>39479</v>
      </c>
      <c r="B498" s="68">
        <f>VLOOKUP(Table5[[#This Row],[Date]],Database!A:E,5,)</f>
        <v/>
      </c>
      <c r="C498" s="14">
        <f>(B498-B497)/B497</f>
        <v/>
      </c>
      <c r="D498" s="14">
        <f>(B498-B486)/B486</f>
        <v/>
      </c>
      <c r="E498" s="15">
        <f>VLOOKUP(Table5[[#This Row],[Date]],'Fed Fund New'!$A:$C,2,FALSE)</f>
        <v/>
      </c>
      <c r="F498" s="27" t="n">
        <v>0.02</v>
      </c>
    </row>
    <row r="499">
      <c r="A499" s="61" t="n">
        <v>39508</v>
      </c>
      <c r="B499" s="68">
        <f>VLOOKUP(Table5[[#This Row],[Date]],Database!A:E,5,)</f>
        <v/>
      </c>
      <c r="C499" s="14">
        <f>(B499-B498)/B498</f>
        <v/>
      </c>
      <c r="D499" s="14">
        <f>(B499-B487)/B487</f>
        <v/>
      </c>
      <c r="E499" s="15">
        <f>VLOOKUP(Table5[[#This Row],[Date]],'Fed Fund New'!$A:$C,2,FALSE)</f>
        <v/>
      </c>
      <c r="F499" s="27" t="n">
        <v>0.02</v>
      </c>
    </row>
    <row r="500">
      <c r="A500" s="61" t="n">
        <v>39539</v>
      </c>
      <c r="B500" s="68">
        <f>VLOOKUP(Table5[[#This Row],[Date]],Database!A:E,5,)</f>
        <v/>
      </c>
      <c r="C500" s="14">
        <f>(B500-B499)/B499</f>
        <v/>
      </c>
      <c r="D500" s="14">
        <f>(B500-B488)/B488</f>
        <v/>
      </c>
      <c r="E500" s="15">
        <f>VLOOKUP(Table5[[#This Row],[Date]],'Fed Fund New'!$A:$C,2,FALSE)</f>
        <v/>
      </c>
      <c r="F500" s="27" t="n">
        <v>0.02</v>
      </c>
    </row>
    <row r="501">
      <c r="A501" s="61" t="n">
        <v>39569</v>
      </c>
      <c r="B501" s="68">
        <f>VLOOKUP(Table5[[#This Row],[Date]],Database!A:E,5,)</f>
        <v/>
      </c>
      <c r="C501" s="14">
        <f>(B501-B500)/B500</f>
        <v/>
      </c>
      <c r="D501" s="14">
        <f>(B501-B489)/B489</f>
        <v/>
      </c>
      <c r="E501" s="15">
        <f>VLOOKUP(Table5[[#This Row],[Date]],'Fed Fund New'!$A:$C,2,FALSE)</f>
        <v/>
      </c>
      <c r="F501" s="27" t="n">
        <v>0.02</v>
      </c>
    </row>
    <row r="502">
      <c r="A502" s="61" t="n">
        <v>39600</v>
      </c>
      <c r="B502" s="68">
        <f>VLOOKUP(Table5[[#This Row],[Date]],Database!A:E,5,)</f>
        <v/>
      </c>
      <c r="C502" s="14">
        <f>(B502-B501)/B501</f>
        <v/>
      </c>
      <c r="D502" s="14">
        <f>(B502-B490)/B490</f>
        <v/>
      </c>
      <c r="E502" s="15">
        <f>VLOOKUP(Table5[[#This Row],[Date]],'Fed Fund New'!$A:$C,2,FALSE)</f>
        <v/>
      </c>
      <c r="F502" s="27" t="n">
        <v>0.02</v>
      </c>
    </row>
    <row r="503">
      <c r="A503" s="61" t="n">
        <v>39630</v>
      </c>
      <c r="B503" s="68">
        <f>VLOOKUP(Table5[[#This Row],[Date]],Database!A:E,5,)</f>
        <v/>
      </c>
      <c r="C503" s="14">
        <f>(B503-B502)/B502</f>
        <v/>
      </c>
      <c r="D503" s="14">
        <f>(B503-B491)/B491</f>
        <v/>
      </c>
      <c r="E503" s="15">
        <f>VLOOKUP(Table5[[#This Row],[Date]],'Fed Fund New'!$A:$C,2,FALSE)</f>
        <v/>
      </c>
      <c r="F503" s="27" t="n">
        <v>0.02</v>
      </c>
    </row>
    <row r="504">
      <c r="A504" s="61" t="n">
        <v>39661</v>
      </c>
      <c r="B504" s="68">
        <f>VLOOKUP(Table5[[#This Row],[Date]],Database!A:E,5,)</f>
        <v/>
      </c>
      <c r="C504" s="14">
        <f>(B504-B503)/B503</f>
        <v/>
      </c>
      <c r="D504" s="14">
        <f>(B504-B492)/B492</f>
        <v/>
      </c>
      <c r="E504" s="15">
        <f>VLOOKUP(Table5[[#This Row],[Date]],'Fed Fund New'!$A:$C,2,FALSE)</f>
        <v/>
      </c>
      <c r="F504" s="27" t="n">
        <v>0.02</v>
      </c>
    </row>
    <row r="505">
      <c r="A505" s="61" t="n">
        <v>39692</v>
      </c>
      <c r="B505" s="68">
        <f>VLOOKUP(Table5[[#This Row],[Date]],Database!A:E,5,)</f>
        <v/>
      </c>
      <c r="C505" s="14">
        <f>(B505-B504)/B504</f>
        <v/>
      </c>
      <c r="D505" s="14">
        <f>(B505-B493)/B493</f>
        <v/>
      </c>
      <c r="E505" s="15">
        <f>VLOOKUP(Table5[[#This Row],[Date]],'Fed Fund New'!$A:$C,2,FALSE)</f>
        <v/>
      </c>
      <c r="F505" s="27" t="n">
        <v>0.02</v>
      </c>
    </row>
    <row r="506">
      <c r="A506" s="61" t="n">
        <v>39722</v>
      </c>
      <c r="B506" s="68">
        <f>VLOOKUP(Table5[[#This Row],[Date]],Database!A:E,5,)</f>
        <v/>
      </c>
      <c r="C506" s="14">
        <f>(B506-B505)/B505</f>
        <v/>
      </c>
      <c r="D506" s="14">
        <f>(B506-B494)/B494</f>
        <v/>
      </c>
      <c r="E506" s="15">
        <f>VLOOKUP(Table5[[#This Row],[Date]],'Fed Fund New'!$A:$C,2,FALSE)</f>
        <v/>
      </c>
      <c r="F506" s="27" t="n">
        <v>0.02</v>
      </c>
    </row>
    <row r="507">
      <c r="A507" s="61" t="n">
        <v>39753</v>
      </c>
      <c r="B507" s="68">
        <f>VLOOKUP(Table5[[#This Row],[Date]],Database!A:E,5,)</f>
        <v/>
      </c>
      <c r="C507" s="14">
        <f>(B507-B506)/B506</f>
        <v/>
      </c>
      <c r="D507" s="14">
        <f>(B507-B495)/B495</f>
        <v/>
      </c>
      <c r="E507" s="15">
        <f>VLOOKUP(Table5[[#This Row],[Date]],'Fed Fund New'!$A:$C,2,FALSE)</f>
        <v/>
      </c>
      <c r="F507" s="27" t="n">
        <v>0.02</v>
      </c>
    </row>
    <row r="508">
      <c r="A508" s="61" t="n">
        <v>39783</v>
      </c>
      <c r="B508" s="68">
        <f>VLOOKUP(Table5[[#This Row],[Date]],Database!A:E,5,)</f>
        <v/>
      </c>
      <c r="C508" s="14">
        <f>(B508-B507)/B507</f>
        <v/>
      </c>
      <c r="D508" s="14">
        <f>(B508-B496)/B496</f>
        <v/>
      </c>
      <c r="E508" s="15">
        <f>VLOOKUP(Table5[[#This Row],[Date]],'Fed Fund New'!$A:$C,2,FALSE)</f>
        <v/>
      </c>
      <c r="F508" s="27" t="n">
        <v>0.02</v>
      </c>
    </row>
    <row r="509">
      <c r="A509" s="61" t="n">
        <v>39814</v>
      </c>
      <c r="B509" s="68">
        <f>VLOOKUP(Table5[[#This Row],[Date]],Database!A:E,5,)</f>
        <v/>
      </c>
      <c r="C509" s="14">
        <f>(B509-B508)/B508</f>
        <v/>
      </c>
      <c r="D509" s="14">
        <f>(B509-B497)/B497</f>
        <v/>
      </c>
      <c r="E509" s="15">
        <f>VLOOKUP(Table5[[#This Row],[Date]],'Fed Fund New'!$A:$C,2,FALSE)</f>
        <v/>
      </c>
      <c r="F509" s="27" t="n">
        <v>0.02</v>
      </c>
    </row>
    <row r="510">
      <c r="A510" s="61" t="n">
        <v>39845</v>
      </c>
      <c r="B510" s="68">
        <f>VLOOKUP(Table5[[#This Row],[Date]],Database!A:E,5,)</f>
        <v/>
      </c>
      <c r="C510" s="14">
        <f>(B510-B509)/B509</f>
        <v/>
      </c>
      <c r="D510" s="14">
        <f>(B510-B498)/B498</f>
        <v/>
      </c>
      <c r="E510" s="15">
        <f>VLOOKUP(Table5[[#This Row],[Date]],'Fed Fund New'!$A:$C,2,FALSE)</f>
        <v/>
      </c>
      <c r="F510" s="27" t="n">
        <v>0.02</v>
      </c>
    </row>
    <row r="511">
      <c r="A511" s="61" t="n">
        <v>39873</v>
      </c>
      <c r="B511" s="68">
        <f>VLOOKUP(Table5[[#This Row],[Date]],Database!A:E,5,)</f>
        <v/>
      </c>
      <c r="C511" s="14">
        <f>(B511-B510)/B510</f>
        <v/>
      </c>
      <c r="D511" s="14">
        <f>(B511-B499)/B499</f>
        <v/>
      </c>
      <c r="E511" s="15">
        <f>VLOOKUP(Table5[[#This Row],[Date]],'Fed Fund New'!$A:$C,2,FALSE)</f>
        <v/>
      </c>
      <c r="F511" s="27" t="n">
        <v>0.02</v>
      </c>
    </row>
    <row r="512">
      <c r="A512" s="61" t="n">
        <v>39904</v>
      </c>
      <c r="B512" s="68">
        <f>VLOOKUP(Table5[[#This Row],[Date]],Database!A:E,5,)</f>
        <v/>
      </c>
      <c r="C512" s="14">
        <f>(B512-B511)/B511</f>
        <v/>
      </c>
      <c r="D512" s="14">
        <f>(B512-B500)/B500</f>
        <v/>
      </c>
      <c r="E512" s="15">
        <f>VLOOKUP(Table5[[#This Row],[Date]],'Fed Fund New'!$A:$C,2,FALSE)</f>
        <v/>
      </c>
      <c r="F512" s="27" t="n">
        <v>0.02</v>
      </c>
    </row>
    <row r="513">
      <c r="A513" s="61" t="n">
        <v>39934</v>
      </c>
      <c r="B513" s="68">
        <f>VLOOKUP(Table5[[#This Row],[Date]],Database!A:E,5,)</f>
        <v/>
      </c>
      <c r="C513" s="14">
        <f>(B513-B512)/B512</f>
        <v/>
      </c>
      <c r="D513" s="14">
        <f>(B513-B501)/B501</f>
        <v/>
      </c>
      <c r="E513" s="15">
        <f>VLOOKUP(Table5[[#This Row],[Date]],'Fed Fund New'!$A:$C,2,FALSE)</f>
        <v/>
      </c>
      <c r="F513" s="27" t="n">
        <v>0.02</v>
      </c>
    </row>
    <row r="514">
      <c r="A514" s="61" t="n">
        <v>39965</v>
      </c>
      <c r="B514" s="68">
        <f>VLOOKUP(Table5[[#This Row],[Date]],Database!A:E,5,)</f>
        <v/>
      </c>
      <c r="C514" s="14">
        <f>(B514-B513)/B513</f>
        <v/>
      </c>
      <c r="D514" s="14">
        <f>(B514-B502)/B502</f>
        <v/>
      </c>
      <c r="E514" s="15">
        <f>VLOOKUP(Table5[[#This Row],[Date]],'Fed Fund New'!$A:$C,2,FALSE)</f>
        <v/>
      </c>
      <c r="F514" s="27" t="n">
        <v>0.02</v>
      </c>
    </row>
    <row r="515">
      <c r="A515" s="61" t="n">
        <v>39995</v>
      </c>
      <c r="B515" s="68">
        <f>VLOOKUP(Table5[[#This Row],[Date]],Database!A:E,5,)</f>
        <v/>
      </c>
      <c r="C515" s="14">
        <f>(B515-B514)/B514</f>
        <v/>
      </c>
      <c r="D515" s="14">
        <f>(B515-B503)/B503</f>
        <v/>
      </c>
      <c r="E515" s="15">
        <f>VLOOKUP(Table5[[#This Row],[Date]],'Fed Fund New'!$A:$C,2,FALSE)</f>
        <v/>
      </c>
      <c r="F515" s="27" t="n">
        <v>0.02</v>
      </c>
    </row>
    <row r="516">
      <c r="A516" s="61" t="n">
        <v>40026</v>
      </c>
      <c r="B516" s="68">
        <f>VLOOKUP(Table5[[#This Row],[Date]],Database!A:E,5,)</f>
        <v/>
      </c>
      <c r="C516" s="14">
        <f>(B516-B515)/B515</f>
        <v/>
      </c>
      <c r="D516" s="14">
        <f>(B516-B504)/B504</f>
        <v/>
      </c>
      <c r="E516" s="15">
        <f>VLOOKUP(Table5[[#This Row],[Date]],'Fed Fund New'!$A:$C,2,FALSE)</f>
        <v/>
      </c>
      <c r="F516" s="27" t="n">
        <v>0.02</v>
      </c>
    </row>
    <row r="517">
      <c r="A517" s="61" t="n">
        <v>40057</v>
      </c>
      <c r="B517" s="68">
        <f>VLOOKUP(Table5[[#This Row],[Date]],Database!A:E,5,)</f>
        <v/>
      </c>
      <c r="C517" s="14">
        <f>(B517-B516)/B516</f>
        <v/>
      </c>
      <c r="D517" s="14">
        <f>(B517-B505)/B505</f>
        <v/>
      </c>
      <c r="E517" s="15">
        <f>VLOOKUP(Table5[[#This Row],[Date]],'Fed Fund New'!$A:$C,2,FALSE)</f>
        <v/>
      </c>
      <c r="F517" s="27" t="n">
        <v>0.02</v>
      </c>
    </row>
    <row r="518">
      <c r="A518" s="61" t="n">
        <v>40087</v>
      </c>
      <c r="B518" s="68">
        <f>VLOOKUP(Table5[[#This Row],[Date]],Database!A:E,5,)</f>
        <v/>
      </c>
      <c r="C518" s="14">
        <f>(B518-B517)/B517</f>
        <v/>
      </c>
      <c r="D518" s="14">
        <f>(B518-B506)/B506</f>
        <v/>
      </c>
      <c r="E518" s="15">
        <f>VLOOKUP(Table5[[#This Row],[Date]],'Fed Fund New'!$A:$C,2,FALSE)</f>
        <v/>
      </c>
      <c r="F518" s="27" t="n">
        <v>0.02</v>
      </c>
    </row>
    <row r="519">
      <c r="A519" s="61" t="n">
        <v>40118</v>
      </c>
      <c r="B519" s="68">
        <f>VLOOKUP(Table5[[#This Row],[Date]],Database!A:E,5,)</f>
        <v/>
      </c>
      <c r="C519" s="14">
        <f>(B519-B518)/B518</f>
        <v/>
      </c>
      <c r="D519" s="14">
        <f>(B519-B507)/B507</f>
        <v/>
      </c>
      <c r="E519" s="15">
        <f>VLOOKUP(Table5[[#This Row],[Date]],'Fed Fund New'!$A:$C,2,FALSE)</f>
        <v/>
      </c>
      <c r="F519" s="27" t="n">
        <v>0.02</v>
      </c>
    </row>
    <row r="520">
      <c r="A520" s="61" t="n">
        <v>40148</v>
      </c>
      <c r="B520" s="68">
        <f>VLOOKUP(Table5[[#This Row],[Date]],Database!A:E,5,)</f>
        <v/>
      </c>
      <c r="C520" s="14">
        <f>(B520-B519)/B519</f>
        <v/>
      </c>
      <c r="D520" s="14">
        <f>(B520-B508)/B508</f>
        <v/>
      </c>
      <c r="E520" s="15">
        <f>VLOOKUP(Table5[[#This Row],[Date]],'Fed Fund New'!$A:$C,2,FALSE)</f>
        <v/>
      </c>
      <c r="F520" s="27" t="n">
        <v>0.02</v>
      </c>
    </row>
    <row r="521">
      <c r="A521" s="61" t="n">
        <v>40179</v>
      </c>
      <c r="B521" s="68">
        <f>VLOOKUP(Table5[[#This Row],[Date]],Database!A:E,5,)</f>
        <v/>
      </c>
      <c r="C521" s="14">
        <f>(B521-B520)/B520</f>
        <v/>
      </c>
      <c r="D521" s="14">
        <f>(B521-B509)/B509</f>
        <v/>
      </c>
      <c r="E521" s="15">
        <f>VLOOKUP(Table5[[#This Row],[Date]],'Fed Fund New'!$A:$C,2,FALSE)</f>
        <v/>
      </c>
      <c r="F521" s="27" t="n">
        <v>0.02</v>
      </c>
    </row>
    <row r="522">
      <c r="A522" s="61" t="n">
        <v>40210</v>
      </c>
      <c r="B522" s="68">
        <f>VLOOKUP(Table5[[#This Row],[Date]],Database!A:E,5,)</f>
        <v/>
      </c>
      <c r="C522" s="14">
        <f>(B522-B521)/B521</f>
        <v/>
      </c>
      <c r="D522" s="14">
        <f>(B522-B510)/B510</f>
        <v/>
      </c>
      <c r="E522" s="15">
        <f>VLOOKUP(Table5[[#This Row],[Date]],'Fed Fund New'!$A:$C,2,FALSE)</f>
        <v/>
      </c>
      <c r="F522" s="27" t="n">
        <v>0.02</v>
      </c>
    </row>
    <row r="523">
      <c r="A523" s="61" t="n">
        <v>40238</v>
      </c>
      <c r="B523" s="68">
        <f>VLOOKUP(Table5[[#This Row],[Date]],Database!A:E,5,)</f>
        <v/>
      </c>
      <c r="C523" s="14">
        <f>(B523-B522)/B522</f>
        <v/>
      </c>
      <c r="D523" s="14">
        <f>(B523-B511)/B511</f>
        <v/>
      </c>
      <c r="E523" s="15">
        <f>VLOOKUP(Table5[[#This Row],[Date]],'Fed Fund New'!$A:$C,2,FALSE)</f>
        <v/>
      </c>
      <c r="F523" s="27" t="n">
        <v>0.02</v>
      </c>
    </row>
    <row r="524">
      <c r="A524" s="61" t="n">
        <v>40269</v>
      </c>
      <c r="B524" s="68">
        <f>VLOOKUP(Table5[[#This Row],[Date]],Database!A:E,5,)</f>
        <v/>
      </c>
      <c r="C524" s="14">
        <f>(B524-B523)/B523</f>
        <v/>
      </c>
      <c r="D524" s="14">
        <f>(B524-B512)/B512</f>
        <v/>
      </c>
      <c r="E524" s="15">
        <f>VLOOKUP(Table5[[#This Row],[Date]],'Fed Fund New'!$A:$C,2,FALSE)</f>
        <v/>
      </c>
      <c r="F524" s="27" t="n">
        <v>0.02</v>
      </c>
    </row>
    <row r="525">
      <c r="A525" s="61" t="n">
        <v>40299</v>
      </c>
      <c r="B525" s="68">
        <f>VLOOKUP(Table5[[#This Row],[Date]],Database!A:E,5,)</f>
        <v/>
      </c>
      <c r="C525" s="14">
        <f>(B525-B524)/B524</f>
        <v/>
      </c>
      <c r="D525" s="14">
        <f>(B525-B513)/B513</f>
        <v/>
      </c>
      <c r="E525" s="15">
        <f>VLOOKUP(Table5[[#This Row],[Date]],'Fed Fund New'!$A:$C,2,FALSE)</f>
        <v/>
      </c>
      <c r="F525" s="27" t="n">
        <v>0.02</v>
      </c>
    </row>
    <row r="526">
      <c r="A526" s="61" t="n">
        <v>40330</v>
      </c>
      <c r="B526" s="68">
        <f>VLOOKUP(Table5[[#This Row],[Date]],Database!A:E,5,)</f>
        <v/>
      </c>
      <c r="C526" s="14">
        <f>(B526-B525)/B525</f>
        <v/>
      </c>
      <c r="D526" s="14">
        <f>(B526-B514)/B514</f>
        <v/>
      </c>
      <c r="E526" s="15">
        <f>VLOOKUP(Table5[[#This Row],[Date]],'Fed Fund New'!$A:$C,2,FALSE)</f>
        <v/>
      </c>
      <c r="F526" s="27" t="n">
        <v>0.02</v>
      </c>
    </row>
    <row r="527">
      <c r="A527" s="61" t="n">
        <v>40360</v>
      </c>
      <c r="B527" s="68">
        <f>VLOOKUP(Table5[[#This Row],[Date]],Database!A:E,5,)</f>
        <v/>
      </c>
      <c r="C527" s="14">
        <f>(B527-B526)/B526</f>
        <v/>
      </c>
      <c r="D527" s="14">
        <f>(B527-B515)/B515</f>
        <v/>
      </c>
      <c r="E527" s="15">
        <f>VLOOKUP(Table5[[#This Row],[Date]],'Fed Fund New'!$A:$C,2,FALSE)</f>
        <v/>
      </c>
      <c r="F527" s="27" t="n">
        <v>0.02</v>
      </c>
    </row>
    <row r="528">
      <c r="A528" s="61" t="n">
        <v>40391</v>
      </c>
      <c r="B528" s="68">
        <f>VLOOKUP(Table5[[#This Row],[Date]],Database!A:E,5,)</f>
        <v/>
      </c>
      <c r="C528" s="14">
        <f>(B528-B527)/B527</f>
        <v/>
      </c>
      <c r="D528" s="14">
        <f>(B528-B516)/B516</f>
        <v/>
      </c>
      <c r="E528" s="15">
        <f>VLOOKUP(Table5[[#This Row],[Date]],'Fed Fund New'!$A:$C,2,FALSE)</f>
        <v/>
      </c>
      <c r="F528" s="27" t="n">
        <v>0.02</v>
      </c>
    </row>
    <row r="529">
      <c r="A529" s="61" t="n">
        <v>40422</v>
      </c>
      <c r="B529" s="68">
        <f>VLOOKUP(Table5[[#This Row],[Date]],Database!A:E,5,)</f>
        <v/>
      </c>
      <c r="C529" s="14">
        <f>(B529-B528)/B528</f>
        <v/>
      </c>
      <c r="D529" s="14">
        <f>(B529-B517)/B517</f>
        <v/>
      </c>
      <c r="E529" s="15">
        <f>VLOOKUP(Table5[[#This Row],[Date]],'Fed Fund New'!$A:$C,2,FALSE)</f>
        <v/>
      </c>
      <c r="F529" s="27" t="n">
        <v>0.02</v>
      </c>
    </row>
    <row r="530">
      <c r="A530" s="61" t="n">
        <v>40452</v>
      </c>
      <c r="B530" s="68">
        <f>VLOOKUP(Table5[[#This Row],[Date]],Database!A:E,5,)</f>
        <v/>
      </c>
      <c r="C530" s="14">
        <f>(B530-B529)/B529</f>
        <v/>
      </c>
      <c r="D530" s="14">
        <f>(B530-B518)/B518</f>
        <v/>
      </c>
      <c r="E530" s="15">
        <f>VLOOKUP(Table5[[#This Row],[Date]],'Fed Fund New'!$A:$C,2,FALSE)</f>
        <v/>
      </c>
      <c r="F530" s="27" t="n">
        <v>0.02</v>
      </c>
    </row>
    <row r="531">
      <c r="A531" s="61" t="n">
        <v>40483</v>
      </c>
      <c r="B531" s="68">
        <f>VLOOKUP(Table5[[#This Row],[Date]],Database!A:E,5,)</f>
        <v/>
      </c>
      <c r="C531" s="14">
        <f>(B531-B530)/B530</f>
        <v/>
      </c>
      <c r="D531" s="14">
        <f>(B531-B519)/B519</f>
        <v/>
      </c>
      <c r="E531" s="15">
        <f>VLOOKUP(Table5[[#This Row],[Date]],'Fed Fund New'!$A:$C,2,FALSE)</f>
        <v/>
      </c>
      <c r="F531" s="27" t="n">
        <v>0.02</v>
      </c>
    </row>
    <row r="532">
      <c r="A532" s="61" t="n">
        <v>40513</v>
      </c>
      <c r="B532" s="68">
        <f>VLOOKUP(Table5[[#This Row],[Date]],Database!A:E,5,)</f>
        <v/>
      </c>
      <c r="C532" s="14">
        <f>(B532-B531)/B531</f>
        <v/>
      </c>
      <c r="D532" s="14">
        <f>(B532-B520)/B520</f>
        <v/>
      </c>
      <c r="E532" s="15">
        <f>VLOOKUP(Table5[[#This Row],[Date]],'Fed Fund New'!$A:$C,2,FALSE)</f>
        <v/>
      </c>
      <c r="F532" s="27" t="n">
        <v>0.02</v>
      </c>
    </row>
    <row r="533">
      <c r="A533" s="61" t="n">
        <v>40544</v>
      </c>
      <c r="B533" s="68">
        <f>VLOOKUP(Table5[[#This Row],[Date]],Database!A:E,5,)</f>
        <v/>
      </c>
      <c r="C533" s="14">
        <f>(B533-B532)/B532</f>
        <v/>
      </c>
      <c r="D533" s="14">
        <f>(B533-B521)/B521</f>
        <v/>
      </c>
      <c r="E533" s="15">
        <f>VLOOKUP(Table5[[#This Row],[Date]],'Fed Fund New'!$A:$C,2,FALSE)</f>
        <v/>
      </c>
      <c r="F533" s="27" t="n">
        <v>0.02</v>
      </c>
    </row>
    <row r="534">
      <c r="A534" s="61" t="n">
        <v>40575</v>
      </c>
      <c r="B534" s="68">
        <f>VLOOKUP(Table5[[#This Row],[Date]],Database!A:E,5,)</f>
        <v/>
      </c>
      <c r="C534" s="14">
        <f>(B534-B533)/B533</f>
        <v/>
      </c>
      <c r="D534" s="14">
        <f>(B534-B522)/B522</f>
        <v/>
      </c>
      <c r="E534" s="15">
        <f>VLOOKUP(Table5[[#This Row],[Date]],'Fed Fund New'!$A:$C,2,FALSE)</f>
        <v/>
      </c>
      <c r="F534" s="27" t="n">
        <v>0.02</v>
      </c>
    </row>
    <row r="535">
      <c r="A535" s="61" t="n">
        <v>40603</v>
      </c>
      <c r="B535" s="68">
        <f>VLOOKUP(Table5[[#This Row],[Date]],Database!A:E,5,)</f>
        <v/>
      </c>
      <c r="C535" s="14">
        <f>(B535-B534)/B534</f>
        <v/>
      </c>
      <c r="D535" s="14">
        <f>(B535-B523)/B523</f>
        <v/>
      </c>
      <c r="E535" s="15">
        <f>VLOOKUP(Table5[[#This Row],[Date]],'Fed Fund New'!$A:$C,2,FALSE)</f>
        <v/>
      </c>
      <c r="F535" s="27" t="n">
        <v>0.02</v>
      </c>
    </row>
    <row r="536">
      <c r="A536" s="61" t="n">
        <v>40634</v>
      </c>
      <c r="B536" s="68">
        <f>VLOOKUP(Table5[[#This Row],[Date]],Database!A:E,5,)</f>
        <v/>
      </c>
      <c r="C536" s="14">
        <f>(B536-B535)/B535</f>
        <v/>
      </c>
      <c r="D536" s="14">
        <f>(B536-B524)/B524</f>
        <v/>
      </c>
      <c r="E536" s="15">
        <f>VLOOKUP(Table5[[#This Row],[Date]],'Fed Fund New'!$A:$C,2,FALSE)</f>
        <v/>
      </c>
      <c r="F536" s="27" t="n">
        <v>0.02</v>
      </c>
    </row>
    <row r="537">
      <c r="A537" s="61" t="n">
        <v>40664</v>
      </c>
      <c r="B537" s="68">
        <f>VLOOKUP(Table5[[#This Row],[Date]],Database!A:E,5,)</f>
        <v/>
      </c>
      <c r="C537" s="14">
        <f>(B537-B536)/B536</f>
        <v/>
      </c>
      <c r="D537" s="14">
        <f>(B537-B525)/B525</f>
        <v/>
      </c>
      <c r="E537" s="15">
        <f>VLOOKUP(Table5[[#This Row],[Date]],'Fed Fund New'!$A:$C,2,FALSE)</f>
        <v/>
      </c>
      <c r="F537" s="27" t="n">
        <v>0.02</v>
      </c>
    </row>
    <row r="538">
      <c r="A538" s="61" t="n">
        <v>40695</v>
      </c>
      <c r="B538" s="68">
        <f>VLOOKUP(Table5[[#This Row],[Date]],Database!A:E,5,)</f>
        <v/>
      </c>
      <c r="C538" s="14">
        <f>(B538-B537)/B537</f>
        <v/>
      </c>
      <c r="D538" s="14">
        <f>(B538-B526)/B526</f>
        <v/>
      </c>
      <c r="E538" s="15">
        <f>VLOOKUP(Table5[[#This Row],[Date]],'Fed Fund New'!$A:$C,2,FALSE)</f>
        <v/>
      </c>
      <c r="F538" s="27" t="n">
        <v>0.02</v>
      </c>
    </row>
    <row r="539">
      <c r="A539" s="61" t="n">
        <v>40725</v>
      </c>
      <c r="B539" s="68">
        <f>VLOOKUP(Table5[[#This Row],[Date]],Database!A:E,5,)</f>
        <v/>
      </c>
      <c r="C539" s="14">
        <f>(B539-B538)/B538</f>
        <v/>
      </c>
      <c r="D539" s="14">
        <f>(B539-B527)/B527</f>
        <v/>
      </c>
      <c r="E539" s="15">
        <f>VLOOKUP(Table5[[#This Row],[Date]],'Fed Fund New'!$A:$C,2,FALSE)</f>
        <v/>
      </c>
      <c r="F539" s="27" t="n">
        <v>0.02</v>
      </c>
    </row>
    <row r="540">
      <c r="A540" s="61" t="n">
        <v>40756</v>
      </c>
      <c r="B540" s="68">
        <f>VLOOKUP(Table5[[#This Row],[Date]],Database!A:E,5,)</f>
        <v/>
      </c>
      <c r="C540" s="14">
        <f>(B540-B539)/B539</f>
        <v/>
      </c>
      <c r="D540" s="14">
        <f>(B540-B528)/B528</f>
        <v/>
      </c>
      <c r="E540" s="15">
        <f>VLOOKUP(Table5[[#This Row],[Date]],'Fed Fund New'!$A:$C,2,FALSE)</f>
        <v/>
      </c>
      <c r="F540" s="27" t="n">
        <v>0.02</v>
      </c>
    </row>
    <row r="541">
      <c r="A541" s="61" t="n">
        <v>40787</v>
      </c>
      <c r="B541" s="68">
        <f>VLOOKUP(Table5[[#This Row],[Date]],Database!A:E,5,)</f>
        <v/>
      </c>
      <c r="C541" s="14">
        <f>(B541-B540)/B540</f>
        <v/>
      </c>
      <c r="D541" s="14">
        <f>(B541-B529)/B529</f>
        <v/>
      </c>
      <c r="E541" s="15">
        <f>VLOOKUP(Table5[[#This Row],[Date]],'Fed Fund New'!$A:$C,2,FALSE)</f>
        <v/>
      </c>
      <c r="F541" s="27" t="n">
        <v>0.02</v>
      </c>
    </row>
    <row r="542">
      <c r="A542" s="61" t="n">
        <v>40817</v>
      </c>
      <c r="B542" s="68">
        <f>VLOOKUP(Table5[[#This Row],[Date]],Database!A:E,5,)</f>
        <v/>
      </c>
      <c r="C542" s="14">
        <f>(B542-B541)/B541</f>
        <v/>
      </c>
      <c r="D542" s="14">
        <f>(B542-B530)/B530</f>
        <v/>
      </c>
      <c r="E542" s="15">
        <f>VLOOKUP(Table5[[#This Row],[Date]],'Fed Fund New'!$A:$C,2,FALSE)</f>
        <v/>
      </c>
      <c r="F542" s="27" t="n">
        <v>0.02</v>
      </c>
    </row>
    <row r="543">
      <c r="A543" s="61" t="n">
        <v>40848</v>
      </c>
      <c r="B543" s="68">
        <f>VLOOKUP(Table5[[#This Row],[Date]],Database!A:E,5,)</f>
        <v/>
      </c>
      <c r="C543" s="14">
        <f>(B543-B542)/B542</f>
        <v/>
      </c>
      <c r="D543" s="14">
        <f>(B543-B531)/B531</f>
        <v/>
      </c>
      <c r="E543" s="15">
        <f>VLOOKUP(Table5[[#This Row],[Date]],'Fed Fund New'!$A:$C,2,FALSE)</f>
        <v/>
      </c>
      <c r="F543" s="27" t="n">
        <v>0.02</v>
      </c>
    </row>
    <row r="544">
      <c r="A544" s="61" t="n">
        <v>40878</v>
      </c>
      <c r="B544" s="68">
        <f>VLOOKUP(Table5[[#This Row],[Date]],Database!A:E,5,)</f>
        <v/>
      </c>
      <c r="C544" s="14">
        <f>(B544-B543)/B543</f>
        <v/>
      </c>
      <c r="D544" s="14">
        <f>(B544-B532)/B532</f>
        <v/>
      </c>
      <c r="E544" s="15">
        <f>VLOOKUP(Table5[[#This Row],[Date]],'Fed Fund New'!$A:$C,2,FALSE)</f>
        <v/>
      </c>
      <c r="F544" s="27" t="n">
        <v>0.02</v>
      </c>
    </row>
    <row r="545">
      <c r="A545" s="61" t="n">
        <v>40909</v>
      </c>
      <c r="B545" s="68">
        <f>VLOOKUP(Table5[[#This Row],[Date]],Database!A:E,5,)</f>
        <v/>
      </c>
      <c r="C545" s="14">
        <f>(B545-B544)/B544</f>
        <v/>
      </c>
      <c r="D545" s="14">
        <f>(B545-B533)/B533</f>
        <v/>
      </c>
      <c r="E545" s="15">
        <f>VLOOKUP(Table5[[#This Row],[Date]],'Fed Fund New'!$A:$C,2,FALSE)</f>
        <v/>
      </c>
      <c r="F545" s="27" t="n">
        <v>0.02</v>
      </c>
    </row>
    <row r="546">
      <c r="A546" s="61" t="n">
        <v>40940</v>
      </c>
      <c r="B546" s="68">
        <f>VLOOKUP(Table5[[#This Row],[Date]],Database!A:E,5,)</f>
        <v/>
      </c>
      <c r="C546" s="14">
        <f>(B546-B545)/B545</f>
        <v/>
      </c>
      <c r="D546" s="14">
        <f>(B546-B534)/B534</f>
        <v/>
      </c>
      <c r="E546" s="15">
        <f>VLOOKUP(Table5[[#This Row],[Date]],'Fed Fund New'!$A:$C,2,FALSE)</f>
        <v/>
      </c>
      <c r="F546" s="27" t="n">
        <v>0.02</v>
      </c>
    </row>
    <row r="547">
      <c r="A547" s="61" t="n">
        <v>40969</v>
      </c>
      <c r="B547" s="68">
        <f>VLOOKUP(Table5[[#This Row],[Date]],Database!A:E,5,)</f>
        <v/>
      </c>
      <c r="C547" s="14">
        <f>(B547-B546)/B546</f>
        <v/>
      </c>
      <c r="D547" s="14">
        <f>(B547-B535)/B535</f>
        <v/>
      </c>
      <c r="E547" s="15">
        <f>VLOOKUP(Table5[[#This Row],[Date]],'Fed Fund New'!$A:$C,2,FALSE)</f>
        <v/>
      </c>
      <c r="F547" s="27" t="n">
        <v>0.02</v>
      </c>
    </row>
    <row r="548">
      <c r="A548" s="61" t="n">
        <v>41000</v>
      </c>
      <c r="B548" s="68">
        <f>VLOOKUP(Table5[[#This Row],[Date]],Database!A:E,5,)</f>
        <v/>
      </c>
      <c r="C548" s="14">
        <f>(B548-B547)/B547</f>
        <v/>
      </c>
      <c r="D548" s="14">
        <f>(B548-B536)/B536</f>
        <v/>
      </c>
      <c r="E548" s="15">
        <f>VLOOKUP(Table5[[#This Row],[Date]],'Fed Fund New'!$A:$C,2,FALSE)</f>
        <v/>
      </c>
      <c r="F548" s="27" t="n">
        <v>0.02</v>
      </c>
    </row>
    <row r="549">
      <c r="A549" s="61" t="n">
        <v>41030</v>
      </c>
      <c r="B549" s="68">
        <f>VLOOKUP(Table5[[#This Row],[Date]],Database!A:E,5,)</f>
        <v/>
      </c>
      <c r="C549" s="14">
        <f>(B549-B548)/B548</f>
        <v/>
      </c>
      <c r="D549" s="14">
        <f>(B549-B537)/B537</f>
        <v/>
      </c>
      <c r="E549" s="15">
        <f>VLOOKUP(Table5[[#This Row],[Date]],'Fed Fund New'!$A:$C,2,FALSE)</f>
        <v/>
      </c>
      <c r="F549" s="27" t="n">
        <v>0.02</v>
      </c>
    </row>
    <row r="550">
      <c r="A550" s="61" t="n">
        <v>41061</v>
      </c>
      <c r="B550" s="68">
        <f>VLOOKUP(Table5[[#This Row],[Date]],Database!A:E,5,)</f>
        <v/>
      </c>
      <c r="C550" s="14">
        <f>(B550-B549)/B549</f>
        <v/>
      </c>
      <c r="D550" s="14">
        <f>(B550-B538)/B538</f>
        <v/>
      </c>
      <c r="E550" s="15">
        <f>VLOOKUP(Table5[[#This Row],[Date]],'Fed Fund New'!$A:$C,2,FALSE)</f>
        <v/>
      </c>
      <c r="F550" s="27" t="n">
        <v>0.02</v>
      </c>
    </row>
    <row r="551">
      <c r="A551" s="61" t="n">
        <v>41091</v>
      </c>
      <c r="B551" s="68">
        <f>VLOOKUP(Table5[[#This Row],[Date]],Database!A:E,5,)</f>
        <v/>
      </c>
      <c r="C551" s="14">
        <f>(B551-B550)/B550</f>
        <v/>
      </c>
      <c r="D551" s="14">
        <f>(B551-B539)/B539</f>
        <v/>
      </c>
      <c r="E551" s="15">
        <f>VLOOKUP(Table5[[#This Row],[Date]],'Fed Fund New'!$A:$C,2,FALSE)</f>
        <v/>
      </c>
      <c r="F551" s="27" t="n">
        <v>0.02</v>
      </c>
    </row>
    <row r="552">
      <c r="A552" s="61" t="n">
        <v>41122</v>
      </c>
      <c r="B552" s="68">
        <f>VLOOKUP(Table5[[#This Row],[Date]],Database!A:E,5,)</f>
        <v/>
      </c>
      <c r="C552" s="14">
        <f>(B552-B551)/B551</f>
        <v/>
      </c>
      <c r="D552" s="14">
        <f>(B552-B540)/B540</f>
        <v/>
      </c>
      <c r="E552" s="15">
        <f>VLOOKUP(Table5[[#This Row],[Date]],'Fed Fund New'!$A:$C,2,FALSE)</f>
        <v/>
      </c>
      <c r="F552" s="27" t="n">
        <v>0.02</v>
      </c>
    </row>
    <row r="553">
      <c r="A553" s="61" t="n">
        <v>41153</v>
      </c>
      <c r="B553" s="68">
        <f>VLOOKUP(Table5[[#This Row],[Date]],Database!A:E,5,)</f>
        <v/>
      </c>
      <c r="C553" s="14">
        <f>(B553-B552)/B552</f>
        <v/>
      </c>
      <c r="D553" s="14">
        <f>(B553-B541)/B541</f>
        <v/>
      </c>
      <c r="E553" s="15">
        <f>VLOOKUP(Table5[[#This Row],[Date]],'Fed Fund New'!$A:$C,2,FALSE)</f>
        <v/>
      </c>
      <c r="F553" s="27" t="n">
        <v>0.02</v>
      </c>
    </row>
    <row r="554">
      <c r="A554" s="61" t="n">
        <v>41183</v>
      </c>
      <c r="B554" s="68">
        <f>VLOOKUP(Table5[[#This Row],[Date]],Database!A:E,5,)</f>
        <v/>
      </c>
      <c r="C554" s="14">
        <f>(B554-B553)/B553</f>
        <v/>
      </c>
      <c r="D554" s="14">
        <f>(B554-B542)/B542</f>
        <v/>
      </c>
      <c r="E554" s="15">
        <f>VLOOKUP(Table5[[#This Row],[Date]],'Fed Fund New'!$A:$C,2,FALSE)</f>
        <v/>
      </c>
      <c r="F554" s="27" t="n">
        <v>0.02</v>
      </c>
    </row>
    <row r="555">
      <c r="A555" s="61" t="n">
        <v>41214</v>
      </c>
      <c r="B555" s="68">
        <f>VLOOKUP(Table5[[#This Row],[Date]],Database!A:E,5,)</f>
        <v/>
      </c>
      <c r="C555" s="14">
        <f>(B555-B554)/B554</f>
        <v/>
      </c>
      <c r="D555" s="14">
        <f>(B555-B543)/B543</f>
        <v/>
      </c>
      <c r="E555" s="15">
        <f>VLOOKUP(Table5[[#This Row],[Date]],'Fed Fund New'!$A:$C,2,FALSE)</f>
        <v/>
      </c>
      <c r="F555" s="27" t="n">
        <v>0.02</v>
      </c>
    </row>
    <row r="556">
      <c r="A556" s="61" t="n">
        <v>41244</v>
      </c>
      <c r="B556" s="68">
        <f>VLOOKUP(Table5[[#This Row],[Date]],Database!A:E,5,)</f>
        <v/>
      </c>
      <c r="C556" s="14">
        <f>(B556-B555)/B555</f>
        <v/>
      </c>
      <c r="D556" s="14">
        <f>(B556-B544)/B544</f>
        <v/>
      </c>
      <c r="E556" s="15">
        <f>VLOOKUP(Table5[[#This Row],[Date]],'Fed Fund New'!$A:$C,2,FALSE)</f>
        <v/>
      </c>
      <c r="F556" s="27" t="n">
        <v>0.02</v>
      </c>
    </row>
    <row r="557">
      <c r="A557" s="61" t="n">
        <v>41275</v>
      </c>
      <c r="B557" s="68">
        <f>VLOOKUP(Table5[[#This Row],[Date]],Database!A:E,5,)</f>
        <v/>
      </c>
      <c r="C557" s="14">
        <f>(B557-B556)/B556</f>
        <v/>
      </c>
      <c r="D557" s="14">
        <f>(B557-B545)/B545</f>
        <v/>
      </c>
      <c r="E557" s="15">
        <f>VLOOKUP(Table5[[#This Row],[Date]],'Fed Fund New'!$A:$C,2,FALSE)</f>
        <v/>
      </c>
      <c r="F557" s="27" t="n">
        <v>0.02</v>
      </c>
    </row>
    <row r="558">
      <c r="A558" s="61" t="n">
        <v>41306</v>
      </c>
      <c r="B558" s="68">
        <f>VLOOKUP(Table5[[#This Row],[Date]],Database!A:E,5,)</f>
        <v/>
      </c>
      <c r="C558" s="14">
        <f>(B558-B557)/B557</f>
        <v/>
      </c>
      <c r="D558" s="14">
        <f>(B558-B546)/B546</f>
        <v/>
      </c>
      <c r="E558" s="15">
        <f>VLOOKUP(Table5[[#This Row],[Date]],'Fed Fund New'!$A:$C,2,FALSE)</f>
        <v/>
      </c>
      <c r="F558" s="27" t="n">
        <v>0.02</v>
      </c>
    </row>
    <row r="559">
      <c r="A559" s="61" t="n">
        <v>41334</v>
      </c>
      <c r="B559" s="68">
        <f>VLOOKUP(Table5[[#This Row],[Date]],Database!A:E,5,)</f>
        <v/>
      </c>
      <c r="C559" s="14">
        <f>(B559-B558)/B558</f>
        <v/>
      </c>
      <c r="D559" s="14">
        <f>(B559-B547)/B547</f>
        <v/>
      </c>
      <c r="E559" s="15">
        <f>VLOOKUP(Table5[[#This Row],[Date]],'Fed Fund New'!$A:$C,2,FALSE)</f>
        <v/>
      </c>
      <c r="F559" s="27" t="n">
        <v>0.02</v>
      </c>
    </row>
    <row r="560">
      <c r="A560" s="61" t="n">
        <v>41365</v>
      </c>
      <c r="B560" s="68">
        <f>VLOOKUP(Table5[[#This Row],[Date]],Database!A:E,5,)</f>
        <v/>
      </c>
      <c r="C560" s="14">
        <f>(B560-B559)/B559</f>
        <v/>
      </c>
      <c r="D560" s="14">
        <f>(B560-B548)/B548</f>
        <v/>
      </c>
      <c r="E560" s="15">
        <f>VLOOKUP(Table5[[#This Row],[Date]],'Fed Fund New'!$A:$C,2,FALSE)</f>
        <v/>
      </c>
      <c r="F560" s="27" t="n">
        <v>0.02</v>
      </c>
    </row>
    <row r="561">
      <c r="A561" s="61" t="n">
        <v>41395</v>
      </c>
      <c r="B561" s="68">
        <f>VLOOKUP(Table5[[#This Row],[Date]],Database!A:E,5,)</f>
        <v/>
      </c>
      <c r="C561" s="14">
        <f>(B561-B560)/B560</f>
        <v/>
      </c>
      <c r="D561" s="14">
        <f>(B561-B549)/B549</f>
        <v/>
      </c>
      <c r="E561" s="15">
        <f>VLOOKUP(Table5[[#This Row],[Date]],'Fed Fund New'!$A:$C,2,FALSE)</f>
        <v/>
      </c>
      <c r="F561" s="27" t="n">
        <v>0.02</v>
      </c>
    </row>
    <row r="562">
      <c r="A562" s="61" t="n">
        <v>41426</v>
      </c>
      <c r="B562" s="68">
        <f>VLOOKUP(Table5[[#This Row],[Date]],Database!A:E,5,)</f>
        <v/>
      </c>
      <c r="C562" s="14">
        <f>(B562-B561)/B561</f>
        <v/>
      </c>
      <c r="D562" s="14">
        <f>(B562-B550)/B550</f>
        <v/>
      </c>
      <c r="E562" s="15">
        <f>VLOOKUP(Table5[[#This Row],[Date]],'Fed Fund New'!$A:$C,2,FALSE)</f>
        <v/>
      </c>
      <c r="F562" s="27" t="n">
        <v>0.02</v>
      </c>
    </row>
    <row r="563">
      <c r="A563" s="61" t="n">
        <v>41456</v>
      </c>
      <c r="B563" s="68">
        <f>VLOOKUP(Table5[[#This Row],[Date]],Database!A:E,5,)</f>
        <v/>
      </c>
      <c r="C563" s="14">
        <f>(B563-B562)/B562</f>
        <v/>
      </c>
      <c r="D563" s="14">
        <f>(B563-B551)/B551</f>
        <v/>
      </c>
      <c r="E563" s="15">
        <f>VLOOKUP(Table5[[#This Row],[Date]],'Fed Fund New'!$A:$C,2,FALSE)</f>
        <v/>
      </c>
      <c r="F563" s="27" t="n">
        <v>0.02</v>
      </c>
    </row>
    <row r="564">
      <c r="A564" s="61" t="n">
        <v>41487</v>
      </c>
      <c r="B564" s="68">
        <f>VLOOKUP(Table5[[#This Row],[Date]],Database!A:E,5,)</f>
        <v/>
      </c>
      <c r="C564" s="14">
        <f>(B564-B563)/B563</f>
        <v/>
      </c>
      <c r="D564" s="14">
        <f>(B564-B552)/B552</f>
        <v/>
      </c>
      <c r="E564" s="15">
        <f>VLOOKUP(Table5[[#This Row],[Date]],'Fed Fund New'!$A:$C,2,FALSE)</f>
        <v/>
      </c>
      <c r="F564" s="27" t="n">
        <v>0.02</v>
      </c>
    </row>
    <row r="565">
      <c r="A565" s="61" t="n">
        <v>41518</v>
      </c>
      <c r="B565" s="68">
        <f>VLOOKUP(Table5[[#This Row],[Date]],Database!A:E,5,)</f>
        <v/>
      </c>
      <c r="C565" s="14">
        <f>(B565-B564)/B564</f>
        <v/>
      </c>
      <c r="D565" s="14">
        <f>(B565-B553)/B553</f>
        <v/>
      </c>
      <c r="E565" s="15">
        <f>VLOOKUP(Table5[[#This Row],[Date]],'Fed Fund New'!$A:$C,2,FALSE)</f>
        <v/>
      </c>
      <c r="F565" s="27" t="n">
        <v>0.02</v>
      </c>
    </row>
    <row r="566">
      <c r="A566" s="61" t="n">
        <v>41548</v>
      </c>
      <c r="B566" s="68">
        <f>VLOOKUP(Table5[[#This Row],[Date]],Database!A:E,5,)</f>
        <v/>
      </c>
      <c r="C566" s="14">
        <f>(B566-B565)/B565</f>
        <v/>
      </c>
      <c r="D566" s="14">
        <f>(B566-B554)/B554</f>
        <v/>
      </c>
      <c r="E566" s="15">
        <f>VLOOKUP(Table5[[#This Row],[Date]],'Fed Fund New'!$A:$C,2,FALSE)</f>
        <v/>
      </c>
      <c r="F566" s="27" t="n">
        <v>0.02</v>
      </c>
    </row>
    <row r="567">
      <c r="A567" s="61" t="n">
        <v>41579</v>
      </c>
      <c r="B567" s="68">
        <f>VLOOKUP(Table5[[#This Row],[Date]],Database!A:E,5,)</f>
        <v/>
      </c>
      <c r="C567" s="14">
        <f>(B567-B566)/B566</f>
        <v/>
      </c>
      <c r="D567" s="14">
        <f>(B567-B555)/B555</f>
        <v/>
      </c>
      <c r="E567" s="15">
        <f>VLOOKUP(Table5[[#This Row],[Date]],'Fed Fund New'!$A:$C,2,FALSE)</f>
        <v/>
      </c>
      <c r="F567" s="27" t="n">
        <v>0.02</v>
      </c>
    </row>
    <row r="568">
      <c r="A568" s="61" t="n">
        <v>41609</v>
      </c>
      <c r="B568" s="68">
        <f>VLOOKUP(Table5[[#This Row],[Date]],Database!A:E,5,)</f>
        <v/>
      </c>
      <c r="C568" s="14">
        <f>(B568-B567)/B567</f>
        <v/>
      </c>
      <c r="D568" s="14">
        <f>(B568-B556)/B556</f>
        <v/>
      </c>
      <c r="E568" s="15">
        <f>VLOOKUP(Table5[[#This Row],[Date]],'Fed Fund New'!$A:$C,2,FALSE)</f>
        <v/>
      </c>
      <c r="F568" s="27" t="n">
        <v>0.02</v>
      </c>
    </row>
    <row r="569">
      <c r="A569" s="61" t="n">
        <v>41640</v>
      </c>
      <c r="B569" s="68">
        <f>VLOOKUP(Table5[[#This Row],[Date]],Database!A:E,5,)</f>
        <v/>
      </c>
      <c r="C569" s="14">
        <f>(B569-B568)/B568</f>
        <v/>
      </c>
      <c r="D569" s="14">
        <f>(B569-B557)/B557</f>
        <v/>
      </c>
      <c r="E569" s="15">
        <f>VLOOKUP(Table5[[#This Row],[Date]],'Fed Fund New'!$A:$C,2,FALSE)</f>
        <v/>
      </c>
      <c r="F569" s="27" t="n">
        <v>0.02</v>
      </c>
    </row>
    <row r="570">
      <c r="A570" s="61" t="n">
        <v>41671</v>
      </c>
      <c r="B570" s="68">
        <f>VLOOKUP(Table5[[#This Row],[Date]],Database!A:E,5,)</f>
        <v/>
      </c>
      <c r="C570" s="14">
        <f>(B570-B569)/B569</f>
        <v/>
      </c>
      <c r="D570" s="14">
        <f>(B570-B558)/B558</f>
        <v/>
      </c>
      <c r="E570" s="15">
        <f>VLOOKUP(Table5[[#This Row],[Date]],'Fed Fund New'!$A:$C,2,FALSE)</f>
        <v/>
      </c>
      <c r="F570" s="27" t="n">
        <v>0.02</v>
      </c>
    </row>
    <row r="571">
      <c r="A571" s="61" t="n">
        <v>41699</v>
      </c>
      <c r="B571" s="68">
        <f>VLOOKUP(Table5[[#This Row],[Date]],Database!A:E,5,)</f>
        <v/>
      </c>
      <c r="C571" s="14">
        <f>(B571-B570)/B570</f>
        <v/>
      </c>
      <c r="D571" s="14">
        <f>(B571-B559)/B559</f>
        <v/>
      </c>
      <c r="E571" s="15">
        <f>VLOOKUP(Table5[[#This Row],[Date]],'Fed Fund New'!$A:$C,2,FALSE)</f>
        <v/>
      </c>
      <c r="F571" s="27" t="n">
        <v>0.02</v>
      </c>
    </row>
    <row r="572">
      <c r="A572" s="61" t="n">
        <v>41730</v>
      </c>
      <c r="B572" s="68">
        <f>VLOOKUP(Table5[[#This Row],[Date]],Database!A:E,5,)</f>
        <v/>
      </c>
      <c r="C572" s="14">
        <f>(B572-B571)/B571</f>
        <v/>
      </c>
      <c r="D572" s="14">
        <f>(B572-B560)/B560</f>
        <v/>
      </c>
      <c r="E572" s="15">
        <f>VLOOKUP(Table5[[#This Row],[Date]],'Fed Fund New'!$A:$C,2,FALSE)</f>
        <v/>
      </c>
      <c r="F572" s="27" t="n">
        <v>0.02</v>
      </c>
    </row>
    <row r="573">
      <c r="A573" s="61" t="n">
        <v>41760</v>
      </c>
      <c r="B573" s="68">
        <f>VLOOKUP(Table5[[#This Row],[Date]],Database!A:E,5,)</f>
        <v/>
      </c>
      <c r="C573" s="14">
        <f>(B573-B572)/B572</f>
        <v/>
      </c>
      <c r="D573" s="14">
        <f>(B573-B561)/B561</f>
        <v/>
      </c>
      <c r="E573" s="15">
        <f>VLOOKUP(Table5[[#This Row],[Date]],'Fed Fund New'!$A:$C,2,FALSE)</f>
        <v/>
      </c>
      <c r="F573" s="27" t="n">
        <v>0.02</v>
      </c>
    </row>
    <row r="574">
      <c r="A574" s="61" t="n">
        <v>41791</v>
      </c>
      <c r="B574" s="68">
        <f>VLOOKUP(Table5[[#This Row],[Date]],Database!A:E,5,)</f>
        <v/>
      </c>
      <c r="C574" s="14">
        <f>(B574-B573)/B573</f>
        <v/>
      </c>
      <c r="D574" s="14">
        <f>(B574-B562)/B562</f>
        <v/>
      </c>
      <c r="E574" s="15">
        <f>VLOOKUP(Table5[[#This Row],[Date]],'Fed Fund New'!$A:$C,2,FALSE)</f>
        <v/>
      </c>
      <c r="F574" s="27" t="n">
        <v>0.02</v>
      </c>
    </row>
    <row r="575">
      <c r="A575" s="61" t="n">
        <v>41821</v>
      </c>
      <c r="B575" s="68">
        <f>VLOOKUP(Table5[[#This Row],[Date]],Database!A:E,5,)</f>
        <v/>
      </c>
      <c r="C575" s="14">
        <f>(B575-B574)/B574</f>
        <v/>
      </c>
      <c r="D575" s="14">
        <f>(B575-B563)/B563</f>
        <v/>
      </c>
      <c r="E575" s="15">
        <f>VLOOKUP(Table5[[#This Row],[Date]],'Fed Fund New'!$A:$C,2,FALSE)</f>
        <v/>
      </c>
      <c r="F575" s="27" t="n">
        <v>0.02</v>
      </c>
    </row>
    <row r="576">
      <c r="A576" s="61" t="n">
        <v>41852</v>
      </c>
      <c r="B576" s="68">
        <f>VLOOKUP(Table5[[#This Row],[Date]],Database!A:E,5,)</f>
        <v/>
      </c>
      <c r="C576" s="14">
        <f>(B576-B575)/B575</f>
        <v/>
      </c>
      <c r="D576" s="14">
        <f>(B576-B564)/B564</f>
        <v/>
      </c>
      <c r="E576" s="15">
        <f>VLOOKUP(Table5[[#This Row],[Date]],'Fed Fund New'!$A:$C,2,FALSE)</f>
        <v/>
      </c>
      <c r="F576" s="27" t="n">
        <v>0.02</v>
      </c>
    </row>
    <row r="577">
      <c r="A577" s="61" t="n">
        <v>41883</v>
      </c>
      <c r="B577" s="68">
        <f>VLOOKUP(Table5[[#This Row],[Date]],Database!A:E,5,)</f>
        <v/>
      </c>
      <c r="C577" s="14" t="n">
        <v>0.002</v>
      </c>
      <c r="D577" s="14">
        <f>(B577-B565)/B565</f>
        <v/>
      </c>
      <c r="E577" s="15">
        <f>VLOOKUP(Table5[[#This Row],[Date]],'Fed Fund New'!$A:$C,2,FALSE)</f>
        <v/>
      </c>
      <c r="F577" s="27" t="n">
        <v>0.02</v>
      </c>
    </row>
    <row r="578">
      <c r="A578" s="61" t="n">
        <v>41913</v>
      </c>
      <c r="B578" s="68">
        <f>VLOOKUP(Table5[[#This Row],[Date]],Database!A:E,5,)</f>
        <v/>
      </c>
      <c r="C578" s="14">
        <f>(B578-B577)/B577</f>
        <v/>
      </c>
      <c r="D578" s="14">
        <f>(B578-B566)/B566</f>
        <v/>
      </c>
      <c r="E578" s="15">
        <f>VLOOKUP(Table5[[#This Row],[Date]],'Fed Fund New'!$A:$C,2,FALSE)</f>
        <v/>
      </c>
      <c r="F578" s="27" t="n">
        <v>0.02</v>
      </c>
    </row>
    <row r="579">
      <c r="A579" s="61" t="n">
        <v>41944</v>
      </c>
      <c r="B579" s="68">
        <f>VLOOKUP(Table5[[#This Row],[Date]],Database!A:E,5,)</f>
        <v/>
      </c>
      <c r="C579" s="14">
        <f>(B579-B578)/B578</f>
        <v/>
      </c>
      <c r="D579" s="14">
        <f>(B579-B567)/B567</f>
        <v/>
      </c>
      <c r="E579" s="15">
        <f>VLOOKUP(Table5[[#This Row],[Date]],'Fed Fund New'!$A:$C,2,FALSE)</f>
        <v/>
      </c>
      <c r="F579" s="27" t="n">
        <v>0.02</v>
      </c>
    </row>
    <row r="580">
      <c r="A580" s="61" t="n">
        <v>41974</v>
      </c>
      <c r="B580" s="68">
        <f>VLOOKUP(Table5[[#This Row],[Date]],Database!A:E,5,)</f>
        <v/>
      </c>
      <c r="C580" s="14">
        <f>(B580-B579)/B579</f>
        <v/>
      </c>
      <c r="D580" s="14">
        <f>(B580-B568)/B568</f>
        <v/>
      </c>
      <c r="E580" s="15">
        <f>VLOOKUP(Table5[[#This Row],[Date]],'Fed Fund New'!$A:$C,2,FALSE)</f>
        <v/>
      </c>
      <c r="F580" s="27" t="n">
        <v>0.02</v>
      </c>
    </row>
    <row r="581">
      <c r="A581" s="61" t="n">
        <v>42005</v>
      </c>
      <c r="B581" s="68">
        <f>VLOOKUP(Table5[[#This Row],[Date]],Database!A:E,5,)</f>
        <v/>
      </c>
      <c r="C581" s="14">
        <f>(B581-B580)/B580</f>
        <v/>
      </c>
      <c r="D581" s="14">
        <f>(B581-B569)/B569</f>
        <v/>
      </c>
      <c r="E581" s="15">
        <f>VLOOKUP(Table5[[#This Row],[Date]],'Fed Fund New'!$A:$C,2,FALSE)</f>
        <v/>
      </c>
      <c r="F581" s="27" t="n">
        <v>0.02</v>
      </c>
    </row>
    <row r="582">
      <c r="A582" s="61" t="n">
        <v>42036</v>
      </c>
      <c r="B582" s="68">
        <f>VLOOKUP(Table5[[#This Row],[Date]],Database!A:E,5,)</f>
        <v/>
      </c>
      <c r="C582" s="14">
        <f>(B582-B581)/B581</f>
        <v/>
      </c>
      <c r="D582" s="14">
        <f>(B582-B570)/B570</f>
        <v/>
      </c>
      <c r="E582" s="15">
        <f>VLOOKUP(Table5[[#This Row],[Date]],'Fed Fund New'!$A:$C,2,FALSE)</f>
        <v/>
      </c>
      <c r="F582" s="27" t="n">
        <v>0.02</v>
      </c>
    </row>
    <row r="583">
      <c r="A583" s="61" t="n">
        <v>42064</v>
      </c>
      <c r="B583" s="68">
        <f>VLOOKUP(Table5[[#This Row],[Date]],Database!A:E,5,)</f>
        <v/>
      </c>
      <c r="C583" s="14">
        <f>(B583-B582)/B582</f>
        <v/>
      </c>
      <c r="D583" s="14">
        <f>(B583-B571)/B571</f>
        <v/>
      </c>
      <c r="E583" s="15">
        <f>VLOOKUP(Table5[[#This Row],[Date]],'Fed Fund New'!$A:$C,2,FALSE)</f>
        <v/>
      </c>
      <c r="F583" s="27" t="n">
        <v>0.02</v>
      </c>
    </row>
    <row r="584">
      <c r="A584" s="61" t="n">
        <v>42095</v>
      </c>
      <c r="B584" s="68">
        <f>VLOOKUP(Table5[[#This Row],[Date]],Database!A:E,5,)</f>
        <v/>
      </c>
      <c r="C584" s="14">
        <f>(B584-B583)/B583</f>
        <v/>
      </c>
      <c r="D584" s="14">
        <f>(B584-B572)/B572</f>
        <v/>
      </c>
      <c r="E584" s="15">
        <f>VLOOKUP(Table5[[#This Row],[Date]],'Fed Fund New'!$A:$C,2,FALSE)</f>
        <v/>
      </c>
      <c r="F584" s="27" t="n">
        <v>0.02</v>
      </c>
    </row>
    <row r="585">
      <c r="A585" s="61" t="n">
        <v>42125</v>
      </c>
      <c r="B585" s="68">
        <f>VLOOKUP(Table5[[#This Row],[Date]],Database!A:E,5,)</f>
        <v/>
      </c>
      <c r="C585" s="14">
        <f>(B585-B584)/B584</f>
        <v/>
      </c>
      <c r="D585" s="14">
        <f>(B585-B573)/B573</f>
        <v/>
      </c>
      <c r="E585" s="15">
        <f>VLOOKUP(Table5[[#This Row],[Date]],'Fed Fund New'!$A:$C,2,FALSE)</f>
        <v/>
      </c>
      <c r="F585" s="27" t="n">
        <v>0.02</v>
      </c>
    </row>
    <row r="586">
      <c r="A586" s="61" t="n">
        <v>42156</v>
      </c>
      <c r="B586" s="68">
        <f>VLOOKUP(Table5[[#This Row],[Date]],Database!A:E,5,)</f>
        <v/>
      </c>
      <c r="C586" s="14">
        <f>(B586-B585)/B585</f>
        <v/>
      </c>
      <c r="D586" s="14">
        <f>(B586-B574)/B574</f>
        <v/>
      </c>
      <c r="E586" s="15">
        <f>VLOOKUP(Table5[[#This Row],[Date]],'Fed Fund New'!$A:$C,2,FALSE)</f>
        <v/>
      </c>
      <c r="F586" s="27" t="n">
        <v>0.02</v>
      </c>
    </row>
    <row r="587">
      <c r="A587" s="61" t="n">
        <v>42186</v>
      </c>
      <c r="B587" s="68">
        <f>VLOOKUP(Table5[[#This Row],[Date]],Database!A:E,5,)</f>
        <v/>
      </c>
      <c r="C587" s="14">
        <f>(B587-B586)/B586</f>
        <v/>
      </c>
      <c r="D587" s="14">
        <f>(B587-B575)/B575</f>
        <v/>
      </c>
      <c r="E587" s="15">
        <f>VLOOKUP(Table5[[#This Row],[Date]],'Fed Fund New'!$A:$C,2,FALSE)</f>
        <v/>
      </c>
      <c r="F587" s="27" t="n">
        <v>0.02</v>
      </c>
    </row>
    <row r="588">
      <c r="A588" s="61" t="n">
        <v>42217</v>
      </c>
      <c r="B588" s="68">
        <f>VLOOKUP(Table5[[#This Row],[Date]],Database!A:E,5,)</f>
        <v/>
      </c>
      <c r="C588" s="14">
        <f>(B588-B587)/B587</f>
        <v/>
      </c>
      <c r="D588" s="14">
        <f>(B588-B576)/B576</f>
        <v/>
      </c>
      <c r="E588" s="15">
        <f>VLOOKUP(Table5[[#This Row],[Date]],'Fed Fund New'!$A:$C,2,FALSE)</f>
        <v/>
      </c>
      <c r="F588" s="27" t="n">
        <v>0.02</v>
      </c>
    </row>
    <row r="589">
      <c r="A589" s="61" t="n">
        <v>42248</v>
      </c>
      <c r="B589" s="68">
        <f>VLOOKUP(Table5[[#This Row],[Date]],Database!A:E,5,)</f>
        <v/>
      </c>
      <c r="C589" s="14">
        <f>(B589-B588)/B588</f>
        <v/>
      </c>
      <c r="D589" s="14">
        <f>(B589-B577)/B577</f>
        <v/>
      </c>
      <c r="E589" s="15">
        <f>VLOOKUP(Table5[[#This Row],[Date]],'Fed Fund New'!$A:$C,2,FALSE)</f>
        <v/>
      </c>
      <c r="F589" s="27" t="n">
        <v>0.02</v>
      </c>
    </row>
    <row r="590">
      <c r="A590" s="61" t="n">
        <v>42278</v>
      </c>
      <c r="B590" s="68">
        <f>VLOOKUP(Table5[[#This Row],[Date]],Database!A:E,5,)</f>
        <v/>
      </c>
      <c r="C590" s="14">
        <f>(B590-B589)/B589</f>
        <v/>
      </c>
      <c r="D590" s="14">
        <f>(B590-B578)/B578</f>
        <v/>
      </c>
      <c r="E590" s="15">
        <f>VLOOKUP(Table5[[#This Row],[Date]],'Fed Fund New'!$A:$C,2,FALSE)</f>
        <v/>
      </c>
      <c r="F590" s="27" t="n">
        <v>0.02</v>
      </c>
    </row>
    <row r="591">
      <c r="A591" s="61" t="n">
        <v>42309</v>
      </c>
      <c r="B591" s="68">
        <f>VLOOKUP(Table5[[#This Row],[Date]],Database!A:E,5,)</f>
        <v/>
      </c>
      <c r="C591" s="14">
        <f>(B591-B590)/B590</f>
        <v/>
      </c>
      <c r="D591" s="14">
        <f>(B591-B579)/B579</f>
        <v/>
      </c>
      <c r="E591" s="15">
        <f>VLOOKUP(Table5[[#This Row],[Date]],'Fed Fund New'!$A:$C,2,FALSE)</f>
        <v/>
      </c>
      <c r="F591" s="27" t="n">
        <v>0.02</v>
      </c>
    </row>
    <row r="592">
      <c r="A592" s="61" t="n">
        <v>42339</v>
      </c>
      <c r="B592" s="68">
        <f>VLOOKUP(Table5[[#This Row],[Date]],Database!A:E,5,)</f>
        <v/>
      </c>
      <c r="C592" s="14">
        <f>(B592-B591)/B591</f>
        <v/>
      </c>
      <c r="D592" s="14">
        <f>(B592-B580)/B580</f>
        <v/>
      </c>
      <c r="E592" s="15">
        <f>VLOOKUP(Table5[[#This Row],[Date]],'Fed Fund New'!$A:$C,2,FALSE)</f>
        <v/>
      </c>
      <c r="F592" s="27" t="n">
        <v>0.02</v>
      </c>
    </row>
    <row r="593">
      <c r="A593" s="61" t="n">
        <v>42370</v>
      </c>
      <c r="B593" s="68">
        <f>VLOOKUP(Table5[[#This Row],[Date]],Database!A:E,5,)</f>
        <v/>
      </c>
      <c r="C593" s="14">
        <f>(B593-B592)/B592</f>
        <v/>
      </c>
      <c r="D593" s="14">
        <f>(B593-B581)/B581</f>
        <v/>
      </c>
      <c r="E593" s="15">
        <f>VLOOKUP(Table5[[#This Row],[Date]],'Fed Fund New'!$A:$C,2,FALSE)</f>
        <v/>
      </c>
      <c r="F593" s="27" t="n">
        <v>0.02</v>
      </c>
    </row>
    <row r="594">
      <c r="A594" s="61" t="n">
        <v>42401</v>
      </c>
      <c r="B594" s="68">
        <f>VLOOKUP(Table5[[#This Row],[Date]],Database!A:E,5,)</f>
        <v/>
      </c>
      <c r="C594" s="14">
        <f>(B594-B593)/B593</f>
        <v/>
      </c>
      <c r="D594" s="14">
        <f>(B594-B582)/B582</f>
        <v/>
      </c>
      <c r="E594" s="15">
        <f>VLOOKUP(Table5[[#This Row],[Date]],'Fed Fund New'!$A:$C,2,FALSE)</f>
        <v/>
      </c>
      <c r="F594" s="27" t="n">
        <v>0.02</v>
      </c>
    </row>
    <row r="595">
      <c r="A595" s="61" t="n">
        <v>42430</v>
      </c>
      <c r="B595" s="68">
        <f>VLOOKUP(Table5[[#This Row],[Date]],Database!A:E,5,)</f>
        <v/>
      </c>
      <c r="C595" s="14">
        <f>(B595-B594)/B594</f>
        <v/>
      </c>
      <c r="D595" s="14">
        <f>(B595-B583)/B583</f>
        <v/>
      </c>
      <c r="E595" s="15">
        <f>VLOOKUP(Table5[[#This Row],[Date]],'Fed Fund New'!$A:$C,2,FALSE)</f>
        <v/>
      </c>
      <c r="F595" s="27" t="n">
        <v>0.02</v>
      </c>
    </row>
    <row r="596">
      <c r="A596" s="61" t="n">
        <v>42461</v>
      </c>
      <c r="B596" s="68">
        <f>VLOOKUP(Table5[[#This Row],[Date]],Database!A:E,5,)</f>
        <v/>
      </c>
      <c r="C596" s="14">
        <f>(B596-B595)/B595</f>
        <v/>
      </c>
      <c r="D596" s="14">
        <f>(B596-B584)/B584</f>
        <v/>
      </c>
      <c r="E596" s="15">
        <f>VLOOKUP(Table5[[#This Row],[Date]],'Fed Fund New'!$A:$C,2,FALSE)</f>
        <v/>
      </c>
      <c r="F596" s="27" t="n">
        <v>0.02</v>
      </c>
    </row>
    <row r="597">
      <c r="A597" s="61" t="n">
        <v>42491</v>
      </c>
      <c r="B597" s="68">
        <f>VLOOKUP(Table5[[#This Row],[Date]],Database!A:E,5,)</f>
        <v/>
      </c>
      <c r="C597" s="14">
        <f>(B597-B596)/B596</f>
        <v/>
      </c>
      <c r="D597" s="14">
        <f>(B597-B585)/B585</f>
        <v/>
      </c>
      <c r="E597" s="15">
        <f>VLOOKUP(Table5[[#This Row],[Date]],'Fed Fund New'!$A:$C,2,FALSE)</f>
        <v/>
      </c>
      <c r="F597" s="27" t="n">
        <v>0.02</v>
      </c>
    </row>
    <row r="598">
      <c r="A598" s="61" t="n">
        <v>42522</v>
      </c>
      <c r="B598" s="68">
        <f>VLOOKUP(Table5[[#This Row],[Date]],Database!A:E,5,)</f>
        <v/>
      </c>
      <c r="C598" s="14">
        <f>(B598-B597)/B597</f>
        <v/>
      </c>
      <c r="D598" s="14">
        <f>(B598-B586)/B586</f>
        <v/>
      </c>
      <c r="E598" s="15">
        <f>VLOOKUP(Table5[[#This Row],[Date]],'Fed Fund New'!$A:$C,2,FALSE)</f>
        <v/>
      </c>
      <c r="F598" s="27" t="n">
        <v>0.02</v>
      </c>
    </row>
    <row r="599">
      <c r="A599" s="61" t="n">
        <v>42552</v>
      </c>
      <c r="B599" s="68">
        <f>VLOOKUP(Table5[[#This Row],[Date]],Database!A:E,5,)</f>
        <v/>
      </c>
      <c r="C599" s="14">
        <f>(B599-B598)/B598</f>
        <v/>
      </c>
      <c r="D599" s="14">
        <f>(B599-B587)/B587</f>
        <v/>
      </c>
      <c r="E599" s="15">
        <f>VLOOKUP(Table5[[#This Row],[Date]],'Fed Fund New'!$A:$C,2,FALSE)</f>
        <v/>
      </c>
      <c r="F599" s="27" t="n">
        <v>0.02</v>
      </c>
    </row>
    <row r="600">
      <c r="A600" s="61" t="n">
        <v>42583</v>
      </c>
      <c r="B600" s="68">
        <f>VLOOKUP(Table5[[#This Row],[Date]],Database!A:E,5,)</f>
        <v/>
      </c>
      <c r="C600" s="14">
        <f>(B600-B599)/B599</f>
        <v/>
      </c>
      <c r="D600" s="14">
        <f>(B600-B588)/B588</f>
        <v/>
      </c>
      <c r="E600" s="15">
        <f>VLOOKUP(Table5[[#This Row],[Date]],'Fed Fund New'!$A:$C,2,FALSE)</f>
        <v/>
      </c>
      <c r="F600" s="27" t="n">
        <v>0.02</v>
      </c>
    </row>
    <row r="601">
      <c r="A601" s="61" t="n">
        <v>42614</v>
      </c>
      <c r="B601" s="68">
        <f>VLOOKUP(Table5[[#This Row],[Date]],Database!A:E,5,)</f>
        <v/>
      </c>
      <c r="C601" s="14">
        <f>(B601-B600)/B600</f>
        <v/>
      </c>
      <c r="D601" s="14">
        <f>(B601-B589)/B589</f>
        <v/>
      </c>
      <c r="E601" s="15">
        <f>VLOOKUP(Table5[[#This Row],[Date]],'Fed Fund New'!$A:$C,2,FALSE)</f>
        <v/>
      </c>
      <c r="F601" s="27" t="n">
        <v>0.02</v>
      </c>
    </row>
    <row r="602">
      <c r="A602" s="61" t="n">
        <v>42644</v>
      </c>
      <c r="B602" s="68">
        <f>VLOOKUP(Table5[[#This Row],[Date]],Database!A:E,5,)</f>
        <v/>
      </c>
      <c r="C602" s="14">
        <f>(B602-B601)/B601</f>
        <v/>
      </c>
      <c r="D602" s="14">
        <f>(B602-B590)/B590</f>
        <v/>
      </c>
      <c r="E602" s="15">
        <f>VLOOKUP(Table5[[#This Row],[Date]],'Fed Fund New'!$A:$C,2,FALSE)</f>
        <v/>
      </c>
      <c r="F602" s="27" t="n">
        <v>0.02</v>
      </c>
    </row>
    <row r="603">
      <c r="A603" s="61" t="n">
        <v>42675</v>
      </c>
      <c r="B603" s="68">
        <f>VLOOKUP(Table5[[#This Row],[Date]],Database!A:E,5,)</f>
        <v/>
      </c>
      <c r="C603" s="14">
        <f>(B603-B602)/B602</f>
        <v/>
      </c>
      <c r="D603" s="14">
        <f>(B603-B591)/B591</f>
        <v/>
      </c>
      <c r="E603" s="15">
        <f>VLOOKUP(Table5[[#This Row],[Date]],'Fed Fund New'!$A:$C,2,FALSE)</f>
        <v/>
      </c>
      <c r="F603" s="27" t="n">
        <v>0.02</v>
      </c>
    </row>
    <row r="604">
      <c r="A604" s="61" t="n">
        <v>42705</v>
      </c>
      <c r="B604" s="68">
        <f>VLOOKUP(Table5[[#This Row],[Date]],Database!A:E,5,)</f>
        <v/>
      </c>
      <c r="C604" s="14">
        <f>(B604-B603)/B603</f>
        <v/>
      </c>
      <c r="D604" s="14">
        <f>(B604-B592)/B592</f>
        <v/>
      </c>
      <c r="E604" s="15">
        <f>VLOOKUP(Table5[[#This Row],[Date]],'Fed Fund New'!$A:$C,2,FALSE)</f>
        <v/>
      </c>
      <c r="F604" s="27" t="n">
        <v>0.02</v>
      </c>
    </row>
    <row r="605">
      <c r="A605" s="61" t="n">
        <v>42736</v>
      </c>
      <c r="B605" s="68">
        <f>VLOOKUP(Table5[[#This Row],[Date]],Database!A:E,5,)</f>
        <v/>
      </c>
      <c r="C605" s="14">
        <f>(B605-B604)/B604</f>
        <v/>
      </c>
      <c r="D605" s="14">
        <f>(B605-B593)/B593</f>
        <v/>
      </c>
      <c r="E605" s="15">
        <f>VLOOKUP(Table5[[#This Row],[Date]],'Fed Fund New'!$A:$C,2,FALSE)</f>
        <v/>
      </c>
      <c r="F605" s="27" t="n">
        <v>0.02</v>
      </c>
    </row>
    <row r="606">
      <c r="A606" s="61" t="n">
        <v>42767</v>
      </c>
      <c r="B606" s="68">
        <f>VLOOKUP(Table5[[#This Row],[Date]],Database!A:E,5,)</f>
        <v/>
      </c>
      <c r="C606" s="14">
        <f>(B606-B605)/B605</f>
        <v/>
      </c>
      <c r="D606" s="14">
        <f>(B606-B594)/B594</f>
        <v/>
      </c>
      <c r="E606" s="15">
        <f>VLOOKUP(Table5[[#This Row],[Date]],'Fed Fund New'!$A:$C,2,FALSE)</f>
        <v/>
      </c>
      <c r="F606" s="27" t="n">
        <v>0.02</v>
      </c>
    </row>
    <row r="607">
      <c r="A607" s="61" t="n">
        <v>42795</v>
      </c>
      <c r="B607" s="68">
        <f>VLOOKUP(Table5[[#This Row],[Date]],Database!A:E,5,)</f>
        <v/>
      </c>
      <c r="C607" s="14">
        <f>(B607-B606)/B606</f>
        <v/>
      </c>
      <c r="D607" s="14">
        <f>(B607-B595)/B595</f>
        <v/>
      </c>
      <c r="E607" s="15">
        <f>VLOOKUP(Table5[[#This Row],[Date]],'Fed Fund New'!$A:$C,2,FALSE)</f>
        <v/>
      </c>
      <c r="F607" s="27" t="n">
        <v>0.02</v>
      </c>
    </row>
    <row r="608">
      <c r="A608" s="61" t="n">
        <v>42826</v>
      </c>
      <c r="B608" s="68">
        <f>VLOOKUP(Table5[[#This Row],[Date]],Database!A:E,5,)</f>
        <v/>
      </c>
      <c r="C608" s="14">
        <f>(B608-B607)/B607</f>
        <v/>
      </c>
      <c r="D608" s="14">
        <f>(B608-B596)/B596</f>
        <v/>
      </c>
      <c r="E608" s="15">
        <f>VLOOKUP(Table5[[#This Row],[Date]],'Fed Fund New'!$A:$C,2,FALSE)</f>
        <v/>
      </c>
      <c r="F608" s="27" t="n">
        <v>0.02</v>
      </c>
    </row>
    <row r="609">
      <c r="A609" s="61" t="n">
        <v>42856</v>
      </c>
      <c r="B609" s="68">
        <f>VLOOKUP(Table5[[#This Row],[Date]],Database!A:E,5,)</f>
        <v/>
      </c>
      <c r="C609" s="14">
        <f>(B609-B608)/B608</f>
        <v/>
      </c>
      <c r="D609" s="14">
        <f>(B609-B597)/B597</f>
        <v/>
      </c>
      <c r="E609" s="15">
        <f>VLOOKUP(Table5[[#This Row],[Date]],'Fed Fund New'!$A:$C,2,FALSE)</f>
        <v/>
      </c>
      <c r="F609" s="27" t="n">
        <v>0.02</v>
      </c>
    </row>
    <row r="610">
      <c r="A610" s="61" t="n">
        <v>42887</v>
      </c>
      <c r="B610" s="68">
        <f>VLOOKUP(Table5[[#This Row],[Date]],Database!A:E,5,)</f>
        <v/>
      </c>
      <c r="C610" s="14">
        <f>(B610-B609)/B609</f>
        <v/>
      </c>
      <c r="D610" s="14">
        <f>(B610-B598)/B598</f>
        <v/>
      </c>
      <c r="E610" s="15">
        <f>VLOOKUP(Table5[[#This Row],[Date]],'Fed Fund New'!$A:$C,2,FALSE)</f>
        <v/>
      </c>
      <c r="F610" s="27" t="n">
        <v>0.02</v>
      </c>
    </row>
    <row r="611">
      <c r="A611" s="61" t="n">
        <v>42917</v>
      </c>
      <c r="B611" s="68">
        <f>VLOOKUP(Table5[[#This Row],[Date]],Database!A:E,5,)</f>
        <v/>
      </c>
      <c r="C611" s="14">
        <f>(B611-B610)/B610</f>
        <v/>
      </c>
      <c r="D611" s="14">
        <f>(B611-B599)/B599</f>
        <v/>
      </c>
      <c r="E611" s="15">
        <f>VLOOKUP(Table5[[#This Row],[Date]],'Fed Fund New'!$A:$C,2,FALSE)</f>
        <v/>
      </c>
      <c r="F611" s="27" t="n">
        <v>0.02</v>
      </c>
    </row>
    <row r="612">
      <c r="A612" s="61" t="n">
        <v>42948</v>
      </c>
      <c r="B612" s="68">
        <f>VLOOKUP(Table5[[#This Row],[Date]],Database!A:E,5,)</f>
        <v/>
      </c>
      <c r="C612" s="14">
        <f>(B612-B611)/B611</f>
        <v/>
      </c>
      <c r="D612" s="14">
        <f>(B612-B600)/B600</f>
        <v/>
      </c>
      <c r="E612" s="15">
        <f>VLOOKUP(Table5[[#This Row],[Date]],'Fed Fund New'!$A:$C,2,FALSE)</f>
        <v/>
      </c>
      <c r="F612" s="27" t="n">
        <v>0.02</v>
      </c>
    </row>
    <row r="613">
      <c r="A613" s="61" t="n">
        <v>42979</v>
      </c>
      <c r="B613" s="68">
        <f>VLOOKUP(Table5[[#This Row],[Date]],Database!A:E,5,)</f>
        <v/>
      </c>
      <c r="C613" s="14">
        <f>(B613-B612)/B612</f>
        <v/>
      </c>
      <c r="D613" s="14">
        <f>(B613-B601)/B601</f>
        <v/>
      </c>
      <c r="E613" s="15">
        <f>VLOOKUP(Table5[[#This Row],[Date]],'Fed Fund New'!$A:$C,2,FALSE)</f>
        <v/>
      </c>
      <c r="F613" s="27" t="n">
        <v>0.02</v>
      </c>
    </row>
    <row r="614">
      <c r="A614" s="61" t="n">
        <v>43009</v>
      </c>
      <c r="B614" s="68">
        <f>VLOOKUP(Table5[[#This Row],[Date]],Database!A:E,5,)</f>
        <v/>
      </c>
      <c r="C614" s="14">
        <f>(B614-B613)/B613</f>
        <v/>
      </c>
      <c r="D614" s="14">
        <f>(B614-B602)/B602</f>
        <v/>
      </c>
      <c r="E614" s="15">
        <f>VLOOKUP(Table5[[#This Row],[Date]],'Fed Fund New'!$A:$C,2,FALSE)</f>
        <v/>
      </c>
      <c r="F614" s="27" t="n">
        <v>0.02</v>
      </c>
    </row>
    <row r="615">
      <c r="A615" s="61" t="n">
        <v>43040</v>
      </c>
      <c r="B615" s="68">
        <f>VLOOKUP(Table5[[#This Row],[Date]],Database!A:E,5,)</f>
        <v/>
      </c>
      <c r="C615" s="14">
        <f>(B615-B614)/B614</f>
        <v/>
      </c>
      <c r="D615" s="14">
        <f>(B615-B603)/B603</f>
        <v/>
      </c>
      <c r="E615" s="15">
        <f>VLOOKUP(Table5[[#This Row],[Date]],'Fed Fund New'!$A:$C,2,FALSE)</f>
        <v/>
      </c>
      <c r="F615" s="27" t="n">
        <v>0.02</v>
      </c>
    </row>
    <row r="616">
      <c r="A616" s="61" t="n">
        <v>43070</v>
      </c>
      <c r="B616" s="68">
        <f>VLOOKUP(Table5[[#This Row],[Date]],Database!A:E,5,)</f>
        <v/>
      </c>
      <c r="C616" s="14">
        <f>(B616-B615)/B615</f>
        <v/>
      </c>
      <c r="D616" s="14">
        <f>(B616-B604)/B604</f>
        <v/>
      </c>
      <c r="E616" s="15">
        <f>VLOOKUP(Table5[[#This Row],[Date]],'Fed Fund New'!$A:$C,2,FALSE)</f>
        <v/>
      </c>
      <c r="F616" s="27" t="n">
        <v>0.02</v>
      </c>
    </row>
    <row r="617">
      <c r="A617" s="61" t="n">
        <v>43101</v>
      </c>
      <c r="B617" s="68">
        <f>VLOOKUP(Table5[[#This Row],[Date]],Database!A:E,5,)</f>
        <v/>
      </c>
      <c r="C617" s="14">
        <f>(B617-B616)/B616</f>
        <v/>
      </c>
      <c r="D617" s="14">
        <f>(B617-B605)/B605</f>
        <v/>
      </c>
      <c r="E617" s="15">
        <f>VLOOKUP(Table5[[#This Row],[Date]],'Fed Fund New'!$A:$C,2,FALSE)</f>
        <v/>
      </c>
      <c r="F617" s="27" t="n">
        <v>0.02</v>
      </c>
    </row>
    <row r="618">
      <c r="A618" s="61" t="n">
        <v>43132</v>
      </c>
      <c r="B618" s="68">
        <f>VLOOKUP(Table5[[#This Row],[Date]],Database!A:E,5,)</f>
        <v/>
      </c>
      <c r="C618" s="14">
        <f>(B618-B617)/B617</f>
        <v/>
      </c>
      <c r="D618" s="14">
        <f>(B618-B606)/B606</f>
        <v/>
      </c>
      <c r="E618" s="15">
        <f>VLOOKUP(Table5[[#This Row],[Date]],'Fed Fund New'!$A:$C,2,FALSE)</f>
        <v/>
      </c>
      <c r="F618" s="27" t="n">
        <v>0.02</v>
      </c>
    </row>
    <row r="619">
      <c r="A619" s="61" t="n">
        <v>43160</v>
      </c>
      <c r="B619" s="68">
        <f>VLOOKUP(Table5[[#This Row],[Date]],Database!A:E,5,)</f>
        <v/>
      </c>
      <c r="C619" s="14">
        <f>(B619-B618)/B618</f>
        <v/>
      </c>
      <c r="D619" s="14">
        <f>(B619-B607)/B607</f>
        <v/>
      </c>
      <c r="E619" s="15">
        <f>VLOOKUP(Table5[[#This Row],[Date]],'Fed Fund New'!$A:$C,2,FALSE)</f>
        <v/>
      </c>
      <c r="F619" s="27" t="n">
        <v>0.02</v>
      </c>
    </row>
    <row r="620">
      <c r="A620" s="61" t="n">
        <v>43191</v>
      </c>
      <c r="B620" s="68">
        <f>VLOOKUP(Table5[[#This Row],[Date]],Database!A:E,5,)</f>
        <v/>
      </c>
      <c r="C620" s="14">
        <f>(B620-B619)/B619</f>
        <v/>
      </c>
      <c r="D620" s="14">
        <f>(B620-B608)/B608</f>
        <v/>
      </c>
      <c r="E620" s="15">
        <f>VLOOKUP(Table5[[#This Row],[Date]],'Fed Fund New'!$A:$C,2,FALSE)</f>
        <v/>
      </c>
      <c r="F620" s="27" t="n">
        <v>0.02</v>
      </c>
    </row>
    <row r="621">
      <c r="A621" s="61" t="n">
        <v>43221</v>
      </c>
      <c r="B621" s="68">
        <f>VLOOKUP(Table5[[#This Row],[Date]],Database!A:E,5,)</f>
        <v/>
      </c>
      <c r="C621" s="14">
        <f>(B621-B620)/B620</f>
        <v/>
      </c>
      <c r="D621" s="14">
        <f>(B621-B609)/B609</f>
        <v/>
      </c>
      <c r="E621" s="15">
        <f>VLOOKUP(Table5[[#This Row],[Date]],'Fed Fund New'!$A:$C,2,FALSE)</f>
        <v/>
      </c>
      <c r="F621" s="27" t="n">
        <v>0.02</v>
      </c>
    </row>
    <row r="622">
      <c r="A622" s="61" t="n">
        <v>43252</v>
      </c>
      <c r="B622" s="68">
        <f>VLOOKUP(Table5[[#This Row],[Date]],Database!A:E,5,)</f>
        <v/>
      </c>
      <c r="C622" s="14">
        <f>(B622-B621)/B621</f>
        <v/>
      </c>
      <c r="D622" s="14">
        <f>(B622-B610)/B610</f>
        <v/>
      </c>
      <c r="E622" s="15">
        <f>VLOOKUP(Table5[[#This Row],[Date]],'Fed Fund New'!$A:$C,2,FALSE)</f>
        <v/>
      </c>
      <c r="F622" s="27" t="n">
        <v>0.02</v>
      </c>
    </row>
    <row r="623">
      <c r="A623" s="61" t="n">
        <v>43282</v>
      </c>
      <c r="B623" s="68">
        <f>VLOOKUP(Table5[[#This Row],[Date]],Database!A:E,5,)</f>
        <v/>
      </c>
      <c r="C623" s="14">
        <f>(B623-B622)/B622</f>
        <v/>
      </c>
      <c r="D623" s="14">
        <f>(B623-B611)/B611</f>
        <v/>
      </c>
      <c r="E623" s="15">
        <f>VLOOKUP(Table5[[#This Row],[Date]],'Fed Fund New'!$A:$C,2,FALSE)</f>
        <v/>
      </c>
      <c r="F623" s="27" t="n">
        <v>0.02</v>
      </c>
    </row>
    <row r="624">
      <c r="A624" s="61" t="n">
        <v>43313</v>
      </c>
      <c r="B624" s="68">
        <f>VLOOKUP(Table5[[#This Row],[Date]],Database!A:E,5,)</f>
        <v/>
      </c>
      <c r="C624" s="14">
        <f>(B624-B623)/B623</f>
        <v/>
      </c>
      <c r="D624" s="14">
        <f>(B624-B612)/B612</f>
        <v/>
      </c>
      <c r="E624" s="15">
        <f>VLOOKUP(Table5[[#This Row],[Date]],'Fed Fund New'!$A:$C,2,FALSE)</f>
        <v/>
      </c>
      <c r="F624" s="27" t="n">
        <v>0.02</v>
      </c>
    </row>
    <row r="625">
      <c r="A625" s="61" t="n">
        <v>43344</v>
      </c>
      <c r="B625" s="68">
        <f>VLOOKUP(Table5[[#This Row],[Date]],Database!A:E,5,)</f>
        <v/>
      </c>
      <c r="C625" s="14">
        <f>(B625-B624)/B624</f>
        <v/>
      </c>
      <c r="D625" s="14">
        <f>(B625-B613)/B613</f>
        <v/>
      </c>
      <c r="E625" s="15">
        <f>VLOOKUP(Table5[[#This Row],[Date]],'Fed Fund New'!$A:$C,2,FALSE)</f>
        <v/>
      </c>
      <c r="F625" s="27" t="n">
        <v>0.02</v>
      </c>
    </row>
    <row r="626">
      <c r="A626" s="61" t="n">
        <v>43374</v>
      </c>
      <c r="B626" s="68">
        <f>VLOOKUP(Table5[[#This Row],[Date]],Database!A:E,5,)</f>
        <v/>
      </c>
      <c r="C626" s="14">
        <f>(B626-B625)/B625</f>
        <v/>
      </c>
      <c r="D626" s="14">
        <f>(B626-B614)/B614</f>
        <v/>
      </c>
      <c r="E626" s="15">
        <f>VLOOKUP(Table5[[#This Row],[Date]],'Fed Fund New'!$A:$C,2,FALSE)</f>
        <v/>
      </c>
      <c r="F626" s="27" t="n">
        <v>0.02</v>
      </c>
    </row>
    <row r="627">
      <c r="A627" s="61" t="n">
        <v>43405</v>
      </c>
      <c r="B627" s="68">
        <f>VLOOKUP(Table5[[#This Row],[Date]],Database!A:E,5,)</f>
        <v/>
      </c>
      <c r="C627" s="14">
        <f>(B627-B626)/B626</f>
        <v/>
      </c>
      <c r="D627" s="14">
        <f>(B627-B615)/B615</f>
        <v/>
      </c>
      <c r="E627" s="15">
        <f>VLOOKUP(Table5[[#This Row],[Date]],'Fed Fund New'!$A:$C,2,FALSE)</f>
        <v/>
      </c>
      <c r="F627" s="27" t="n">
        <v>0.02</v>
      </c>
    </row>
    <row r="628">
      <c r="A628" s="61" t="n">
        <v>43435</v>
      </c>
      <c r="B628" s="68">
        <f>VLOOKUP(Table5[[#This Row],[Date]],Database!A:E,5,)</f>
        <v/>
      </c>
      <c r="C628" s="14">
        <f>(B628-B627)/B627</f>
        <v/>
      </c>
      <c r="D628" s="14">
        <f>(B628-B616)/B616</f>
        <v/>
      </c>
      <c r="E628" s="15">
        <f>VLOOKUP(Table5[[#This Row],[Date]],'Fed Fund New'!$A:$C,2,FALSE)</f>
        <v/>
      </c>
      <c r="F628" s="27" t="n">
        <v>0.02</v>
      </c>
    </row>
    <row r="629">
      <c r="A629" s="61" t="n">
        <v>43466</v>
      </c>
      <c r="B629" s="68">
        <f>VLOOKUP(Table5[[#This Row],[Date]],Database!A:E,5,)</f>
        <v/>
      </c>
      <c r="C629" s="14">
        <f>(B629-B628)/B628</f>
        <v/>
      </c>
      <c r="D629" s="14">
        <f>(B629-B617)/B617</f>
        <v/>
      </c>
      <c r="E629" s="15">
        <f>VLOOKUP(Table5[[#This Row],[Date]],'Fed Fund New'!$A:$C,2,FALSE)</f>
        <v/>
      </c>
      <c r="F629" s="27" t="n">
        <v>0.02</v>
      </c>
    </row>
    <row r="630">
      <c r="A630" s="61" t="n">
        <v>43497</v>
      </c>
      <c r="B630" s="68">
        <f>VLOOKUP(Table5[[#This Row],[Date]],Database!A:E,5,)</f>
        <v/>
      </c>
      <c r="C630" s="14">
        <f>(B630-B629)/B629</f>
        <v/>
      </c>
      <c r="D630" s="14">
        <f>(B630-B618)/B618</f>
        <v/>
      </c>
      <c r="E630" s="15">
        <f>VLOOKUP(Table5[[#This Row],[Date]],'Fed Fund New'!$A:$C,2,FALSE)</f>
        <v/>
      </c>
      <c r="F630" s="27" t="n">
        <v>0.02</v>
      </c>
    </row>
    <row r="631">
      <c r="A631" s="61" t="n">
        <v>43525</v>
      </c>
      <c r="B631" s="68">
        <f>VLOOKUP(Table5[[#This Row],[Date]],Database!A:E,5,)</f>
        <v/>
      </c>
      <c r="C631" s="14">
        <f>(B631-B630)/B630</f>
        <v/>
      </c>
      <c r="D631" s="14">
        <f>(B631-B619)/B619</f>
        <v/>
      </c>
      <c r="E631" s="15">
        <f>VLOOKUP(Table5[[#This Row],[Date]],'Fed Fund New'!$A:$C,2,FALSE)</f>
        <v/>
      </c>
      <c r="F631" s="27" t="n">
        <v>0.02</v>
      </c>
    </row>
    <row r="632">
      <c r="A632" s="61" t="n">
        <v>43556</v>
      </c>
      <c r="B632" s="68">
        <f>VLOOKUP(Table5[[#This Row],[Date]],Database!A:E,5,)</f>
        <v/>
      </c>
      <c r="C632" s="14">
        <f>(B632-B631)/B631</f>
        <v/>
      </c>
      <c r="D632" s="14">
        <f>(B632-B620)/B620</f>
        <v/>
      </c>
      <c r="E632" s="15">
        <f>VLOOKUP(Table5[[#This Row],[Date]],'Fed Fund New'!$A:$C,2,FALSE)</f>
        <v/>
      </c>
      <c r="F632" s="27" t="n">
        <v>0.02</v>
      </c>
    </row>
    <row r="633">
      <c r="A633" s="61" t="n">
        <v>43586</v>
      </c>
      <c r="B633" s="68">
        <f>VLOOKUP(Table5[[#This Row],[Date]],Database!A:E,5,)</f>
        <v/>
      </c>
      <c r="C633" s="14">
        <f>(B633-B632)/B632</f>
        <v/>
      </c>
      <c r="D633" s="14">
        <f>(B633-B621)/B621</f>
        <v/>
      </c>
      <c r="E633" s="15">
        <f>VLOOKUP(Table5[[#This Row],[Date]],'Fed Fund New'!$A:$C,2,FALSE)</f>
        <v/>
      </c>
      <c r="F633" s="27" t="n">
        <v>0.02</v>
      </c>
    </row>
    <row r="634">
      <c r="A634" s="61" t="n">
        <v>43617</v>
      </c>
      <c r="B634" s="68">
        <f>VLOOKUP(Table5[[#This Row],[Date]],Database!A:E,5,)</f>
        <v/>
      </c>
      <c r="C634" s="14">
        <f>(B634-B633)/B633</f>
        <v/>
      </c>
      <c r="D634" s="14">
        <f>(B634-B622)/B622</f>
        <v/>
      </c>
      <c r="E634" s="15">
        <f>VLOOKUP(Table5[[#This Row],[Date]],'Fed Fund New'!$A:$C,2,FALSE)</f>
        <v/>
      </c>
      <c r="F634" s="27" t="n">
        <v>0.02</v>
      </c>
    </row>
    <row r="635">
      <c r="A635" s="61" t="n">
        <v>43647</v>
      </c>
      <c r="B635" s="68">
        <f>VLOOKUP(Table5[[#This Row],[Date]],Database!A:E,5,)</f>
        <v/>
      </c>
      <c r="C635" s="14">
        <f>(B635-B634)/B634</f>
        <v/>
      </c>
      <c r="D635" s="14">
        <f>(B635-B623)/B623</f>
        <v/>
      </c>
      <c r="E635" s="15">
        <f>VLOOKUP(Table5[[#This Row],[Date]],'Fed Fund New'!$A:$C,2,FALSE)</f>
        <v/>
      </c>
      <c r="F635" s="27" t="n">
        <v>0.02</v>
      </c>
    </row>
    <row r="636" customFormat="1" s="77">
      <c r="A636" s="61" t="n">
        <v>43678</v>
      </c>
      <c r="B636" s="68">
        <f>VLOOKUP(Table5[[#This Row],[Date]],Database!A:E,5,)</f>
        <v/>
      </c>
      <c r="C636" s="14">
        <f>(B636-B635)/B635</f>
        <v/>
      </c>
      <c r="D636" s="14">
        <f>(B636-B624)/B624</f>
        <v/>
      </c>
      <c r="E636" s="15">
        <f>VLOOKUP(Table5[[#This Row],[Date]],'Fed Fund New'!$A:$C,2,FALSE)</f>
        <v/>
      </c>
      <c r="F636" s="27" t="n">
        <v>0.02</v>
      </c>
      <c r="V636" s="10" t="n"/>
    </row>
    <row r="637" customFormat="1" s="77">
      <c r="A637" s="61" t="n">
        <v>43709</v>
      </c>
      <c r="B637" s="68">
        <f>VLOOKUP(Table5[[#This Row],[Date]],Database!A:E,5,)</f>
        <v/>
      </c>
      <c r="C637" s="14">
        <f>(B637-B636)/B636</f>
        <v/>
      </c>
      <c r="D637" s="14">
        <f>(B637-B625)/B625</f>
        <v/>
      </c>
      <c r="E637" s="15">
        <f>VLOOKUP(Table5[[#This Row],[Date]],'Fed Fund New'!$A:$C,2,FALSE)</f>
        <v/>
      </c>
      <c r="F637" s="27" t="n">
        <v>0.02</v>
      </c>
    </row>
    <row r="638" customFormat="1" s="77">
      <c r="A638" s="61" t="n">
        <v>43739</v>
      </c>
      <c r="B638" s="68">
        <f>VLOOKUP(Table5[[#This Row],[Date]],Database!A:E,5,)</f>
        <v/>
      </c>
      <c r="C638" s="14">
        <f>(B638-B637)/B637</f>
        <v/>
      </c>
      <c r="D638" s="14">
        <f>(B638-B626)/B626</f>
        <v/>
      </c>
      <c r="E638" s="15">
        <f>VLOOKUP(Table5[[#This Row],[Date]],'Fed Fund New'!$A:$C,2,FALSE)</f>
        <v/>
      </c>
      <c r="F638" s="27" t="n">
        <v>0.02</v>
      </c>
    </row>
    <row r="639" customFormat="1" s="77">
      <c r="A639" s="61" t="n">
        <v>43770</v>
      </c>
      <c r="B639" s="68">
        <f>VLOOKUP(Table5[[#This Row],[Date]],Database!A:E,5,)</f>
        <v/>
      </c>
      <c r="C639" s="14">
        <f>(B639-B638)/B638</f>
        <v/>
      </c>
      <c r="D639" s="14">
        <f>(B639-B627)/B627</f>
        <v/>
      </c>
      <c r="E639" s="15">
        <f>VLOOKUP(Table5[[#This Row],[Date]],'Fed Fund New'!$A:$C,2,FALSE)</f>
        <v/>
      </c>
      <c r="F639" s="27" t="n">
        <v>0.02</v>
      </c>
    </row>
    <row r="640" customFormat="1" s="77">
      <c r="A640" s="61" t="n">
        <v>43800</v>
      </c>
      <c r="B640" s="68">
        <f>VLOOKUP(Table5[[#This Row],[Date]],Database!A:E,5,)</f>
        <v/>
      </c>
      <c r="C640" s="14">
        <f>(B640-B639)/B639</f>
        <v/>
      </c>
      <c r="D640" s="14">
        <f>(B640-B628)/B628</f>
        <v/>
      </c>
      <c r="E640" s="15">
        <f>VLOOKUP(Table5[[#This Row],[Date]],'Fed Fund New'!$A:$C,2,FALSE)</f>
        <v/>
      </c>
      <c r="F640" s="27" t="n">
        <v>0.02</v>
      </c>
    </row>
    <row r="641" customFormat="1" s="77">
      <c r="A641" s="61" t="n">
        <v>43831</v>
      </c>
      <c r="B641" s="68">
        <f>VLOOKUP(Table5[[#This Row],[Date]],Database!A:E,5,)</f>
        <v/>
      </c>
      <c r="C641" s="14">
        <f>(B641-B640)/B640</f>
        <v/>
      </c>
      <c r="D641" s="14">
        <f>(B641-B629)/B629</f>
        <v/>
      </c>
      <c r="E641" s="15">
        <f>VLOOKUP(Table5[[#This Row],[Date]],'Fed Fund New'!$A:$C,2,FALSE)</f>
        <v/>
      </c>
      <c r="F641" s="27" t="n">
        <v>0.02</v>
      </c>
    </row>
    <row r="642" customFormat="1" s="77">
      <c r="A642" s="61" t="n">
        <v>43862</v>
      </c>
      <c r="B642" s="68">
        <f>VLOOKUP(Table5[[#This Row],[Date]],Database!A:E,5,)</f>
        <v/>
      </c>
      <c r="C642" s="14">
        <f>(B642-B641)/B641</f>
        <v/>
      </c>
      <c r="D642" s="14">
        <f>(B642-B630)/B630</f>
        <v/>
      </c>
      <c r="E642" s="15">
        <f>VLOOKUP(Table5[[#This Row],[Date]],'Fed Fund New'!$A:$C,2,FALSE)</f>
        <v/>
      </c>
      <c r="F642" s="27" t="n">
        <v>0.02</v>
      </c>
    </row>
    <row r="643" customFormat="1" s="77">
      <c r="A643" s="61" t="n">
        <v>43891</v>
      </c>
      <c r="B643" s="68">
        <f>VLOOKUP(Table5[[#This Row],[Date]],Database!A:E,5,)</f>
        <v/>
      </c>
      <c r="C643" s="14">
        <f>(B643-B642)/B642</f>
        <v/>
      </c>
      <c r="D643" s="14">
        <f>(B643-B631)/B631</f>
        <v/>
      </c>
      <c r="E643" s="15">
        <f>VLOOKUP(Table5[[#This Row],[Date]],'Fed Fund New'!$A:$C,2,FALSE)</f>
        <v/>
      </c>
      <c r="F643" s="27" t="n">
        <v>0.02</v>
      </c>
    </row>
    <row r="644" customFormat="1" s="77">
      <c r="A644" s="61" t="n">
        <v>43922</v>
      </c>
      <c r="B644" s="68">
        <f>VLOOKUP(Table5[[#This Row],[Date]],Database!A:E,5,)</f>
        <v/>
      </c>
      <c r="C644" s="14">
        <f>(B644-B643)/B643</f>
        <v/>
      </c>
      <c r="D644" s="14">
        <f>(B644-B632)/B632</f>
        <v/>
      </c>
      <c r="E644" s="15">
        <f>VLOOKUP(Table5[[#This Row],[Date]],'Fed Fund New'!$A:$C,2,FALSE)</f>
        <v/>
      </c>
      <c r="F644" s="27" t="n">
        <v>0.02</v>
      </c>
    </row>
    <row r="645" customFormat="1" s="77">
      <c r="A645" s="61" t="n">
        <v>43952</v>
      </c>
      <c r="B645" s="68">
        <f>VLOOKUP(Table5[[#This Row],[Date]],Database!A:E,5,)</f>
        <v/>
      </c>
      <c r="C645" s="14">
        <f>(B645-B644)/B644</f>
        <v/>
      </c>
      <c r="D645" s="14">
        <f>(B645-B633)/B633</f>
        <v/>
      </c>
      <c r="E645" s="15">
        <f>VLOOKUP(Table5[[#This Row],[Date]],'Fed Fund New'!$A:$C,2,FALSE)</f>
        <v/>
      </c>
      <c r="F645" s="27" t="n">
        <v>0.02</v>
      </c>
    </row>
    <row r="646" customFormat="1" s="77">
      <c r="A646" s="61" t="n">
        <v>43983</v>
      </c>
      <c r="B646" s="68">
        <f>VLOOKUP(Table5[[#This Row],[Date]],Database!A:E,5,)</f>
        <v/>
      </c>
      <c r="C646" s="14">
        <f>(B646-B645)/B645</f>
        <v/>
      </c>
      <c r="D646" s="14">
        <f>(B646-B634)/B634</f>
        <v/>
      </c>
      <c r="E646" s="15">
        <f>VLOOKUP(Table5[[#This Row],[Date]],'Fed Fund New'!$A:$C,2,FALSE)</f>
        <v/>
      </c>
      <c r="F646" s="27" t="n">
        <v>0.02</v>
      </c>
    </row>
    <row r="647" customFormat="1" s="77">
      <c r="A647" s="61" t="n">
        <v>44013</v>
      </c>
      <c r="B647" s="68">
        <f>VLOOKUP(Table5[[#This Row],[Date]],Database!A:E,5,)</f>
        <v/>
      </c>
      <c r="C647" s="14">
        <f>(B647-B646)/B646</f>
        <v/>
      </c>
      <c r="D647" s="14">
        <f>(B647-B635)/B635</f>
        <v/>
      </c>
      <c r="E647" s="15">
        <f>VLOOKUP(Table5[[#This Row],[Date]],'Fed Fund New'!$A:$C,2,FALSE)</f>
        <v/>
      </c>
      <c r="F647" s="27" t="n">
        <v>0.02</v>
      </c>
    </row>
    <row r="648" customFormat="1" s="77">
      <c r="A648" s="61" t="n">
        <v>44044</v>
      </c>
      <c r="B648" s="68">
        <f>VLOOKUP(Table5[[#This Row],[Date]],Database!A:E,5,)</f>
        <v/>
      </c>
      <c r="C648" s="14">
        <f>(B648-B647)/B647</f>
        <v/>
      </c>
      <c r="D648" s="14">
        <f>(B648-B636)/B636</f>
        <v/>
      </c>
      <c r="E648" s="15">
        <f>VLOOKUP(Table5[[#This Row],[Date]],'Fed Fund New'!$A:$C,2,FALSE)</f>
        <v/>
      </c>
      <c r="F648" s="27" t="n">
        <v>0.02</v>
      </c>
    </row>
    <row r="649" customFormat="1" s="77">
      <c r="A649" s="61" t="n">
        <v>44075</v>
      </c>
      <c r="B649" s="68">
        <f>VLOOKUP(Table5[[#This Row],[Date]],Database!A:E,5,)</f>
        <v/>
      </c>
      <c r="C649" s="14">
        <f>(B649-B648)/B648</f>
        <v/>
      </c>
      <c r="D649" s="14">
        <f>(B649-B637)/B637</f>
        <v/>
      </c>
      <c r="E649" s="15">
        <f>VLOOKUP(Table5[[#This Row],[Date]],'Fed Fund New'!$A:$C,2,FALSE)</f>
        <v/>
      </c>
      <c r="F649" s="27" t="n">
        <v>0.02</v>
      </c>
    </row>
    <row r="650" customFormat="1" s="77">
      <c r="A650" s="61" t="n">
        <v>44105</v>
      </c>
      <c r="B650" s="68">
        <f>VLOOKUP(Table5[[#This Row],[Date]],Database!A:E,5,)</f>
        <v/>
      </c>
      <c r="C650" s="14">
        <f>(B650-B649)/B649</f>
        <v/>
      </c>
      <c r="D650" s="14">
        <f>(B650-B638)/B638</f>
        <v/>
      </c>
      <c r="E650" s="15">
        <f>VLOOKUP(Table5[[#This Row],[Date]],'Fed Fund New'!$A:$C,2,FALSE)</f>
        <v/>
      </c>
      <c r="F650" s="27" t="n">
        <v>0.02</v>
      </c>
    </row>
    <row r="651" customFormat="1" s="77">
      <c r="A651" s="61" t="n">
        <v>44136</v>
      </c>
      <c r="B651" s="68">
        <f>VLOOKUP(Table5[[#This Row],[Date]],Database!A:E,5,)</f>
        <v/>
      </c>
      <c r="C651" s="14">
        <f>(B651-B650)/B650</f>
        <v/>
      </c>
      <c r="D651" s="14">
        <f>(B651-B639)/B639</f>
        <v/>
      </c>
      <c r="E651" s="15">
        <f>VLOOKUP(Table5[[#This Row],[Date]],'Fed Fund New'!$A:$C,2,FALSE)</f>
        <v/>
      </c>
      <c r="F651" s="27" t="n">
        <v>0.02</v>
      </c>
    </row>
    <row r="652" customFormat="1" s="77">
      <c r="A652" s="61" t="n">
        <v>44166</v>
      </c>
      <c r="B652" s="68">
        <f>VLOOKUP(Table5[[#This Row],[Date]],Database!A:E,5,)</f>
        <v/>
      </c>
      <c r="C652" s="14">
        <f>(B652-B651)/B651</f>
        <v/>
      </c>
      <c r="D652" s="14">
        <f>(B652-B640)/B640</f>
        <v/>
      </c>
      <c r="E652" s="15">
        <f>VLOOKUP(Table5[[#This Row],[Date]],'Fed Fund New'!$A:$C,2,FALSE)</f>
        <v/>
      </c>
      <c r="F652" s="27" t="n">
        <v>0.02</v>
      </c>
    </row>
    <row r="653" customFormat="1" s="77">
      <c r="A653" s="61" t="n">
        <v>44197</v>
      </c>
      <c r="B653" s="68">
        <f>VLOOKUP(Table5[[#This Row],[Date]],Database!A:E,5,)</f>
        <v/>
      </c>
      <c r="C653" s="14">
        <f>(B653-B652)/B652</f>
        <v/>
      </c>
      <c r="D653" s="14">
        <f>(B653-B641)/B641</f>
        <v/>
      </c>
      <c r="E653" s="15">
        <f>VLOOKUP(Table5[[#This Row],[Date]],'Fed Fund New'!$A:$C,2,FALSE)</f>
        <v/>
      </c>
      <c r="F653" s="27" t="n">
        <v>0.02</v>
      </c>
    </row>
    <row r="654" customFormat="1" s="77">
      <c r="A654" s="61" t="n">
        <v>44228</v>
      </c>
      <c r="B654" s="68">
        <f>VLOOKUP(Table5[[#This Row],[Date]],Database!A:E,5,)</f>
        <v/>
      </c>
      <c r="C654" s="14">
        <f>(B654-B653)/B653</f>
        <v/>
      </c>
      <c r="D654" s="14">
        <f>(B654-B642)/B642</f>
        <v/>
      </c>
      <c r="E654" s="15">
        <f>VLOOKUP(Table5[[#This Row],[Date]],'Fed Fund New'!$A:$C,2,FALSE)</f>
        <v/>
      </c>
      <c r="F654" s="27" t="n">
        <v>0.02</v>
      </c>
    </row>
    <row r="655" customFormat="1" s="77">
      <c r="A655" s="61" t="n">
        <v>44256</v>
      </c>
      <c r="B655" s="68">
        <f>VLOOKUP(Table5[[#This Row],[Date]],Database!A:E,5,)</f>
        <v/>
      </c>
      <c r="C655" s="14">
        <f>(B655-B654)/B654</f>
        <v/>
      </c>
      <c r="D655" s="14">
        <f>(B655-B643)/B643</f>
        <v/>
      </c>
      <c r="E655" s="15">
        <f>VLOOKUP(Table5[[#This Row],[Date]],'Fed Fund New'!$A:$C,2,FALSE)</f>
        <v/>
      </c>
      <c r="F655" s="27" t="n">
        <v>0.02</v>
      </c>
    </row>
    <row r="656" customFormat="1" s="77">
      <c r="A656" s="61" t="n">
        <v>44287</v>
      </c>
      <c r="B656" s="68">
        <f>VLOOKUP(Table5[[#This Row],[Date]],Database!A:E,5,)</f>
        <v/>
      </c>
      <c r="C656" s="14">
        <f>(B656-B655)/B655</f>
        <v/>
      </c>
      <c r="D656" s="14">
        <f>(B656-B644)/B644</f>
        <v/>
      </c>
      <c r="E656" s="15">
        <f>VLOOKUP(Table5[[#This Row],[Date]],'Fed Fund New'!$A:$C,2,FALSE)</f>
        <v/>
      </c>
      <c r="F656" s="27" t="n">
        <v>0.02</v>
      </c>
    </row>
    <row r="657" customFormat="1" s="77">
      <c r="A657" s="61" t="n">
        <v>44317</v>
      </c>
      <c r="B657" s="68">
        <f>VLOOKUP(Table5[[#This Row],[Date]],Database!A:E,5,)</f>
        <v/>
      </c>
      <c r="C657" s="14">
        <f>(B657-B656)/B656</f>
        <v/>
      </c>
      <c r="D657" s="14">
        <f>(B657-B645)/B645</f>
        <v/>
      </c>
      <c r="E657" s="15">
        <f>VLOOKUP(Table5[[#This Row],[Date]],'Fed Fund New'!$A:$C,2,FALSE)</f>
        <v/>
      </c>
      <c r="F657" s="27" t="n">
        <v>0.02</v>
      </c>
    </row>
    <row r="658" customFormat="1" s="77">
      <c r="A658" s="61" t="n">
        <v>44348</v>
      </c>
      <c r="B658" s="68">
        <f>VLOOKUP(Table5[[#This Row],[Date]],Database!A:E,5,)</f>
        <v/>
      </c>
      <c r="C658" s="14">
        <f>(B658-B657)/B657</f>
        <v/>
      </c>
      <c r="D658" s="14">
        <f>(B658-B646)/B646</f>
        <v/>
      </c>
      <c r="E658" s="15">
        <f>VLOOKUP(Table5[[#This Row],[Date]],'Fed Fund New'!$A:$C,2,FALSE)</f>
        <v/>
      </c>
      <c r="F658" s="27" t="n">
        <v>0.02</v>
      </c>
    </row>
    <row r="659" customFormat="1" s="77">
      <c r="A659" s="61" t="n">
        <v>44378</v>
      </c>
      <c r="B659" s="68">
        <f>VLOOKUP(Table5[[#This Row],[Date]],Database!A:E,5,)</f>
        <v/>
      </c>
      <c r="C659" s="14">
        <f>(B659-B658)/B658</f>
        <v/>
      </c>
      <c r="D659" s="14">
        <f>(B659-B647)/B647</f>
        <v/>
      </c>
      <c r="E659" s="15">
        <f>VLOOKUP(Table5[[#This Row],[Date]],'Fed Fund New'!$A:$C,2,FALSE)</f>
        <v/>
      </c>
      <c r="F659" s="27" t="n">
        <v>0.02</v>
      </c>
    </row>
    <row r="660" customFormat="1" s="77">
      <c r="A660" s="61" t="n">
        <v>44409</v>
      </c>
      <c r="B660" s="68">
        <f>VLOOKUP(Table5[[#This Row],[Date]],Database!A:E,5,)</f>
        <v/>
      </c>
      <c r="C660" s="14">
        <f>(B660-B659)/B659</f>
        <v/>
      </c>
      <c r="D660" s="14">
        <f>(B660-B648)/B648</f>
        <v/>
      </c>
      <c r="E660" s="15">
        <f>VLOOKUP(Table5[[#This Row],[Date]],'Fed Fund New'!$A:$C,2,FALSE)</f>
        <v/>
      </c>
      <c r="F660" s="27" t="n">
        <v>0.02</v>
      </c>
    </row>
    <row r="661" customFormat="1" s="77">
      <c r="A661" s="61" t="n">
        <v>44440</v>
      </c>
      <c r="B661" s="68">
        <f>VLOOKUP(Table5[[#This Row],[Date]],Database!A:E,5,)</f>
        <v/>
      </c>
      <c r="C661" s="14">
        <f>(B661-B660)/B660</f>
        <v/>
      </c>
      <c r="D661" s="14">
        <f>(B661-B649)/B649</f>
        <v/>
      </c>
      <c r="E661" s="15">
        <f>VLOOKUP(Table5[[#This Row],[Date]],'Fed Fund New'!$A:$C,2,FALSE)</f>
        <v/>
      </c>
      <c r="F661" s="27" t="n">
        <v>0.02</v>
      </c>
    </row>
    <row r="662" customFormat="1" s="77">
      <c r="A662" s="61" t="n">
        <v>44470</v>
      </c>
      <c r="B662" s="68">
        <f>VLOOKUP(Table5[[#This Row],[Date]],Database!A:E,5,)</f>
        <v/>
      </c>
      <c r="C662" s="14">
        <f>(B662-B661)/B661</f>
        <v/>
      </c>
      <c r="D662" s="14">
        <f>(B662-B650)/B650</f>
        <v/>
      </c>
      <c r="E662" s="15">
        <f>VLOOKUP(Table5[[#This Row],[Date]],'Fed Fund New'!$A:$C,2,FALSE)</f>
        <v/>
      </c>
      <c r="F662" s="27" t="n">
        <v>0.02</v>
      </c>
    </row>
    <row r="663" customFormat="1" s="77">
      <c r="A663" s="61" t="n">
        <v>44501</v>
      </c>
      <c r="B663" s="68">
        <f>VLOOKUP(Table5[[#This Row],[Date]],Database!A:E,5,)</f>
        <v/>
      </c>
      <c r="C663" s="14">
        <f>(B663-B662)/B662</f>
        <v/>
      </c>
      <c r="D663" s="14">
        <f>(B663-B651)/B651</f>
        <v/>
      </c>
      <c r="E663" s="15">
        <f>VLOOKUP(Table5[[#This Row],[Date]],'Fed Fund New'!$A:$C,2,FALSE)</f>
        <v/>
      </c>
      <c r="F663" s="27" t="n">
        <v>0.02</v>
      </c>
    </row>
    <row r="664" customFormat="1" s="77">
      <c r="A664" s="61" t="n">
        <v>44531</v>
      </c>
      <c r="B664" s="68">
        <f>VLOOKUP(Table5[[#This Row],[Date]],Database!A:E,5,)</f>
        <v/>
      </c>
      <c r="C664" s="14">
        <f>(B664-B663)/B663</f>
        <v/>
      </c>
      <c r="D664" s="14">
        <f>(B664-B652)/B652</f>
        <v/>
      </c>
      <c r="E664" s="15">
        <f>VLOOKUP(Table5[[#This Row],[Date]],'Fed Fund New'!$A:$C,2,FALSE)</f>
        <v/>
      </c>
      <c r="F664" s="27" t="n">
        <v>0.02</v>
      </c>
    </row>
    <row r="665" customFormat="1" s="77">
      <c r="A665" s="61" t="n">
        <v>44562</v>
      </c>
      <c r="B665" s="68">
        <f>VLOOKUP(Table5[[#This Row],[Date]],Database!A:E,5,)</f>
        <v/>
      </c>
      <c r="C665" s="14">
        <f>(B665-B664)/B664</f>
        <v/>
      </c>
      <c r="D665" s="14">
        <f>(B665-B653)/B653</f>
        <v/>
      </c>
      <c r="E665" s="15">
        <f>VLOOKUP(Table5[[#This Row],[Date]],'Fed Fund New'!$A:$C,2,FALSE)</f>
        <v/>
      </c>
      <c r="F665" s="27" t="n">
        <v>0.02</v>
      </c>
    </row>
    <row r="666" customFormat="1" s="77">
      <c r="A666" s="61" t="n">
        <v>44593</v>
      </c>
      <c r="B666" s="68">
        <f>VLOOKUP(Table5[[#This Row],[Date]],Database!A:E,5,)</f>
        <v/>
      </c>
      <c r="C666" s="14">
        <f>(B666-B665)/B665</f>
        <v/>
      </c>
      <c r="D666" s="14">
        <f>(B666-B654)/B654</f>
        <v/>
      </c>
      <c r="E666" s="15">
        <f>VLOOKUP(Table5[[#This Row],[Date]],'Fed Fund New'!$A:$C,2,FALSE)</f>
        <v/>
      </c>
      <c r="F666" s="27" t="n">
        <v>0.02</v>
      </c>
    </row>
    <row r="667" customFormat="1" s="77">
      <c r="A667" s="2" t="n"/>
      <c r="B667" s="64" t="n"/>
      <c r="C667" s="2" t="n"/>
      <c r="D667" s="2" t="n"/>
      <c r="E667" s="11" t="n"/>
      <c r="F667" s="5" t="n"/>
    </row>
    <row r="668" customFormat="1" s="77">
      <c r="A668" s="2" t="n"/>
      <c r="B668" s="64" t="n"/>
      <c r="C668" s="2" t="n"/>
      <c r="D668" s="2" t="n"/>
      <c r="E668" s="11" t="n"/>
      <c r="F668" s="5" t="n"/>
    </row>
    <row r="669" customFormat="1" s="77">
      <c r="A669" s="2" t="n"/>
      <c r="B669" s="64" t="n"/>
      <c r="C669" s="2" t="n"/>
      <c r="D669" s="2" t="n"/>
      <c r="E669" s="11" t="n"/>
      <c r="F669" s="5" t="n"/>
    </row>
    <row r="670" customFormat="1" s="77">
      <c r="A670" s="2" t="n"/>
      <c r="B670" s="64" t="n"/>
      <c r="C670" s="2" t="n"/>
      <c r="D670" s="2" t="n"/>
      <c r="E670" s="11" t="n"/>
      <c r="F670" s="5" t="n"/>
    </row>
    <row r="671" customFormat="1" s="77">
      <c r="A671" s="2" t="n"/>
      <c r="B671" s="64" t="n"/>
      <c r="C671" s="2" t="n"/>
      <c r="D671" s="2" t="n"/>
      <c r="E671" s="11" t="n"/>
      <c r="F671" s="5" t="n"/>
    </row>
    <row r="672" customFormat="1" s="77">
      <c r="A672" s="2" t="n"/>
      <c r="B672" s="64" t="n"/>
      <c r="C672" s="2" t="n"/>
      <c r="D672" s="2" t="n"/>
      <c r="E672" s="11" t="n"/>
      <c r="F672" s="5" t="n"/>
    </row>
    <row r="673" customFormat="1" s="77">
      <c r="A673" s="2" t="n"/>
      <c r="B673" s="64" t="n"/>
      <c r="C673" s="2" t="n"/>
      <c r="D673" s="2" t="n"/>
      <c r="E673" s="11" t="n"/>
      <c r="F673" s="5" t="n"/>
    </row>
    <row r="674" customFormat="1" s="77">
      <c r="A674" s="2" t="n"/>
      <c r="B674" s="64" t="n"/>
      <c r="C674" s="2" t="n"/>
      <c r="D674" s="2" t="n"/>
      <c r="E674" s="11" t="n"/>
      <c r="F674" s="5" t="n"/>
    </row>
    <row r="675" customFormat="1" s="77">
      <c r="A675" s="2" t="n"/>
      <c r="B675" s="64" t="n"/>
      <c r="C675" s="2" t="n"/>
      <c r="D675" s="2" t="n"/>
      <c r="E675" s="11" t="n"/>
      <c r="F675" s="5" t="n"/>
    </row>
    <row r="676" customFormat="1" s="77">
      <c r="A676" s="2" t="n"/>
      <c r="B676" s="64" t="n"/>
      <c r="C676" s="2" t="n"/>
      <c r="D676" s="2" t="n"/>
      <c r="E676" s="11" t="n"/>
      <c r="F676" s="5" t="n"/>
    </row>
    <row r="677" customFormat="1" s="77">
      <c r="A677" s="2" t="n"/>
      <c r="B677" s="64" t="n"/>
      <c r="C677" s="2" t="n"/>
      <c r="D677" s="2" t="n"/>
      <c r="E677" s="11" t="n"/>
      <c r="F677" s="5" t="n"/>
    </row>
    <row r="678" customFormat="1" s="77">
      <c r="A678" s="2" t="n"/>
      <c r="B678" s="64" t="n"/>
      <c r="C678" s="2" t="n"/>
      <c r="D678" s="2" t="n"/>
      <c r="E678" s="11" t="n"/>
      <c r="F678" s="5" t="n"/>
    </row>
    <row r="679" customFormat="1" s="77">
      <c r="A679" s="2" t="n"/>
      <c r="B679" s="64" t="n"/>
      <c r="C679" s="2" t="n"/>
      <c r="D679" s="2" t="n"/>
      <c r="E679" s="11" t="n"/>
      <c r="F679" s="5" t="n"/>
    </row>
    <row r="680" customFormat="1" s="77">
      <c r="A680" s="2" t="n"/>
      <c r="B680" s="64" t="n"/>
      <c r="C680" s="2" t="n"/>
      <c r="D680" s="2" t="n"/>
      <c r="E680" s="11" t="n"/>
      <c r="F680" s="5" t="n"/>
    </row>
    <row r="681" customFormat="1" s="77">
      <c r="A681" s="2" t="n"/>
      <c r="B681" s="64" t="n"/>
      <c r="C681" s="2" t="n"/>
      <c r="D681" s="2" t="n"/>
      <c r="E681" s="11" t="n"/>
      <c r="F681" s="5" t="n"/>
    </row>
    <row r="682" customFormat="1" s="77">
      <c r="A682" s="2" t="n"/>
      <c r="B682" s="64" t="n"/>
      <c r="C682" s="2" t="n"/>
      <c r="D682" s="2" t="n"/>
      <c r="E682" s="11" t="n"/>
      <c r="F682" s="5" t="n"/>
    </row>
    <row r="683" customFormat="1" s="77">
      <c r="A683" s="2" t="n"/>
      <c r="B683" s="64" t="n"/>
      <c r="C683" s="2" t="n"/>
      <c r="D683" s="2" t="n"/>
      <c r="E683" s="11" t="n"/>
      <c r="F683" s="5" t="n"/>
    </row>
    <row r="684" customFormat="1" s="77">
      <c r="A684" s="2" t="n"/>
      <c r="B684" s="64" t="n"/>
      <c r="C684" s="2" t="n"/>
      <c r="D684" s="2" t="n"/>
      <c r="E684" s="11" t="n"/>
      <c r="F684" s="5" t="n"/>
    </row>
    <row r="685" customFormat="1" s="77">
      <c r="A685" s="2" t="n"/>
      <c r="B685" s="64" t="n"/>
      <c r="C685" s="2" t="n"/>
      <c r="D685" s="2" t="n"/>
      <c r="E685" s="11" t="n"/>
      <c r="F685" s="5" t="n"/>
    </row>
    <row r="686" customFormat="1" s="77">
      <c r="A686" s="2" t="n"/>
      <c r="B686" s="64" t="n"/>
      <c r="C686" s="2" t="n"/>
      <c r="D686" s="2" t="n"/>
      <c r="E686" s="11" t="n"/>
      <c r="F686" s="5" t="n"/>
    </row>
    <row r="687" customFormat="1" s="77">
      <c r="A687" s="2" t="n"/>
      <c r="B687" s="64" t="n"/>
      <c r="C687" s="2" t="n"/>
      <c r="D687" s="2" t="n"/>
      <c r="E687" s="11" t="n"/>
      <c r="F687" s="5" t="n"/>
    </row>
    <row r="688" customFormat="1" s="77">
      <c r="A688" s="2" t="n"/>
      <c r="B688" s="64" t="n"/>
      <c r="C688" s="2" t="n"/>
      <c r="D688" s="2" t="n"/>
      <c r="E688" s="11" t="n"/>
      <c r="F688" s="5" t="n"/>
    </row>
    <row r="689" customFormat="1" s="77">
      <c r="A689" s="2" t="n"/>
      <c r="B689" s="64" t="n"/>
      <c r="C689" s="2" t="n"/>
      <c r="D689" s="2" t="n"/>
      <c r="E689" s="11" t="n"/>
      <c r="F689" s="5" t="n"/>
    </row>
    <row r="690" customFormat="1" s="77">
      <c r="A690" s="2" t="n"/>
      <c r="B690" s="64" t="n"/>
      <c r="C690" s="2" t="n"/>
      <c r="D690" s="2" t="n"/>
      <c r="E690" s="11" t="n"/>
      <c r="F690" s="5" t="n"/>
    </row>
    <row r="691" customFormat="1" s="77">
      <c r="A691" s="2" t="n"/>
      <c r="B691" s="64" t="n"/>
      <c r="C691" s="2" t="n"/>
      <c r="D691" s="2" t="n"/>
      <c r="E691" s="11" t="n"/>
      <c r="F691" s="5" t="n"/>
    </row>
    <row r="692" customFormat="1" s="77">
      <c r="A692" s="2" t="n"/>
      <c r="B692" s="64" t="n"/>
      <c r="C692" s="2" t="n"/>
      <c r="D692" s="2" t="n"/>
      <c r="E692" s="11" t="n"/>
      <c r="F692" s="5" t="n"/>
    </row>
    <row r="693" customFormat="1" s="77">
      <c r="A693" s="2" t="n"/>
      <c r="B693" s="64" t="n"/>
      <c r="C693" s="2" t="n"/>
      <c r="D693" s="2" t="n"/>
      <c r="E693" s="11" t="n"/>
      <c r="F693" s="5" t="n"/>
    </row>
    <row r="694" customFormat="1" s="77">
      <c r="A694" s="2" t="n"/>
      <c r="B694" s="64" t="n"/>
      <c r="C694" s="2" t="n"/>
      <c r="D694" s="2" t="n"/>
      <c r="E694" s="11" t="n"/>
      <c r="F694" s="5" t="n"/>
    </row>
    <row r="695" customFormat="1" s="77">
      <c r="A695" s="2" t="n"/>
      <c r="B695" s="64" t="n"/>
      <c r="C695" s="2" t="n"/>
      <c r="D695" s="2" t="n"/>
      <c r="E695" s="11" t="n"/>
      <c r="F695" s="5" t="n"/>
    </row>
    <row r="696" customFormat="1" s="77">
      <c r="A696" s="2" t="n"/>
      <c r="B696" s="64" t="n"/>
      <c r="C696" s="2" t="n"/>
      <c r="D696" s="2" t="n"/>
      <c r="E696" s="11" t="n"/>
      <c r="F696" s="5" t="n"/>
    </row>
    <row r="697" customFormat="1" s="77">
      <c r="A697" s="2" t="n"/>
      <c r="B697" s="64" t="n"/>
      <c r="C697" s="2" t="n"/>
      <c r="D697" s="2" t="n"/>
      <c r="E697" s="11" t="n"/>
      <c r="F697" s="5" t="n"/>
    </row>
    <row r="698" customFormat="1" s="77">
      <c r="A698" s="2" t="n"/>
      <c r="B698" s="64" t="n"/>
      <c r="C698" s="2" t="n"/>
      <c r="D698" s="2" t="n"/>
      <c r="E698" s="11" t="n"/>
      <c r="F698" s="5" t="n"/>
    </row>
    <row r="699" customFormat="1" s="77">
      <c r="A699" s="2" t="n"/>
      <c r="B699" s="64" t="n"/>
      <c r="C699" s="2" t="n"/>
      <c r="D699" s="2" t="n"/>
      <c r="E699" s="11" t="n"/>
      <c r="F699" s="5" t="n"/>
    </row>
    <row r="700" customFormat="1" s="77">
      <c r="A700" s="2" t="n"/>
      <c r="B700" s="64" t="n"/>
      <c r="C700" s="2" t="n"/>
      <c r="D700" s="2" t="n"/>
      <c r="E700" s="11" t="n"/>
      <c r="F700" s="5" t="n"/>
    </row>
    <row r="701" customFormat="1" s="77">
      <c r="A701" s="2" t="n"/>
      <c r="B701" s="64" t="n"/>
      <c r="C701" s="2" t="n"/>
      <c r="D701" s="2" t="n"/>
      <c r="E701" s="11" t="n"/>
      <c r="F701" s="5" t="n"/>
    </row>
    <row r="702" customFormat="1" s="77">
      <c r="A702" s="2" t="n"/>
      <c r="B702" s="64" t="n"/>
      <c r="C702" s="2" t="n"/>
      <c r="D702" s="2" t="n"/>
      <c r="E702" s="11" t="n"/>
      <c r="F702" s="5" t="n"/>
    </row>
    <row r="703" customFormat="1" s="77">
      <c r="A703" s="2" t="n"/>
      <c r="B703" s="64" t="n"/>
      <c r="C703" s="2" t="n"/>
      <c r="D703" s="2" t="n"/>
      <c r="E703" s="11" t="n"/>
      <c r="F703" s="5" t="n"/>
    </row>
    <row r="704" customFormat="1" s="77">
      <c r="A704" s="2" t="n"/>
      <c r="B704" s="64" t="n"/>
      <c r="C704" s="2" t="n"/>
      <c r="D704" s="2" t="n"/>
      <c r="E704" s="11" t="n"/>
      <c r="F704" s="5" t="n"/>
    </row>
    <row r="705" customFormat="1" s="77">
      <c r="A705" s="2" t="n"/>
      <c r="B705" s="64" t="n"/>
      <c r="C705" s="2" t="n"/>
      <c r="D705" s="2" t="n"/>
      <c r="E705" s="11" t="n"/>
      <c r="F705" s="5" t="n"/>
    </row>
    <row r="706" customFormat="1" s="77">
      <c r="A706" s="2" t="n"/>
      <c r="B706" s="64" t="n"/>
      <c r="C706" s="2" t="n"/>
      <c r="D706" s="2" t="n"/>
      <c r="E706" s="11" t="n"/>
      <c r="F706" s="5" t="n"/>
    </row>
    <row r="707" customFormat="1" s="77">
      <c r="A707" s="2" t="n"/>
      <c r="B707" s="64" t="n"/>
      <c r="C707" s="2" t="n"/>
      <c r="D707" s="2" t="n"/>
      <c r="E707" s="11" t="n"/>
      <c r="F707" s="5" t="n"/>
    </row>
    <row r="708" customFormat="1" s="77">
      <c r="A708" s="2" t="n"/>
      <c r="B708" s="64" t="n"/>
      <c r="C708" s="2" t="n"/>
      <c r="D708" s="2" t="n"/>
      <c r="E708" s="11" t="n"/>
      <c r="F708" s="5" t="n"/>
    </row>
    <row r="709" customFormat="1" s="77">
      <c r="A709" s="2" t="n"/>
      <c r="B709" s="64" t="n"/>
      <c r="C709" s="2" t="n"/>
      <c r="D709" s="2" t="n"/>
      <c r="E709" s="11" t="n"/>
      <c r="F709" s="5" t="n"/>
    </row>
    <row r="710" customFormat="1" s="77">
      <c r="A710" s="2" t="n"/>
      <c r="B710" s="64" t="n"/>
      <c r="C710" s="2" t="n"/>
      <c r="D710" s="2" t="n"/>
      <c r="E710" s="11" t="n"/>
      <c r="F710" s="5" t="n"/>
    </row>
    <row r="711" customFormat="1" s="77">
      <c r="A711" s="2" t="n"/>
      <c r="B711" s="64" t="n"/>
      <c r="C711" s="2" t="n"/>
      <c r="D711" s="2" t="n"/>
      <c r="E711" s="11" t="n"/>
      <c r="F711" s="5" t="n"/>
    </row>
    <row r="712" customFormat="1" s="77">
      <c r="A712" s="2" t="n"/>
      <c r="B712" s="64" t="n"/>
      <c r="C712" s="2" t="n"/>
      <c r="D712" s="2" t="n"/>
      <c r="E712" s="11" t="n"/>
      <c r="F712" s="5" t="n"/>
    </row>
    <row r="713" customFormat="1" s="77">
      <c r="A713" s="2" t="n"/>
      <c r="B713" s="64" t="n"/>
      <c r="C713" s="2" t="n"/>
      <c r="D713" s="2" t="n"/>
      <c r="E713" s="11" t="n"/>
      <c r="F713" s="5" t="n"/>
    </row>
    <row r="714" customFormat="1" s="77">
      <c r="A714" s="2" t="n"/>
      <c r="B714" s="64" t="n"/>
      <c r="C714" s="2" t="n"/>
      <c r="D714" s="2" t="n"/>
      <c r="E714" s="11" t="n"/>
      <c r="F714" s="5" t="n"/>
    </row>
    <row r="715" customFormat="1" s="77">
      <c r="A715" s="2" t="n"/>
      <c r="B715" s="64" t="n"/>
      <c r="C715" s="2" t="n"/>
      <c r="D715" s="2" t="n"/>
      <c r="E715" s="11" t="n"/>
      <c r="F715" s="5" t="n"/>
    </row>
    <row r="716" customFormat="1" s="77">
      <c r="A716" s="2" t="n"/>
      <c r="B716" s="64" t="n"/>
      <c r="C716" s="2" t="n"/>
      <c r="D716" s="2" t="n"/>
      <c r="E716" s="11" t="n"/>
      <c r="F716" s="5" t="n"/>
    </row>
    <row r="717" customFormat="1" s="77">
      <c r="A717" s="2" t="n"/>
      <c r="B717" s="64" t="n"/>
      <c r="C717" s="2" t="n"/>
      <c r="D717" s="2" t="n"/>
      <c r="E717" s="11" t="n"/>
      <c r="F717" s="5" t="n"/>
    </row>
    <row r="718" customFormat="1" s="77">
      <c r="A718" s="2" t="n"/>
      <c r="B718" s="64" t="n"/>
      <c r="C718" s="2" t="n"/>
      <c r="D718" s="2" t="n"/>
      <c r="E718" s="11" t="n"/>
      <c r="F718" s="5" t="n"/>
    </row>
    <row r="719" customFormat="1" s="77">
      <c r="A719" s="2" t="n"/>
      <c r="B719" s="64" t="n"/>
      <c r="C719" s="2" t="n"/>
      <c r="D719" s="2" t="n"/>
      <c r="E719" s="11" t="n"/>
      <c r="F719" s="5" t="n"/>
    </row>
    <row r="720" customFormat="1" s="77">
      <c r="A720" s="2" t="n"/>
      <c r="B720" s="64" t="n"/>
      <c r="C720" s="2" t="n"/>
      <c r="D720" s="2" t="n"/>
      <c r="E720" s="11" t="n"/>
      <c r="F720" s="5" t="n"/>
    </row>
    <row r="721" customFormat="1" s="77">
      <c r="A721" s="2" t="n"/>
      <c r="B721" s="64" t="n"/>
      <c r="C721" s="2" t="n"/>
      <c r="D721" s="2" t="n"/>
      <c r="E721" s="11" t="n"/>
      <c r="F721" s="5" t="n"/>
    </row>
    <row r="722" customFormat="1" s="77">
      <c r="A722" s="2" t="n"/>
      <c r="B722" s="64" t="n"/>
      <c r="C722" s="2" t="n"/>
      <c r="D722" s="2" t="n"/>
      <c r="E722" s="11" t="n"/>
      <c r="F722" s="5" t="n"/>
    </row>
    <row r="723" customFormat="1" s="77">
      <c r="A723" s="2" t="n"/>
      <c r="B723" s="64" t="n"/>
      <c r="C723" s="2" t="n"/>
      <c r="D723" s="2" t="n"/>
      <c r="E723" s="11" t="n"/>
      <c r="F723" s="5" t="n"/>
    </row>
    <row r="724" customFormat="1" s="77">
      <c r="A724" s="2" t="n"/>
      <c r="B724" s="64" t="n"/>
      <c r="C724" s="2" t="n"/>
      <c r="D724" s="2" t="n"/>
      <c r="E724" s="11" t="n"/>
      <c r="F724" s="5" t="n"/>
    </row>
    <row r="725" customFormat="1" s="77">
      <c r="A725" s="2" t="n"/>
      <c r="B725" s="64" t="n"/>
      <c r="C725" s="2" t="n"/>
      <c r="D725" s="2" t="n"/>
      <c r="E725" s="11" t="n"/>
      <c r="F725" s="5" t="n"/>
    </row>
    <row r="726" customFormat="1" s="77">
      <c r="A726" s="2" t="n"/>
      <c r="B726" s="64" t="n"/>
      <c r="C726" s="2" t="n"/>
      <c r="D726" s="2" t="n"/>
      <c r="E726" s="11" t="n"/>
      <c r="F726" s="5" t="n"/>
    </row>
    <row r="727" customFormat="1" s="77">
      <c r="A727" s="2" t="n"/>
      <c r="B727" s="64" t="n"/>
      <c r="C727" s="2" t="n"/>
      <c r="D727" s="2" t="n"/>
      <c r="E727" s="11" t="n"/>
      <c r="F727" s="5" t="n"/>
    </row>
    <row r="728" customFormat="1" s="77">
      <c r="A728" s="2" t="n"/>
      <c r="B728" s="64" t="n"/>
      <c r="C728" s="2" t="n"/>
      <c r="D728" s="2" t="n"/>
      <c r="E728" s="11" t="n"/>
      <c r="F728" s="5" t="n"/>
    </row>
    <row r="729" customFormat="1" s="77">
      <c r="A729" s="2" t="n"/>
      <c r="B729" s="64" t="n"/>
      <c r="C729" s="2" t="n"/>
      <c r="D729" s="2" t="n"/>
      <c r="E729" s="11" t="n"/>
      <c r="F729" s="5" t="n"/>
    </row>
    <row r="730" customFormat="1" s="77">
      <c r="A730" s="2" t="n"/>
      <c r="B730" s="64" t="n"/>
      <c r="C730" s="2" t="n"/>
      <c r="D730" s="2" t="n"/>
      <c r="E730" s="11" t="n"/>
      <c r="F730" s="5" t="n"/>
    </row>
    <row r="731" customFormat="1" s="77">
      <c r="A731" s="2" t="n"/>
      <c r="B731" s="64" t="n"/>
      <c r="C731" s="2" t="n"/>
      <c r="D731" s="2" t="n"/>
      <c r="E731" s="11" t="n"/>
      <c r="F731" s="5" t="n"/>
    </row>
    <row r="732" customFormat="1" s="77">
      <c r="A732" s="2" t="n"/>
      <c r="B732" s="64" t="n"/>
      <c r="C732" s="2" t="n"/>
      <c r="D732" s="2" t="n"/>
      <c r="E732" s="11" t="n"/>
      <c r="F732" s="5" t="n"/>
    </row>
    <row r="733" customFormat="1" s="77">
      <c r="A733" s="2" t="n"/>
      <c r="B733" s="64" t="n"/>
      <c r="C733" s="2" t="n"/>
      <c r="D733" s="2" t="n"/>
      <c r="E733" s="11" t="n"/>
      <c r="F733" s="5" t="n"/>
    </row>
    <row r="734" customFormat="1" s="77">
      <c r="A734" s="2" t="n"/>
      <c r="B734" s="64" t="n"/>
      <c r="C734" s="2" t="n"/>
      <c r="D734" s="2" t="n"/>
      <c r="E734" s="11" t="n"/>
      <c r="F734" s="5" t="n"/>
    </row>
    <row r="735" customFormat="1" s="77">
      <c r="A735" s="2" t="n"/>
      <c r="B735" s="64" t="n"/>
      <c r="C735" s="2" t="n"/>
      <c r="D735" s="2" t="n"/>
      <c r="E735" s="11" t="n"/>
      <c r="F735" s="5" t="n"/>
    </row>
    <row r="736" customFormat="1" s="77">
      <c r="A736" s="2" t="n"/>
      <c r="B736" s="64" t="n"/>
      <c r="C736" s="2" t="n"/>
      <c r="D736" s="2" t="n"/>
      <c r="E736" s="11" t="n"/>
      <c r="F736" s="5" t="n"/>
    </row>
    <row r="737" customFormat="1" s="77">
      <c r="A737" s="2" t="n"/>
      <c r="B737" s="64" t="n"/>
      <c r="C737" s="2" t="n"/>
      <c r="D737" s="2" t="n"/>
      <c r="E737" s="11" t="n"/>
      <c r="F737" s="5" t="n"/>
    </row>
    <row r="738" customFormat="1" s="77">
      <c r="A738" s="2" t="n"/>
      <c r="B738" s="64" t="n"/>
      <c r="C738" s="2" t="n"/>
      <c r="D738" s="2" t="n"/>
      <c r="E738" s="11" t="n"/>
      <c r="F738" s="5" t="n"/>
    </row>
    <row r="739" customFormat="1" s="77">
      <c r="A739" s="2" t="n"/>
      <c r="B739" s="64" t="n"/>
      <c r="C739" s="2" t="n"/>
      <c r="D739" s="2" t="n"/>
      <c r="E739" s="11" t="n"/>
      <c r="F739" s="5" t="n"/>
    </row>
    <row r="740" customFormat="1" s="77">
      <c r="A740" s="2" t="n"/>
      <c r="B740" s="64" t="n"/>
      <c r="C740" s="2" t="n"/>
      <c r="D740" s="2" t="n"/>
      <c r="E740" s="11" t="n"/>
      <c r="F740" s="5" t="n"/>
    </row>
    <row r="741" customFormat="1" s="77">
      <c r="A741" s="2" t="n"/>
      <c r="B741" s="64" t="n"/>
      <c r="C741" s="2" t="n"/>
      <c r="D741" s="2" t="n"/>
      <c r="E741" s="11" t="n"/>
      <c r="F741" s="5" t="n"/>
    </row>
    <row r="742" customFormat="1" s="77">
      <c r="A742" s="2" t="n"/>
      <c r="B742" s="64" t="n"/>
      <c r="C742" s="2" t="n"/>
      <c r="D742" s="2" t="n"/>
      <c r="E742" s="11" t="n"/>
      <c r="F742" s="5" t="n"/>
    </row>
    <row r="743" customFormat="1" s="77">
      <c r="A743" s="2" t="n"/>
      <c r="B743" s="64" t="n"/>
      <c r="C743" s="2" t="n"/>
      <c r="D743" s="2" t="n"/>
      <c r="E743" s="11" t="n"/>
      <c r="F743" s="5" t="n"/>
    </row>
    <row r="744" customFormat="1" s="77">
      <c r="A744" s="2" t="n"/>
      <c r="B744" s="64" t="n"/>
      <c r="C744" s="2" t="n"/>
      <c r="D744" s="2" t="n"/>
      <c r="E744" s="11" t="n"/>
      <c r="F744" s="5" t="n"/>
    </row>
    <row r="745" customFormat="1" s="77">
      <c r="A745" s="2" t="n"/>
      <c r="B745" s="64" t="n"/>
      <c r="C745" s="2" t="n"/>
      <c r="D745" s="2" t="n"/>
      <c r="E745" s="11" t="n"/>
      <c r="F745" s="5" t="n"/>
    </row>
    <row r="746" customFormat="1" s="77">
      <c r="A746" s="2" t="n"/>
      <c r="B746" s="64" t="n"/>
      <c r="C746" s="2" t="n"/>
      <c r="D746" s="2" t="n"/>
      <c r="E746" s="11" t="n"/>
      <c r="F746" s="5" t="n"/>
    </row>
    <row r="747" customFormat="1" s="77">
      <c r="A747" s="2" t="n"/>
      <c r="B747" s="64" t="n"/>
      <c r="C747" s="2" t="n"/>
      <c r="D747" s="2" t="n"/>
      <c r="E747" s="11" t="n"/>
      <c r="F747" s="5" t="n"/>
    </row>
    <row r="748" customFormat="1" s="77">
      <c r="A748" s="2" t="n"/>
      <c r="B748" s="64" t="n"/>
      <c r="C748" s="2" t="n"/>
      <c r="D748" s="2" t="n"/>
      <c r="E748" s="11" t="n"/>
      <c r="F748" s="5" t="n"/>
    </row>
    <row r="749" customFormat="1" s="77">
      <c r="A749" s="2" t="n"/>
      <c r="B749" s="64" t="n"/>
      <c r="C749" s="2" t="n"/>
      <c r="D749" s="2" t="n"/>
      <c r="E749" s="11" t="n"/>
      <c r="F749" s="5" t="n"/>
    </row>
    <row r="750" customFormat="1" s="77">
      <c r="A750" s="2" t="n"/>
      <c r="B750" s="64" t="n"/>
      <c r="C750" s="2" t="n"/>
      <c r="D750" s="2" t="n"/>
      <c r="E750" s="11" t="n"/>
      <c r="F750" s="5" t="n"/>
    </row>
    <row r="751" customFormat="1" s="77">
      <c r="A751" s="2" t="n"/>
      <c r="B751" s="64" t="n"/>
      <c r="C751" s="2" t="n"/>
      <c r="D751" s="2" t="n"/>
      <c r="E751" s="11" t="n"/>
      <c r="F751" s="5" t="n"/>
    </row>
    <row r="752" customFormat="1" s="77">
      <c r="A752" s="2" t="n"/>
      <c r="B752" s="64" t="n"/>
      <c r="C752" s="2" t="n"/>
      <c r="D752" s="2" t="n"/>
      <c r="E752" s="11" t="n"/>
      <c r="F752" s="5" t="n"/>
    </row>
    <row r="753" customFormat="1" s="77">
      <c r="A753" s="2" t="n"/>
      <c r="B753" s="64" t="n"/>
      <c r="C753" s="2" t="n"/>
      <c r="D753" s="2" t="n"/>
      <c r="E753" s="11" t="n"/>
      <c r="F753" s="5" t="n"/>
    </row>
    <row r="754" customFormat="1" s="77">
      <c r="A754" s="2" t="n"/>
      <c r="B754" s="64" t="n"/>
      <c r="C754" s="2" t="n"/>
      <c r="D754" s="2" t="n"/>
      <c r="E754" s="11" t="n"/>
      <c r="F754" s="5" t="n"/>
    </row>
    <row r="755" customFormat="1" s="77">
      <c r="A755" s="2" t="n"/>
      <c r="B755" s="64" t="n"/>
      <c r="C755" s="2" t="n"/>
      <c r="D755" s="2" t="n"/>
      <c r="E755" s="11" t="n"/>
      <c r="F755" s="5" t="n"/>
    </row>
    <row r="756" customFormat="1" s="77">
      <c r="A756" s="2" t="n"/>
      <c r="B756" s="64" t="n"/>
      <c r="C756" s="2" t="n"/>
      <c r="D756" s="2" t="n"/>
      <c r="E756" s="11" t="n"/>
      <c r="F756" s="5" t="n"/>
    </row>
    <row r="757" customFormat="1" s="77">
      <c r="A757" s="2" t="n"/>
      <c r="B757" s="64" t="n"/>
      <c r="C757" s="2" t="n"/>
      <c r="D757" s="2" t="n"/>
      <c r="E757" s="11" t="n"/>
      <c r="F757" s="5" t="n"/>
    </row>
    <row r="758" customFormat="1" s="77">
      <c r="A758" s="2" t="n"/>
      <c r="B758" s="64" t="n"/>
      <c r="C758" s="2" t="n"/>
      <c r="D758" s="2" t="n"/>
      <c r="E758" s="11" t="n"/>
      <c r="F758" s="5" t="n"/>
    </row>
    <row r="759" customFormat="1" s="77">
      <c r="A759" s="2" t="n"/>
      <c r="B759" s="64" t="n"/>
      <c r="C759" s="2" t="n"/>
      <c r="D759" s="2" t="n"/>
      <c r="E759" s="11" t="n"/>
      <c r="F759" s="5" t="n"/>
    </row>
    <row r="760" customFormat="1" s="77">
      <c r="A760" s="2" t="n"/>
      <c r="B760" s="64" t="n"/>
      <c r="C760" s="2" t="n"/>
      <c r="D760" s="2" t="n"/>
      <c r="E760" s="11" t="n"/>
      <c r="F760" s="5" t="n"/>
    </row>
    <row r="761" customFormat="1" s="77">
      <c r="A761" s="2" t="n"/>
      <c r="B761" s="64" t="n"/>
      <c r="C761" s="2" t="n"/>
      <c r="D761" s="2" t="n"/>
      <c r="E761" s="11" t="n"/>
      <c r="F761" s="5" t="n"/>
    </row>
    <row r="762" customFormat="1" s="77">
      <c r="A762" s="2" t="n"/>
      <c r="B762" s="64" t="n"/>
      <c r="C762" s="2" t="n"/>
      <c r="D762" s="2" t="n"/>
      <c r="E762" s="11" t="n"/>
      <c r="F762" s="5" t="n"/>
    </row>
    <row r="763" customFormat="1" s="77">
      <c r="A763" s="2" t="n"/>
      <c r="B763" s="64" t="n"/>
      <c r="C763" s="2" t="n"/>
      <c r="D763" s="2" t="n"/>
      <c r="E763" s="11" t="n"/>
      <c r="F763" s="5" t="n"/>
    </row>
    <row r="764" customFormat="1" s="77">
      <c r="A764" s="2" t="n"/>
      <c r="B764" s="64" t="n"/>
      <c r="C764" s="2" t="n"/>
      <c r="D764" s="2" t="n"/>
      <c r="E764" s="11" t="n"/>
      <c r="F764" s="5" t="n"/>
    </row>
    <row r="765" customFormat="1" s="77">
      <c r="A765" s="2" t="n"/>
      <c r="B765" s="64" t="n"/>
      <c r="C765" s="2" t="n"/>
      <c r="D765" s="2" t="n"/>
      <c r="E765" s="11" t="n"/>
      <c r="F765" s="5" t="n"/>
    </row>
    <row r="766" customFormat="1" s="77">
      <c r="A766" s="2" t="n"/>
      <c r="B766" s="64" t="n"/>
      <c r="C766" s="2" t="n"/>
      <c r="D766" s="2" t="n"/>
      <c r="E766" s="11" t="n"/>
      <c r="F766" s="5" t="n"/>
    </row>
    <row r="767" customFormat="1" s="77">
      <c r="A767" s="2" t="n"/>
      <c r="B767" s="64" t="n"/>
      <c r="C767" s="2" t="n"/>
      <c r="D767" s="2" t="n"/>
      <c r="E767" s="11" t="n"/>
      <c r="F767" s="5" t="n"/>
    </row>
    <row r="768" customFormat="1" s="77">
      <c r="A768" s="2" t="n"/>
      <c r="B768" s="64" t="n"/>
      <c r="C768" s="2" t="n"/>
      <c r="D768" s="2" t="n"/>
      <c r="E768" s="11" t="n"/>
      <c r="F768" s="5" t="n"/>
    </row>
    <row r="769" customFormat="1" s="77">
      <c r="A769" s="2" t="n"/>
      <c r="B769" s="64" t="n"/>
      <c r="C769" s="2" t="n"/>
      <c r="D769" s="2" t="n"/>
      <c r="E769" s="11" t="n"/>
      <c r="F769" s="5" t="n"/>
    </row>
    <row r="770" customFormat="1" s="77">
      <c r="A770" s="2" t="n"/>
      <c r="B770" s="64" t="n"/>
      <c r="C770" s="2" t="n"/>
      <c r="D770" s="2" t="n"/>
      <c r="E770" s="11" t="n"/>
      <c r="F770" s="5" t="n"/>
    </row>
    <row r="771" customFormat="1" s="77">
      <c r="A771" s="2" t="n"/>
      <c r="B771" s="64" t="n"/>
      <c r="C771" s="2" t="n"/>
      <c r="D771" s="2" t="n"/>
      <c r="E771" s="11" t="n"/>
      <c r="F771" s="5" t="n"/>
    </row>
    <row r="772" customFormat="1" s="77">
      <c r="A772" s="2" t="n"/>
      <c r="B772" s="64" t="n"/>
      <c r="C772" s="2" t="n"/>
      <c r="D772" s="2" t="n"/>
      <c r="E772" s="11" t="n"/>
      <c r="F772" s="5" t="n"/>
    </row>
    <row r="773" customFormat="1" s="77">
      <c r="A773" s="2" t="n"/>
      <c r="B773" s="64" t="n"/>
      <c r="C773" s="2" t="n"/>
      <c r="D773" s="2" t="n"/>
      <c r="E773" s="11" t="n"/>
      <c r="F773" s="5" t="n"/>
    </row>
    <row r="774" customFormat="1" s="77">
      <c r="A774" s="2" t="n"/>
      <c r="B774" s="64" t="n"/>
      <c r="C774" s="2" t="n"/>
      <c r="D774" s="2" t="n"/>
      <c r="E774" s="11" t="n"/>
      <c r="F774" s="5" t="n"/>
    </row>
    <row r="775" customFormat="1" s="77">
      <c r="A775" s="2" t="n"/>
      <c r="B775" s="64" t="n"/>
      <c r="C775" s="2" t="n"/>
      <c r="D775" s="2" t="n"/>
      <c r="E775" s="11" t="n"/>
      <c r="F775" s="5" t="n"/>
    </row>
    <row r="776" customFormat="1" s="77">
      <c r="A776" s="2" t="n"/>
      <c r="B776" s="64" t="n"/>
      <c r="C776" s="2" t="n"/>
      <c r="D776" s="2" t="n"/>
      <c r="E776" s="11" t="n"/>
      <c r="F776" s="5" t="n"/>
    </row>
    <row r="777" customFormat="1" s="77">
      <c r="A777" s="2" t="n"/>
      <c r="B777" s="64" t="n"/>
      <c r="C777" s="2" t="n"/>
      <c r="D777" s="2" t="n"/>
      <c r="E777" s="11" t="n"/>
      <c r="F777" s="5" t="n"/>
    </row>
    <row r="778" customFormat="1" s="77">
      <c r="A778" s="2" t="n"/>
      <c r="B778" s="64" t="n"/>
      <c r="C778" s="2" t="n"/>
      <c r="D778" s="2" t="n"/>
      <c r="E778" s="11" t="n"/>
      <c r="F778" s="5" t="n"/>
    </row>
    <row r="779" customFormat="1" s="77">
      <c r="A779" s="2" t="n"/>
      <c r="B779" s="64" t="n"/>
      <c r="C779" s="2" t="n"/>
      <c r="D779" s="2" t="n"/>
      <c r="E779" s="11" t="n"/>
      <c r="F779" s="5" t="n"/>
    </row>
    <row r="780" customFormat="1" s="77">
      <c r="A780" s="2" t="n"/>
      <c r="B780" s="64" t="n"/>
      <c r="C780" s="2" t="n"/>
      <c r="D780" s="2" t="n"/>
      <c r="E780" s="11" t="n"/>
      <c r="F780" s="5" t="n"/>
    </row>
    <row r="781" customFormat="1" s="77">
      <c r="A781" s="2" t="n"/>
      <c r="B781" s="64" t="n"/>
      <c r="C781" s="2" t="n"/>
      <c r="D781" s="2" t="n"/>
      <c r="E781" s="11" t="n"/>
      <c r="F781" s="5" t="n"/>
    </row>
    <row r="782" customFormat="1" s="77">
      <c r="A782" s="2" t="n"/>
      <c r="B782" s="64" t="n"/>
      <c r="C782" s="2" t="n"/>
      <c r="D782" s="2" t="n"/>
      <c r="E782" s="11" t="n"/>
      <c r="F782" s="5" t="n"/>
    </row>
    <row r="783" customFormat="1" s="77">
      <c r="A783" s="2" t="n"/>
      <c r="B783" s="64" t="n"/>
      <c r="C783" s="2" t="n"/>
      <c r="D783" s="2" t="n"/>
      <c r="E783" s="11" t="n"/>
      <c r="F783" s="5" t="n"/>
    </row>
    <row r="784" customFormat="1" s="77">
      <c r="A784" s="2" t="n"/>
      <c r="B784" s="64" t="n"/>
      <c r="C784" s="2" t="n"/>
      <c r="D784" s="2" t="n"/>
      <c r="E784" s="11" t="n"/>
      <c r="F784" s="5" t="n"/>
    </row>
    <row r="785" customFormat="1" s="77">
      <c r="A785" s="2" t="n"/>
      <c r="B785" s="64" t="n"/>
      <c r="C785" s="2" t="n"/>
      <c r="D785" s="2" t="n"/>
      <c r="E785" s="11" t="n"/>
      <c r="F785" s="5" t="n"/>
    </row>
    <row r="786" customFormat="1" s="77">
      <c r="A786" s="2" t="n"/>
      <c r="B786" s="64" t="n"/>
      <c r="C786" s="2" t="n"/>
      <c r="D786" s="2" t="n"/>
      <c r="E786" s="11" t="n"/>
      <c r="F786" s="5" t="n"/>
    </row>
    <row r="787" customFormat="1" s="77">
      <c r="A787" s="2" t="n"/>
      <c r="B787" s="64" t="n"/>
      <c r="C787" s="2" t="n"/>
      <c r="D787" s="2" t="n"/>
      <c r="E787" s="11" t="n"/>
      <c r="F787" s="5" t="n"/>
    </row>
    <row r="788" customFormat="1" s="77">
      <c r="A788" s="2" t="n"/>
      <c r="B788" s="64" t="n"/>
      <c r="C788" s="2" t="n"/>
      <c r="D788" s="2" t="n"/>
      <c r="E788" s="11" t="n"/>
      <c r="F788" s="5" t="n"/>
    </row>
    <row r="789" customFormat="1" s="77">
      <c r="A789" s="2" t="n"/>
      <c r="B789" s="64" t="n"/>
      <c r="C789" s="2" t="n"/>
      <c r="D789" s="2" t="n"/>
      <c r="E789" s="11" t="n"/>
      <c r="F789" s="5" t="n"/>
    </row>
    <row r="790" customFormat="1" s="77">
      <c r="A790" s="2" t="n"/>
      <c r="B790" s="64" t="n"/>
      <c r="C790" s="2" t="n"/>
      <c r="D790" s="2" t="n"/>
      <c r="E790" s="11" t="n"/>
      <c r="F790" s="5" t="n"/>
    </row>
    <row r="791" customFormat="1" s="77">
      <c r="A791" s="2" t="n"/>
      <c r="B791" s="64" t="n"/>
      <c r="C791" s="2" t="n"/>
      <c r="D791" s="2" t="n"/>
      <c r="E791" s="11" t="n"/>
      <c r="F791" s="5" t="n"/>
    </row>
    <row r="792" customFormat="1" s="77">
      <c r="A792" s="2" t="n"/>
      <c r="B792" s="64" t="n"/>
      <c r="C792" s="2" t="n"/>
      <c r="D792" s="2" t="n"/>
      <c r="E792" s="11" t="n"/>
      <c r="F792" s="5" t="n"/>
    </row>
    <row r="793" customFormat="1" s="77">
      <c r="A793" s="2" t="n"/>
      <c r="B793" s="64" t="n"/>
      <c r="C793" s="2" t="n"/>
      <c r="D793" s="2" t="n"/>
      <c r="E793" s="11" t="n"/>
      <c r="F793" s="5" t="n"/>
    </row>
    <row r="794" customFormat="1" s="77">
      <c r="A794" s="2" t="n"/>
      <c r="B794" s="64" t="n"/>
      <c r="C794" s="2" t="n"/>
      <c r="D794" s="2" t="n"/>
      <c r="E794" s="11" t="n"/>
      <c r="F794" s="5" t="n"/>
    </row>
    <row r="795" customFormat="1" s="77">
      <c r="A795" s="2" t="n"/>
      <c r="B795" s="64" t="n"/>
      <c r="C795" s="2" t="n"/>
      <c r="D795" s="2" t="n"/>
      <c r="E795" s="11" t="n"/>
      <c r="F795" s="5" t="n"/>
    </row>
    <row r="796" customFormat="1" s="77">
      <c r="A796" s="2" t="n"/>
      <c r="B796" s="64" t="n"/>
      <c r="C796" s="2" t="n"/>
      <c r="D796" s="2" t="n"/>
      <c r="E796" s="11" t="n"/>
      <c r="F796" s="5" t="n"/>
    </row>
    <row r="797" customFormat="1" s="77">
      <c r="A797" s="2" t="n"/>
      <c r="B797" s="64" t="n"/>
      <c r="C797" s="2" t="n"/>
      <c r="D797" s="2" t="n"/>
      <c r="E797" s="11" t="n"/>
      <c r="F797" s="5" t="n"/>
    </row>
    <row r="798" customFormat="1" s="77">
      <c r="A798" s="2" t="n"/>
      <c r="B798" s="64" t="n"/>
      <c r="C798" s="2" t="n"/>
      <c r="D798" s="2" t="n"/>
      <c r="E798" s="11" t="n"/>
      <c r="F798" s="5" t="n"/>
    </row>
    <row r="799" customFormat="1" s="77">
      <c r="A799" s="2" t="n"/>
      <c r="B799" s="64" t="n"/>
      <c r="C799" s="2" t="n"/>
      <c r="D799" s="2" t="n"/>
      <c r="E799" s="11" t="n"/>
      <c r="F799" s="5" t="n"/>
    </row>
    <row r="800" customFormat="1" s="77">
      <c r="A800" s="2" t="n"/>
      <c r="B800" s="64" t="n"/>
      <c r="C800" s="2" t="n"/>
      <c r="D800" s="2" t="n"/>
      <c r="E800" s="11" t="n"/>
      <c r="F800" s="5" t="n"/>
    </row>
    <row r="801" customFormat="1" s="77">
      <c r="A801" s="2" t="n"/>
      <c r="B801" s="64" t="n"/>
      <c r="C801" s="2" t="n"/>
      <c r="D801" s="2" t="n"/>
      <c r="E801" s="11" t="n"/>
      <c r="F801" s="5" t="n"/>
    </row>
    <row r="802" customFormat="1" s="77">
      <c r="A802" s="2" t="n"/>
      <c r="B802" s="64" t="n"/>
      <c r="C802" s="2" t="n"/>
      <c r="D802" s="2" t="n"/>
      <c r="E802" s="11" t="n"/>
      <c r="F802" s="5" t="n"/>
    </row>
    <row r="803" customFormat="1" s="77">
      <c r="A803" s="2" t="n"/>
      <c r="B803" s="64" t="n"/>
      <c r="C803" s="2" t="n"/>
      <c r="D803" s="2" t="n"/>
      <c r="E803" s="11" t="n"/>
      <c r="F803" s="5" t="n"/>
    </row>
    <row r="804" customFormat="1" s="77">
      <c r="A804" s="2" t="n"/>
      <c r="B804" s="64" t="n"/>
      <c r="C804" s="2" t="n"/>
      <c r="D804" s="2" t="n"/>
      <c r="E804" s="11" t="n"/>
      <c r="F804" s="5" t="n"/>
    </row>
    <row r="805" customFormat="1" s="77">
      <c r="A805" s="2" t="n"/>
      <c r="B805" s="64" t="n"/>
      <c r="C805" s="2" t="n"/>
      <c r="D805" s="2" t="n"/>
      <c r="E805" s="11" t="n"/>
      <c r="F805" s="5" t="n"/>
    </row>
    <row r="806" customFormat="1" s="77">
      <c r="A806" s="2" t="n"/>
      <c r="B806" s="64" t="n"/>
      <c r="C806" s="2" t="n"/>
      <c r="D806" s="2" t="n"/>
      <c r="E806" s="11" t="n"/>
      <c r="F806" s="5" t="n"/>
    </row>
    <row r="807" customFormat="1" s="77">
      <c r="A807" s="2" t="n"/>
      <c r="B807" s="64" t="n"/>
      <c r="C807" s="2" t="n"/>
      <c r="D807" s="2" t="n"/>
      <c r="E807" s="11" t="n"/>
      <c r="F807" s="5" t="n"/>
    </row>
    <row r="808" customFormat="1" s="77">
      <c r="A808" s="2" t="n"/>
      <c r="B808" s="64" t="n"/>
      <c r="C808" s="2" t="n"/>
      <c r="D808" s="2" t="n"/>
      <c r="E808" s="11" t="n"/>
      <c r="F808" s="5" t="n"/>
    </row>
    <row r="809" customFormat="1" s="77">
      <c r="A809" s="2" t="n"/>
      <c r="B809" s="64" t="n"/>
      <c r="C809" s="2" t="n"/>
      <c r="D809" s="2" t="n"/>
      <c r="E809" s="11" t="n"/>
      <c r="F809" s="5" t="n"/>
    </row>
    <row r="810" customFormat="1" s="77">
      <c r="A810" s="2" t="n"/>
      <c r="B810" s="64" t="n"/>
      <c r="C810" s="2" t="n"/>
      <c r="D810" s="2" t="n"/>
      <c r="E810" s="11" t="n"/>
      <c r="F810" s="5" t="n"/>
    </row>
    <row r="811" customFormat="1" s="77">
      <c r="A811" s="2" t="n"/>
      <c r="B811" s="64" t="n"/>
      <c r="C811" s="2" t="n"/>
      <c r="D811" s="2" t="n"/>
      <c r="E811" s="11" t="n"/>
      <c r="F811" s="5" t="n"/>
    </row>
    <row r="812" customFormat="1" s="77">
      <c r="A812" s="2" t="n"/>
      <c r="B812" s="64" t="n"/>
      <c r="C812" s="2" t="n"/>
      <c r="D812" s="2" t="n"/>
      <c r="E812" s="11" t="n"/>
      <c r="F812" s="5" t="n"/>
    </row>
    <row r="813" customFormat="1" s="77">
      <c r="A813" s="2" t="n"/>
      <c r="B813" s="64" t="n"/>
      <c r="C813" s="2" t="n"/>
      <c r="D813" s="2" t="n"/>
      <c r="E813" s="11" t="n"/>
      <c r="F813" s="5" t="n"/>
    </row>
    <row r="814" customFormat="1" s="77">
      <c r="A814" s="2" t="n"/>
      <c r="B814" s="64" t="n"/>
      <c r="C814" s="2" t="n"/>
      <c r="D814" s="2" t="n"/>
      <c r="E814" s="11" t="n"/>
      <c r="F814" s="5" t="n"/>
    </row>
    <row r="815" customFormat="1" s="77">
      <c r="A815" s="2" t="n"/>
      <c r="B815" s="64" t="n"/>
      <c r="C815" s="2" t="n"/>
      <c r="D815" s="2" t="n"/>
      <c r="E815" s="11" t="n"/>
      <c r="F815" s="5" t="n"/>
    </row>
    <row r="816" customFormat="1" s="77">
      <c r="A816" s="2" t="n"/>
      <c r="B816" s="64" t="n"/>
      <c r="C816" s="2" t="n"/>
      <c r="D816" s="2" t="n"/>
      <c r="E816" s="11" t="n"/>
      <c r="F816" s="5" t="n"/>
    </row>
    <row r="817" customFormat="1" s="77">
      <c r="A817" s="2" t="n"/>
      <c r="B817" s="64" t="n"/>
      <c r="C817" s="2" t="n"/>
      <c r="D817" s="2" t="n"/>
      <c r="E817" s="11" t="n"/>
      <c r="F817" s="5" t="n"/>
    </row>
    <row r="818" customFormat="1" s="77">
      <c r="A818" s="2" t="n"/>
      <c r="B818" s="64" t="n"/>
      <c r="C818" s="2" t="n"/>
      <c r="D818" s="2" t="n"/>
      <c r="E818" s="11" t="n"/>
      <c r="F818" s="5" t="n"/>
    </row>
    <row r="819" customFormat="1" s="77">
      <c r="A819" s="2" t="n"/>
      <c r="B819" s="64" t="n"/>
      <c r="C819" s="2" t="n"/>
      <c r="D819" s="2" t="n"/>
      <c r="E819" s="11" t="n"/>
      <c r="F819" s="5" t="n"/>
    </row>
    <row r="820" customFormat="1" s="77">
      <c r="A820" s="2" t="n"/>
      <c r="B820" s="64" t="n"/>
      <c r="C820" s="2" t="n"/>
      <c r="D820" s="2" t="n"/>
      <c r="E820" s="11" t="n"/>
      <c r="F820" s="5" t="n"/>
    </row>
    <row r="821" customFormat="1" s="77">
      <c r="A821" s="2" t="n"/>
      <c r="B821" s="64" t="n"/>
      <c r="C821" s="2" t="n"/>
      <c r="D821" s="2" t="n"/>
      <c r="E821" s="11" t="n"/>
      <c r="F821" s="5" t="n"/>
    </row>
    <row r="822" customFormat="1" s="77">
      <c r="A822" s="2" t="n"/>
      <c r="B822" s="64" t="n"/>
      <c r="C822" s="2" t="n"/>
      <c r="D822" s="2" t="n"/>
      <c r="E822" s="11" t="n"/>
      <c r="F822" s="5" t="n"/>
    </row>
    <row r="823" customFormat="1" s="77">
      <c r="A823" s="2" t="n"/>
      <c r="B823" s="64" t="n"/>
      <c r="C823" s="2" t="n"/>
      <c r="D823" s="2" t="n"/>
      <c r="E823" s="11" t="n"/>
      <c r="F823" s="5" t="n"/>
    </row>
    <row r="824" customFormat="1" s="77">
      <c r="A824" s="2" t="n"/>
      <c r="B824" s="64" t="n"/>
      <c r="C824" s="2" t="n"/>
      <c r="D824" s="2" t="n"/>
      <c r="E824" s="11" t="n"/>
      <c r="F824" s="5" t="n"/>
    </row>
    <row r="825" customFormat="1" s="77">
      <c r="A825" s="2" t="n"/>
      <c r="B825" s="64" t="n"/>
      <c r="C825" s="2" t="n"/>
      <c r="D825" s="2" t="n"/>
      <c r="E825" s="11" t="n"/>
      <c r="F825" s="5" t="n"/>
    </row>
    <row r="826" customFormat="1" s="77">
      <c r="A826" s="2" t="n"/>
      <c r="B826" s="64" t="n"/>
      <c r="C826" s="2" t="n"/>
      <c r="D826" s="2" t="n"/>
      <c r="E826" s="11" t="n"/>
      <c r="F826" s="5" t="n"/>
    </row>
    <row r="827" customFormat="1" s="77">
      <c r="A827" s="2" t="n"/>
      <c r="B827" s="64" t="n"/>
      <c r="C827" s="2" t="n"/>
      <c r="D827" s="2" t="n"/>
      <c r="E827" s="11" t="n"/>
      <c r="F827" s="5" t="n"/>
    </row>
    <row r="828" customFormat="1" s="77">
      <c r="A828" s="2" t="n"/>
      <c r="B828" s="64" t="n"/>
      <c r="C828" s="2" t="n"/>
      <c r="D828" s="2" t="n"/>
      <c r="E828" s="11" t="n"/>
      <c r="F828" s="5" t="n"/>
    </row>
    <row r="829" customFormat="1" s="77">
      <c r="A829" s="2" t="n"/>
      <c r="B829" s="64" t="n"/>
      <c r="C829" s="2" t="n"/>
      <c r="D829" s="2" t="n"/>
      <c r="E829" s="11" t="n"/>
      <c r="F829" s="5" t="n"/>
    </row>
    <row r="830" customFormat="1" s="77">
      <c r="A830" s="2" t="n"/>
      <c r="B830" s="64" t="n"/>
      <c r="C830" s="2" t="n"/>
      <c r="D830" s="2" t="n"/>
      <c r="E830" s="11" t="n"/>
      <c r="F830" s="5" t="n"/>
    </row>
    <row r="831" customFormat="1" s="77">
      <c r="A831" s="2" t="n"/>
      <c r="B831" s="64" t="n"/>
      <c r="C831" s="2" t="n"/>
      <c r="D831" s="2" t="n"/>
      <c r="E831" s="11" t="n"/>
      <c r="F831" s="5" t="n"/>
    </row>
    <row r="832" customFormat="1" s="77">
      <c r="A832" s="2" t="n"/>
      <c r="B832" s="64" t="n"/>
      <c r="C832" s="2" t="n"/>
      <c r="D832" s="2" t="n"/>
      <c r="E832" s="11" t="n"/>
      <c r="F832" s="5" t="n"/>
    </row>
    <row r="833" customFormat="1" s="77">
      <c r="A833" s="2" t="n"/>
      <c r="B833" s="64" t="n"/>
      <c r="C833" s="2" t="n"/>
      <c r="D833" s="2" t="n"/>
      <c r="E833" s="11" t="n"/>
      <c r="F833" s="5" t="n"/>
    </row>
    <row r="834" customFormat="1" s="77">
      <c r="A834" s="2" t="n"/>
      <c r="B834" s="64" t="n"/>
      <c r="C834" s="2" t="n"/>
      <c r="D834" s="2" t="n"/>
      <c r="E834" s="11" t="n"/>
      <c r="F834" s="5" t="n"/>
    </row>
    <row r="835" customFormat="1" s="77">
      <c r="A835" s="2" t="n"/>
      <c r="B835" s="64" t="n"/>
      <c r="C835" s="2" t="n"/>
      <c r="D835" s="2" t="n"/>
      <c r="E835" s="11" t="n"/>
      <c r="F835" s="5" t="n"/>
    </row>
    <row r="836" customFormat="1" s="77">
      <c r="A836" s="2" t="n"/>
      <c r="B836" s="64" t="n"/>
      <c r="C836" s="2" t="n"/>
      <c r="D836" s="2" t="n"/>
      <c r="E836" s="11" t="n"/>
      <c r="F836" s="5" t="n"/>
    </row>
    <row r="837" customFormat="1" s="77">
      <c r="A837" s="2" t="n"/>
      <c r="B837" s="64" t="n"/>
      <c r="C837" s="2" t="n"/>
      <c r="D837" s="2" t="n"/>
      <c r="E837" s="11" t="n"/>
      <c r="F837" s="5" t="n"/>
    </row>
    <row r="838" customFormat="1" s="77">
      <c r="A838" s="2" t="n"/>
      <c r="B838" s="64" t="n"/>
      <c r="C838" s="2" t="n"/>
      <c r="D838" s="2" t="n"/>
      <c r="E838" s="11" t="n"/>
      <c r="F838" s="5" t="n"/>
    </row>
    <row r="839" customFormat="1" s="77">
      <c r="A839" s="2" t="n"/>
      <c r="B839" s="64" t="n"/>
      <c r="C839" s="2" t="n"/>
      <c r="D839" s="2" t="n"/>
      <c r="E839" s="11" t="n"/>
      <c r="F839" s="5" t="n"/>
    </row>
    <row r="840" customFormat="1" s="77">
      <c r="A840" s="2" t="n"/>
      <c r="B840" s="64" t="n"/>
      <c r="C840" s="2" t="n"/>
      <c r="D840" s="2" t="n"/>
      <c r="E840" s="11" t="n"/>
      <c r="F840" s="5" t="n"/>
    </row>
    <row r="841" customFormat="1" s="77">
      <c r="A841" s="2" t="n"/>
      <c r="B841" s="64" t="n"/>
      <c r="C841" s="2" t="n"/>
      <c r="D841" s="2" t="n"/>
      <c r="E841" s="11" t="n"/>
      <c r="F841" s="5" t="n"/>
    </row>
    <row r="842" customFormat="1" s="77">
      <c r="A842" s="2" t="n"/>
      <c r="B842" s="64" t="n"/>
      <c r="C842" s="2" t="n"/>
      <c r="D842" s="2" t="n"/>
      <c r="E842" s="11" t="n"/>
      <c r="F842" s="5" t="n"/>
    </row>
    <row r="843" customFormat="1" s="77">
      <c r="A843" s="2" t="n"/>
      <c r="B843" s="64" t="n"/>
      <c r="C843" s="2" t="n"/>
      <c r="D843" s="2" t="n"/>
      <c r="E843" s="11" t="n"/>
      <c r="F843" s="5" t="n"/>
    </row>
    <row r="844" customFormat="1" s="77">
      <c r="A844" s="2" t="n"/>
      <c r="B844" s="64" t="n"/>
      <c r="C844" s="2" t="n"/>
      <c r="D844" s="2" t="n"/>
      <c r="E844" s="11" t="n"/>
      <c r="F844" s="5" t="n"/>
    </row>
    <row r="845" customFormat="1" s="77">
      <c r="A845" s="2" t="n"/>
      <c r="B845" s="64" t="n"/>
      <c r="C845" s="2" t="n"/>
      <c r="D845" s="2" t="n"/>
      <c r="E845" s="11" t="n"/>
      <c r="F845" s="5" t="n"/>
    </row>
    <row r="846" customFormat="1" s="77">
      <c r="A846" s="2" t="n"/>
      <c r="B846" s="64" t="n"/>
      <c r="C846" s="2" t="n"/>
      <c r="D846" s="2" t="n"/>
      <c r="E846" s="11" t="n"/>
      <c r="F846" s="5" t="n"/>
    </row>
    <row r="847" customFormat="1" s="77">
      <c r="A847" s="2" t="n"/>
      <c r="B847" s="64" t="n"/>
      <c r="C847" s="2" t="n"/>
      <c r="D847" s="2" t="n"/>
      <c r="E847" s="11" t="n"/>
      <c r="F847" s="5" t="n"/>
    </row>
    <row r="848" customFormat="1" s="77">
      <c r="A848" s="2" t="n"/>
      <c r="B848" s="64" t="n"/>
      <c r="C848" s="2" t="n"/>
      <c r="D848" s="2" t="n"/>
      <c r="E848" s="11" t="n"/>
      <c r="F848" s="5" t="n"/>
    </row>
    <row r="849" customFormat="1" s="77">
      <c r="A849" s="2" t="n"/>
      <c r="B849" s="64" t="n"/>
      <c r="C849" s="2" t="n"/>
      <c r="D849" s="2" t="n"/>
      <c r="E849" s="11" t="n"/>
      <c r="F849" s="5" t="n"/>
    </row>
    <row r="850" customFormat="1" s="77">
      <c r="A850" s="2" t="n"/>
      <c r="B850" s="64" t="n"/>
      <c r="C850" s="2" t="n"/>
      <c r="D850" s="2" t="n"/>
      <c r="E850" s="11" t="n"/>
      <c r="F850" s="5" t="n"/>
    </row>
    <row r="851" customFormat="1" s="77">
      <c r="A851" s="2" t="n"/>
      <c r="B851" s="64" t="n"/>
      <c r="C851" s="2" t="n"/>
      <c r="D851" s="2" t="n"/>
      <c r="E851" s="11" t="n"/>
      <c r="F851" s="5" t="n"/>
    </row>
    <row r="852" customFormat="1" s="77">
      <c r="A852" s="2" t="n"/>
      <c r="B852" s="64" t="n"/>
      <c r="C852" s="2" t="n"/>
      <c r="D852" s="2" t="n"/>
      <c r="E852" s="11" t="n"/>
      <c r="F852" s="5" t="n"/>
    </row>
    <row r="853" customFormat="1" s="77">
      <c r="A853" s="2" t="n"/>
      <c r="B853" s="64" t="n"/>
      <c r="C853" s="2" t="n"/>
      <c r="D853" s="2" t="n"/>
      <c r="E853" s="11" t="n"/>
      <c r="F853" s="5" t="n"/>
    </row>
    <row r="854" customFormat="1" s="77">
      <c r="A854" s="2" t="n"/>
      <c r="B854" s="64" t="n"/>
      <c r="C854" s="2" t="n"/>
      <c r="D854" s="2" t="n"/>
      <c r="E854" s="11" t="n"/>
      <c r="F854" s="5" t="n"/>
    </row>
    <row r="855" customFormat="1" s="77">
      <c r="A855" s="2" t="n"/>
      <c r="B855" s="64" t="n"/>
      <c r="C855" s="2" t="n"/>
      <c r="D855" s="2" t="n"/>
      <c r="E855" s="11" t="n"/>
      <c r="F855" s="5" t="n"/>
    </row>
    <row r="856" customFormat="1" s="77">
      <c r="A856" s="2" t="n"/>
      <c r="B856" s="64" t="n"/>
      <c r="C856" s="2" t="n"/>
      <c r="D856" s="2" t="n"/>
      <c r="E856" s="11" t="n"/>
      <c r="F856" s="5" t="n"/>
    </row>
    <row r="857" customFormat="1" s="77">
      <c r="A857" s="2" t="n"/>
      <c r="B857" s="64" t="n"/>
      <c r="C857" s="2" t="n"/>
      <c r="D857" s="2" t="n"/>
      <c r="E857" s="11" t="n"/>
      <c r="F857" s="5" t="n"/>
    </row>
    <row r="858" customFormat="1" s="77">
      <c r="A858" s="2" t="n"/>
      <c r="B858" s="64" t="n"/>
      <c r="C858" s="2" t="n"/>
      <c r="D858" s="2" t="n"/>
      <c r="E858" s="11" t="n"/>
      <c r="F858" s="5" t="n"/>
    </row>
    <row r="859" customFormat="1" s="77">
      <c r="A859" s="2" t="n"/>
      <c r="B859" s="64" t="n"/>
      <c r="C859" s="2" t="n"/>
      <c r="D859" s="2" t="n"/>
      <c r="E859" s="11" t="n"/>
      <c r="F859" s="5" t="n"/>
    </row>
    <row r="860" customFormat="1" s="77">
      <c r="A860" s="2" t="n"/>
      <c r="B860" s="64" t="n"/>
      <c r="C860" s="2" t="n"/>
      <c r="D860" s="2" t="n"/>
      <c r="E860" s="11" t="n"/>
      <c r="F860" s="5" t="n"/>
    </row>
    <row r="861" customFormat="1" s="77">
      <c r="A861" s="2" t="n"/>
      <c r="B861" s="64" t="n"/>
      <c r="C861" s="2" t="n"/>
      <c r="D861" s="2" t="n"/>
      <c r="E861" s="11" t="n"/>
      <c r="F861" s="5" t="n"/>
    </row>
    <row r="862" customFormat="1" s="77">
      <c r="A862" s="2" t="n"/>
      <c r="B862" s="64" t="n"/>
      <c r="C862" s="2" t="n"/>
      <c r="D862" s="2" t="n"/>
      <c r="E862" s="11" t="n"/>
      <c r="F862" s="5" t="n"/>
    </row>
    <row r="863" customFormat="1" s="77">
      <c r="A863" s="2" t="n"/>
      <c r="B863" s="64" t="n"/>
      <c r="C863" s="2" t="n"/>
      <c r="D863" s="2" t="n"/>
      <c r="E863" s="11" t="n"/>
      <c r="F863" s="5" t="n"/>
    </row>
    <row r="864" customFormat="1" s="77">
      <c r="A864" s="2" t="n"/>
      <c r="B864" s="64" t="n"/>
      <c r="C864" s="2" t="n"/>
      <c r="D864" s="2" t="n"/>
      <c r="E864" s="11" t="n"/>
      <c r="F864" s="5" t="n"/>
    </row>
    <row r="865" customFormat="1" s="77">
      <c r="A865" s="2" t="n"/>
      <c r="B865" s="64" t="n"/>
      <c r="C865" s="2" t="n"/>
      <c r="D865" s="2" t="n"/>
      <c r="E865" s="11" t="n"/>
      <c r="F865" s="5" t="n"/>
    </row>
    <row r="866" customFormat="1" s="77">
      <c r="A866" s="2" t="n"/>
      <c r="B866" s="64" t="n"/>
      <c r="C866" s="2" t="n"/>
      <c r="D866" s="2" t="n"/>
      <c r="E866" s="11" t="n"/>
      <c r="F866" s="5" t="n"/>
    </row>
    <row r="867" customFormat="1" s="77">
      <c r="A867" s="2" t="n"/>
      <c r="B867" s="64" t="n"/>
      <c r="C867" s="2" t="n"/>
      <c r="D867" s="2" t="n"/>
      <c r="E867" s="11" t="n"/>
      <c r="F867" s="5" t="n"/>
    </row>
    <row r="868" customFormat="1" s="77">
      <c r="A868" s="2" t="n"/>
      <c r="B868" s="64" t="n"/>
      <c r="C868" s="2" t="n"/>
      <c r="D868" s="2" t="n"/>
      <c r="E868" s="11" t="n"/>
      <c r="F868" s="5" t="n"/>
    </row>
    <row r="869" customFormat="1" s="77">
      <c r="A869" s="2" t="n"/>
      <c r="B869" s="64" t="n"/>
      <c r="C869" s="2" t="n"/>
      <c r="D869" s="2" t="n"/>
      <c r="E869" s="11" t="n"/>
      <c r="F869" s="5" t="n"/>
    </row>
    <row r="870" customFormat="1" s="77">
      <c r="A870" s="2" t="n"/>
      <c r="B870" s="64" t="n"/>
      <c r="C870" s="2" t="n"/>
      <c r="D870" s="2" t="n"/>
      <c r="E870" s="11" t="n"/>
      <c r="F870" s="5" t="n"/>
    </row>
    <row r="871" customFormat="1" s="77">
      <c r="A871" s="2" t="n"/>
      <c r="B871" s="64" t="n"/>
      <c r="C871" s="2" t="n"/>
      <c r="D871" s="2" t="n"/>
      <c r="E871" s="11" t="n"/>
      <c r="F871" s="5" t="n"/>
    </row>
    <row r="872" customFormat="1" s="77">
      <c r="A872" s="2" t="n"/>
      <c r="B872" s="64" t="n"/>
      <c r="C872" s="2" t="n"/>
      <c r="D872" s="2" t="n"/>
      <c r="E872" s="11" t="n"/>
      <c r="F872" s="5" t="n"/>
    </row>
    <row r="873" customFormat="1" s="77">
      <c r="A873" s="2" t="n"/>
      <c r="B873" s="64" t="n"/>
      <c r="C873" s="2" t="n"/>
      <c r="D873" s="2" t="n"/>
      <c r="E873" s="11" t="n"/>
      <c r="F873" s="5" t="n"/>
    </row>
    <row r="874" customFormat="1" s="77">
      <c r="A874" s="2" t="n"/>
      <c r="B874" s="64" t="n"/>
      <c r="C874" s="2" t="n"/>
      <c r="D874" s="2" t="n"/>
      <c r="E874" s="11" t="n"/>
      <c r="F874" s="5" t="n"/>
    </row>
    <row r="875" customFormat="1" s="77">
      <c r="A875" s="2" t="n"/>
      <c r="B875" s="64" t="n"/>
      <c r="C875" s="2" t="n"/>
      <c r="D875" s="2" t="n"/>
      <c r="E875" s="11" t="n"/>
      <c r="F875" s="5" t="n"/>
    </row>
    <row r="876" customFormat="1" s="77">
      <c r="A876" s="2" t="n"/>
      <c r="B876" s="64" t="n"/>
      <c r="C876" s="2" t="n"/>
      <c r="D876" s="2" t="n"/>
      <c r="E876" s="11" t="n"/>
      <c r="F876" s="5" t="n"/>
    </row>
    <row r="877" customFormat="1" s="77">
      <c r="A877" s="2" t="n"/>
      <c r="B877" s="64" t="n"/>
      <c r="C877" s="2" t="n"/>
      <c r="D877" s="2" t="n"/>
      <c r="E877" s="11" t="n"/>
      <c r="F877" s="5" t="n"/>
    </row>
    <row r="878" customFormat="1" s="77">
      <c r="A878" s="2" t="n"/>
      <c r="B878" s="64" t="n"/>
      <c r="C878" s="2" t="n"/>
      <c r="D878" s="2" t="n"/>
      <c r="E878" s="11" t="n"/>
      <c r="F878" s="5" t="n"/>
    </row>
    <row r="879" customFormat="1" s="77">
      <c r="A879" s="2" t="n"/>
      <c r="B879" s="64" t="n"/>
      <c r="C879" s="2" t="n"/>
      <c r="D879" s="2" t="n"/>
      <c r="E879" s="11" t="n"/>
      <c r="F879" s="5" t="n"/>
    </row>
    <row r="880" customFormat="1" s="77">
      <c r="A880" s="2" t="n"/>
      <c r="B880" s="64" t="n"/>
      <c r="C880" s="2" t="n"/>
      <c r="D880" s="2" t="n"/>
      <c r="E880" s="11" t="n"/>
      <c r="F880" s="5" t="n"/>
    </row>
    <row r="881" customFormat="1" s="77">
      <c r="A881" s="2" t="n"/>
      <c r="B881" s="64" t="n"/>
      <c r="C881" s="2" t="n"/>
      <c r="D881" s="2" t="n"/>
      <c r="E881" s="11" t="n"/>
      <c r="F881" s="5" t="n"/>
    </row>
    <row r="882" customFormat="1" s="77">
      <c r="A882" s="2" t="n"/>
      <c r="B882" s="64" t="n"/>
      <c r="C882" s="2" t="n"/>
      <c r="D882" s="2" t="n"/>
      <c r="E882" s="11" t="n"/>
      <c r="F882" s="5" t="n"/>
    </row>
    <row r="883" customFormat="1" s="77">
      <c r="A883" s="2" t="n"/>
      <c r="B883" s="64" t="n"/>
      <c r="C883" s="2" t="n"/>
      <c r="D883" s="2" t="n"/>
      <c r="E883" s="11" t="n"/>
      <c r="F883" s="5" t="n"/>
    </row>
    <row r="884" customFormat="1" s="77">
      <c r="A884" s="2" t="n"/>
      <c r="B884" s="64" t="n"/>
      <c r="C884" s="2" t="n"/>
      <c r="D884" s="2" t="n"/>
      <c r="E884" s="11" t="n"/>
      <c r="F884" s="5" t="n"/>
    </row>
    <row r="885" customFormat="1" s="77">
      <c r="A885" s="2" t="n"/>
      <c r="B885" s="64" t="n"/>
      <c r="C885" s="2" t="n"/>
      <c r="D885" s="2" t="n"/>
      <c r="E885" s="11" t="n"/>
      <c r="F885" s="5" t="n"/>
    </row>
    <row r="886" customFormat="1" s="77">
      <c r="A886" s="2" t="n"/>
      <c r="B886" s="64" t="n"/>
      <c r="C886" s="2" t="n"/>
      <c r="D886" s="2" t="n"/>
      <c r="E886" s="11" t="n"/>
      <c r="F886" s="5" t="n"/>
    </row>
    <row r="887" customFormat="1" s="77">
      <c r="A887" s="2" t="n"/>
      <c r="B887" s="64" t="n"/>
      <c r="C887" s="2" t="n"/>
      <c r="D887" s="2" t="n"/>
      <c r="E887" s="11" t="n"/>
      <c r="F887" s="5" t="n"/>
    </row>
    <row r="888" customFormat="1" s="77">
      <c r="A888" s="2" t="n"/>
      <c r="B888" s="64" t="n"/>
      <c r="C888" s="2" t="n"/>
      <c r="D888" s="2" t="n"/>
      <c r="E888" s="11" t="n"/>
      <c r="F888" s="5" t="n"/>
    </row>
    <row r="889" customFormat="1" s="77">
      <c r="A889" s="2" t="n"/>
      <c r="B889" s="64" t="n"/>
      <c r="C889" s="2" t="n"/>
      <c r="D889" s="2" t="n"/>
      <c r="E889" s="11" t="n"/>
      <c r="F889" s="5" t="n"/>
    </row>
    <row r="890" customFormat="1" s="77">
      <c r="A890" s="2" t="n"/>
      <c r="B890" s="64" t="n"/>
      <c r="C890" s="2" t="n"/>
      <c r="D890" s="2" t="n"/>
      <c r="E890" s="11" t="n"/>
      <c r="F890" s="5" t="n"/>
    </row>
    <row r="891" customFormat="1" s="77">
      <c r="A891" s="2" t="n"/>
      <c r="B891" s="64" t="n"/>
      <c r="C891" s="2" t="n"/>
      <c r="D891" s="2" t="n"/>
      <c r="E891" s="11" t="n"/>
      <c r="F891" s="5" t="n"/>
    </row>
    <row r="892" customFormat="1" s="77">
      <c r="A892" s="2" t="n"/>
      <c r="B892" s="64" t="n"/>
      <c r="C892" s="2" t="n"/>
      <c r="D892" s="2" t="n"/>
      <c r="E892" s="11" t="n"/>
      <c r="F892" s="5" t="n"/>
    </row>
    <row r="893" customFormat="1" s="77">
      <c r="A893" s="2" t="n"/>
      <c r="B893" s="64" t="n"/>
      <c r="C893" s="2" t="n"/>
      <c r="D893" s="2" t="n"/>
      <c r="E893" s="11" t="n"/>
      <c r="F893" s="5" t="n"/>
    </row>
    <row r="894" customFormat="1" s="77">
      <c r="A894" s="2" t="n"/>
      <c r="B894" s="64" t="n"/>
      <c r="C894" s="2" t="n"/>
      <c r="D894" s="2" t="n"/>
      <c r="E894" s="11" t="n"/>
      <c r="F894" s="5" t="n"/>
    </row>
    <row r="895" customFormat="1" s="77">
      <c r="A895" s="2" t="n"/>
      <c r="B895" s="64" t="n"/>
      <c r="C895" s="2" t="n"/>
      <c r="D895" s="2" t="n"/>
      <c r="E895" s="11" t="n"/>
      <c r="F895" s="5" t="n"/>
    </row>
    <row r="896" customFormat="1" s="77">
      <c r="A896" s="2" t="n"/>
      <c r="B896" s="64" t="n"/>
      <c r="C896" s="2" t="n"/>
      <c r="D896" s="2" t="n"/>
      <c r="E896" s="11" t="n"/>
      <c r="F896" s="5" t="n"/>
    </row>
    <row r="897" customFormat="1" s="77">
      <c r="A897" s="2" t="n"/>
      <c r="B897" s="64" t="n"/>
      <c r="C897" s="2" t="n"/>
      <c r="D897" s="2" t="n"/>
      <c r="E897" s="11" t="n"/>
      <c r="F897" s="5" t="n"/>
    </row>
    <row r="898" customFormat="1" s="77">
      <c r="A898" s="2" t="n"/>
      <c r="B898" s="64" t="n"/>
      <c r="C898" s="2" t="n"/>
      <c r="D898" s="2" t="n"/>
      <c r="E898" s="11" t="n"/>
      <c r="F898" s="5" t="n"/>
    </row>
    <row r="899" customFormat="1" s="77">
      <c r="A899" s="2" t="n"/>
      <c r="B899" s="64" t="n"/>
      <c r="C899" s="2" t="n"/>
      <c r="D899" s="2" t="n"/>
      <c r="E899" s="11" t="n"/>
      <c r="F899" s="5" t="n"/>
    </row>
    <row r="900" customFormat="1" s="77">
      <c r="A900" s="2" t="n"/>
      <c r="B900" s="64" t="n"/>
      <c r="C900" s="2" t="n"/>
      <c r="D900" s="2" t="n"/>
      <c r="E900" s="11" t="n"/>
      <c r="F900" s="5" t="n"/>
    </row>
    <row r="901" customFormat="1" s="77">
      <c r="A901" s="2" t="n"/>
      <c r="B901" s="64" t="n"/>
      <c r="C901" s="2" t="n"/>
      <c r="D901" s="2" t="n"/>
      <c r="E901" s="11" t="n"/>
      <c r="F901" s="5" t="n"/>
    </row>
    <row r="902" customFormat="1" s="77">
      <c r="A902" s="2" t="n"/>
      <c r="B902" s="64" t="n"/>
      <c r="C902" s="2" t="n"/>
      <c r="D902" s="2" t="n"/>
      <c r="E902" s="11" t="n"/>
      <c r="F902" s="5" t="n"/>
    </row>
    <row r="903" customFormat="1" s="77">
      <c r="A903" s="2" t="n"/>
      <c r="B903" s="64" t="n"/>
      <c r="C903" s="2" t="n"/>
      <c r="D903" s="2" t="n"/>
      <c r="E903" s="11" t="n"/>
      <c r="F903" s="5" t="n"/>
    </row>
    <row r="904" customFormat="1" s="77">
      <c r="A904" s="2" t="n"/>
      <c r="B904" s="64" t="n"/>
      <c r="C904" s="2" t="n"/>
      <c r="D904" s="2" t="n"/>
      <c r="E904" s="11" t="n"/>
      <c r="F904" s="5" t="n"/>
    </row>
    <row r="905" customFormat="1" s="77">
      <c r="A905" s="2" t="n"/>
      <c r="B905" s="64" t="n"/>
      <c r="C905" s="2" t="n"/>
      <c r="D905" s="2" t="n"/>
      <c r="E905" s="11" t="n"/>
      <c r="F905" s="5" t="n"/>
    </row>
    <row r="906" customFormat="1" s="77">
      <c r="A906" s="2" t="n"/>
      <c r="B906" s="64" t="n"/>
      <c r="C906" s="2" t="n"/>
      <c r="D906" s="2" t="n"/>
      <c r="E906" s="11" t="n"/>
      <c r="F906" s="5" t="n"/>
    </row>
    <row r="907" customFormat="1" s="77">
      <c r="A907" s="2" t="n"/>
      <c r="B907" s="64" t="n"/>
      <c r="C907" s="2" t="n"/>
      <c r="D907" s="2" t="n"/>
      <c r="E907" s="11" t="n"/>
      <c r="F907" s="5" t="n"/>
    </row>
    <row r="908" customFormat="1" s="77">
      <c r="A908" s="2" t="n"/>
      <c r="B908" s="64" t="n"/>
      <c r="C908" s="2" t="n"/>
      <c r="D908" s="2" t="n"/>
      <c r="E908" s="11" t="n"/>
      <c r="F908" s="5" t="n"/>
    </row>
    <row r="909" customFormat="1" s="77">
      <c r="A909" s="2" t="n"/>
      <c r="B909" s="64" t="n"/>
      <c r="C909" s="2" t="n"/>
      <c r="D909" s="2" t="n"/>
      <c r="E909" s="11" t="n"/>
      <c r="F909" s="5" t="n"/>
    </row>
    <row r="910" customFormat="1" s="77">
      <c r="A910" s="2" t="n"/>
      <c r="B910" s="64" t="n"/>
      <c r="C910" s="2" t="n"/>
      <c r="D910" s="2" t="n"/>
      <c r="E910" s="11" t="n"/>
      <c r="F910" s="5" t="n"/>
    </row>
    <row r="911" customFormat="1" s="77">
      <c r="A911" s="2" t="n"/>
      <c r="B911" s="64" t="n"/>
      <c r="C911" s="2" t="n"/>
      <c r="D911" s="2" t="n"/>
      <c r="E911" s="11" t="n"/>
      <c r="F911" s="5" t="n"/>
    </row>
    <row r="912" customFormat="1" s="77">
      <c r="A912" s="2" t="n"/>
      <c r="B912" s="64" t="n"/>
      <c r="C912" s="2" t="n"/>
      <c r="D912" s="2" t="n"/>
      <c r="E912" s="11" t="n"/>
      <c r="F912" s="5" t="n"/>
    </row>
    <row r="913" customFormat="1" s="77">
      <c r="A913" s="2" t="n"/>
      <c r="B913" s="64" t="n"/>
      <c r="C913" s="2" t="n"/>
      <c r="D913" s="2" t="n"/>
      <c r="E913" s="11" t="n"/>
      <c r="F913" s="5" t="n"/>
    </row>
    <row r="914" customFormat="1" s="77">
      <c r="A914" s="2" t="n"/>
      <c r="B914" s="64" t="n"/>
      <c r="C914" s="2" t="n"/>
      <c r="D914" s="2" t="n"/>
      <c r="E914" s="11" t="n"/>
      <c r="F914" s="5" t="n"/>
    </row>
    <row r="915" customFormat="1" s="77">
      <c r="A915" s="2" t="n"/>
      <c r="B915" s="64" t="n"/>
      <c r="C915" s="2" t="n"/>
      <c r="D915" s="2" t="n"/>
      <c r="E915" s="11" t="n"/>
      <c r="F915" s="5" t="n"/>
    </row>
    <row r="916" customFormat="1" s="77">
      <c r="A916" s="2" t="n"/>
      <c r="B916" s="64" t="n"/>
      <c r="C916" s="2" t="n"/>
      <c r="D916" s="2" t="n"/>
      <c r="E916" s="11" t="n"/>
      <c r="F916" s="5" t="n"/>
    </row>
    <row r="917" customFormat="1" s="77">
      <c r="A917" s="2" t="n"/>
      <c r="B917" s="64" t="n"/>
      <c r="C917" s="2" t="n"/>
      <c r="D917" s="2" t="n"/>
      <c r="E917" s="11" t="n"/>
      <c r="F917" s="5" t="n"/>
    </row>
    <row r="918" customFormat="1" s="77">
      <c r="A918" s="2" t="n"/>
      <c r="B918" s="64" t="n"/>
      <c r="C918" s="2" t="n"/>
      <c r="D918" s="2" t="n"/>
      <c r="E918" s="11" t="n"/>
      <c r="F918" s="5" t="n"/>
    </row>
    <row r="919" customFormat="1" s="77">
      <c r="A919" s="2" t="n"/>
      <c r="B919" s="64" t="n"/>
      <c r="C919" s="2" t="n"/>
      <c r="D919" s="2" t="n"/>
      <c r="E919" s="11" t="n"/>
      <c r="F919" s="5" t="n"/>
    </row>
    <row r="920" customFormat="1" s="77">
      <c r="A920" s="2" t="n"/>
      <c r="B920" s="64" t="n"/>
      <c r="C920" s="2" t="n"/>
      <c r="D920" s="2" t="n"/>
      <c r="E920" s="11" t="n"/>
      <c r="F920" s="5" t="n"/>
    </row>
    <row r="921" customFormat="1" s="77">
      <c r="A921" s="2" t="n"/>
      <c r="B921" s="64" t="n"/>
      <c r="C921" s="2" t="n"/>
      <c r="D921" s="2" t="n"/>
      <c r="E921" s="11" t="n"/>
      <c r="F921" s="5" t="n"/>
    </row>
    <row r="922" customFormat="1" s="77">
      <c r="A922" s="2" t="n"/>
      <c r="B922" s="64" t="n"/>
      <c r="C922" s="2" t="n"/>
      <c r="D922" s="2" t="n"/>
      <c r="E922" s="11" t="n"/>
      <c r="F922" s="5" t="n"/>
    </row>
    <row r="923" customFormat="1" s="77">
      <c r="A923" s="2" t="n"/>
      <c r="B923" s="64" t="n"/>
      <c r="C923" s="2" t="n"/>
      <c r="D923" s="2" t="n"/>
      <c r="E923" s="11" t="n"/>
      <c r="F923" s="5" t="n"/>
    </row>
    <row r="924" customFormat="1" s="77">
      <c r="A924" s="2" t="n"/>
      <c r="B924" s="64" t="n"/>
      <c r="C924" s="2" t="n"/>
      <c r="D924" s="2" t="n"/>
      <c r="E924" s="11" t="n"/>
      <c r="F924" s="5" t="n"/>
    </row>
    <row r="925" customFormat="1" s="77">
      <c r="A925" s="2" t="n"/>
      <c r="B925" s="64" t="n"/>
      <c r="C925" s="2" t="n"/>
      <c r="D925" s="2" t="n"/>
      <c r="E925" s="11" t="n"/>
      <c r="F925" s="5" t="n"/>
    </row>
    <row r="926" customFormat="1" s="77">
      <c r="A926" s="2" t="n"/>
      <c r="B926" s="64" t="n"/>
      <c r="C926" s="2" t="n"/>
      <c r="D926" s="2" t="n"/>
      <c r="E926" s="11" t="n"/>
      <c r="F926" s="5" t="n"/>
    </row>
    <row r="927" customFormat="1" s="77">
      <c r="A927" s="2" t="n"/>
      <c r="B927" s="64" t="n"/>
      <c r="C927" s="2" t="n"/>
      <c r="D927" s="2" t="n"/>
      <c r="E927" s="11" t="n"/>
      <c r="F927" s="5" t="n"/>
    </row>
    <row r="928" customFormat="1" s="77">
      <c r="A928" s="2" t="n"/>
      <c r="B928" s="64" t="n"/>
      <c r="C928" s="2" t="n"/>
      <c r="D928" s="2" t="n"/>
      <c r="E928" s="11" t="n"/>
      <c r="F928" s="5" t="n"/>
    </row>
    <row r="929" customFormat="1" s="77">
      <c r="A929" s="2" t="n"/>
      <c r="B929" s="64" t="n"/>
      <c r="C929" s="2" t="n"/>
      <c r="D929" s="2" t="n"/>
      <c r="E929" s="11" t="n"/>
      <c r="F929" s="5" t="n"/>
    </row>
    <row r="930" customFormat="1" s="77">
      <c r="A930" s="2" t="n"/>
      <c r="B930" s="64" t="n"/>
      <c r="C930" s="2" t="n"/>
      <c r="D930" s="2" t="n"/>
      <c r="E930" s="11" t="n"/>
      <c r="F930" s="5" t="n"/>
    </row>
    <row r="931" customFormat="1" s="77">
      <c r="A931" s="2" t="n"/>
      <c r="B931" s="64" t="n"/>
      <c r="C931" s="2" t="n"/>
      <c r="D931" s="2" t="n"/>
      <c r="E931" s="11" t="n"/>
      <c r="F931" s="5" t="n"/>
    </row>
    <row r="932" customFormat="1" s="77">
      <c r="A932" s="2" t="n"/>
      <c r="B932" s="64" t="n"/>
      <c r="C932" s="2" t="n"/>
      <c r="D932" s="2" t="n"/>
      <c r="E932" s="11" t="n"/>
      <c r="F932" s="5" t="n"/>
    </row>
    <row r="933" customFormat="1" s="77">
      <c r="A933" s="2" t="n"/>
      <c r="B933" s="64" t="n"/>
      <c r="C933" s="2" t="n"/>
      <c r="D933" s="2" t="n"/>
      <c r="E933" s="11" t="n"/>
      <c r="F933" s="5" t="n"/>
    </row>
    <row r="934" customFormat="1" s="77">
      <c r="A934" s="2" t="n"/>
      <c r="B934" s="64" t="n"/>
      <c r="C934" s="2" t="n"/>
      <c r="D934" s="2" t="n"/>
      <c r="E934" s="11" t="n"/>
      <c r="F934" s="5" t="n"/>
    </row>
    <row r="935" customFormat="1" s="77">
      <c r="A935" s="2" t="n"/>
      <c r="B935" s="64" t="n"/>
      <c r="C935" s="2" t="n"/>
      <c r="D935" s="2" t="n"/>
      <c r="E935" s="11" t="n"/>
      <c r="F935" s="5" t="n"/>
    </row>
    <row r="936" customFormat="1" s="77">
      <c r="A936" s="2" t="n"/>
      <c r="B936" s="64" t="n"/>
      <c r="C936" s="2" t="n"/>
      <c r="D936" s="2" t="n"/>
      <c r="E936" s="11" t="n"/>
      <c r="F936" s="5" t="n"/>
    </row>
    <row r="937" customFormat="1" s="77">
      <c r="A937" s="2" t="n"/>
      <c r="B937" s="64" t="n"/>
      <c r="C937" s="2" t="n"/>
      <c r="D937" s="2" t="n"/>
      <c r="E937" s="11" t="n"/>
      <c r="F937" s="5" t="n"/>
    </row>
    <row r="938" customFormat="1" s="77">
      <c r="A938" s="2" t="n"/>
      <c r="B938" s="64" t="n"/>
      <c r="C938" s="2" t="n"/>
      <c r="D938" s="2" t="n"/>
      <c r="E938" s="11" t="n"/>
      <c r="F938" s="5" t="n"/>
    </row>
    <row r="939" customFormat="1" s="77">
      <c r="A939" s="2" t="n"/>
      <c r="B939" s="64" t="n"/>
      <c r="C939" s="2" t="n"/>
      <c r="D939" s="2" t="n"/>
      <c r="E939" s="11" t="n"/>
      <c r="F939" s="5" t="n"/>
    </row>
    <row r="940" customFormat="1" s="77">
      <c r="A940" s="2" t="n"/>
      <c r="B940" s="64" t="n"/>
      <c r="C940" s="2" t="n"/>
      <c r="D940" s="2" t="n"/>
      <c r="E940" s="11" t="n"/>
      <c r="F940" s="5" t="n"/>
    </row>
    <row r="941" customFormat="1" s="77">
      <c r="A941" s="2" t="n"/>
      <c r="B941" s="64" t="n"/>
      <c r="C941" s="2" t="n"/>
      <c r="D941" s="2" t="n"/>
      <c r="E941" s="11" t="n"/>
      <c r="F941" s="5" t="n"/>
    </row>
    <row r="942" customFormat="1" s="77">
      <c r="A942" s="2" t="n"/>
      <c r="B942" s="64" t="n"/>
      <c r="C942" s="2" t="n"/>
      <c r="D942" s="2" t="n"/>
      <c r="E942" s="11" t="n"/>
      <c r="F942" s="5" t="n"/>
    </row>
    <row r="943" customFormat="1" s="77">
      <c r="A943" s="2" t="n"/>
      <c r="B943" s="64" t="n"/>
      <c r="C943" s="2" t="n"/>
      <c r="D943" s="2" t="n"/>
      <c r="E943" s="11" t="n"/>
      <c r="F943" s="5" t="n"/>
    </row>
    <row r="944" customFormat="1" s="77">
      <c r="A944" s="2" t="n"/>
      <c r="B944" s="64" t="n"/>
      <c r="C944" s="2" t="n"/>
      <c r="D944" s="2" t="n"/>
      <c r="E944" s="11" t="n"/>
      <c r="F944" s="5" t="n"/>
    </row>
    <row r="945" customFormat="1" s="77">
      <c r="A945" s="2" t="n"/>
      <c r="B945" s="64" t="n"/>
      <c r="C945" s="2" t="n"/>
      <c r="D945" s="2" t="n"/>
      <c r="E945" s="11" t="n"/>
      <c r="F945" s="5" t="n"/>
    </row>
    <row r="946" customFormat="1" s="77">
      <c r="A946" s="2" t="n"/>
      <c r="B946" s="64" t="n"/>
      <c r="C946" s="2" t="n"/>
      <c r="D946" s="2" t="n"/>
      <c r="E946" s="11" t="n"/>
      <c r="F946" s="5" t="n"/>
    </row>
    <row r="947" customFormat="1" s="77">
      <c r="A947" s="2" t="n"/>
      <c r="B947" s="64" t="n"/>
      <c r="C947" s="2" t="n"/>
      <c r="D947" s="2" t="n"/>
      <c r="E947" s="11" t="n"/>
      <c r="F947" s="5" t="n"/>
    </row>
    <row r="948" customFormat="1" s="77">
      <c r="A948" s="2" t="n"/>
      <c r="B948" s="64" t="n"/>
      <c r="C948" s="2" t="n"/>
      <c r="D948" s="2" t="n"/>
      <c r="E948" s="11" t="n"/>
      <c r="F948" s="5" t="n"/>
    </row>
    <row r="949" customFormat="1" s="77">
      <c r="A949" s="2" t="n"/>
      <c r="B949" s="64" t="n"/>
      <c r="C949" s="2" t="n"/>
      <c r="D949" s="2" t="n"/>
      <c r="E949" s="11" t="n"/>
      <c r="F949" s="5" t="n"/>
    </row>
    <row r="950" customFormat="1" s="77">
      <c r="A950" s="2" t="n"/>
      <c r="B950" s="64" t="n"/>
      <c r="C950" s="2" t="n"/>
      <c r="D950" s="2" t="n"/>
      <c r="E950" s="11" t="n"/>
      <c r="F950" s="5" t="n"/>
    </row>
    <row r="951" customFormat="1" s="77">
      <c r="A951" s="2" t="n"/>
      <c r="B951" s="64" t="n"/>
      <c r="C951" s="2" t="n"/>
      <c r="D951" s="2" t="n"/>
      <c r="E951" s="11" t="n"/>
      <c r="F951" s="5" t="n"/>
    </row>
    <row r="952" customFormat="1" s="77">
      <c r="A952" s="2" t="n"/>
      <c r="B952" s="64" t="n"/>
      <c r="C952" s="2" t="n"/>
      <c r="D952" s="2" t="n"/>
      <c r="E952" s="11" t="n"/>
      <c r="F952" s="5" t="n"/>
    </row>
    <row r="953" customFormat="1" s="77">
      <c r="A953" s="2" t="n"/>
      <c r="B953" s="64" t="n"/>
      <c r="C953" s="2" t="n"/>
      <c r="D953" s="2" t="n"/>
      <c r="E953" s="11" t="n"/>
      <c r="F953" s="5" t="n"/>
    </row>
    <row r="954" customFormat="1" s="77">
      <c r="A954" s="2" t="n"/>
      <c r="B954" s="64" t="n"/>
      <c r="C954" s="2" t="n"/>
      <c r="D954" s="2" t="n"/>
      <c r="E954" s="11" t="n"/>
      <c r="F954" s="5" t="n"/>
    </row>
    <row r="955" customFormat="1" s="77">
      <c r="A955" s="2" t="n"/>
      <c r="B955" s="64" t="n"/>
      <c r="C955" s="2" t="n"/>
      <c r="D955" s="2" t="n"/>
      <c r="E955" s="11" t="n"/>
      <c r="F955" s="5" t="n"/>
    </row>
    <row r="956" customFormat="1" s="77">
      <c r="A956" s="2" t="n"/>
      <c r="B956" s="64" t="n"/>
      <c r="C956" s="2" t="n"/>
      <c r="D956" s="2" t="n"/>
      <c r="E956" s="11" t="n"/>
      <c r="F956" s="5" t="n"/>
    </row>
    <row r="957" customFormat="1" s="77">
      <c r="A957" s="2" t="n"/>
      <c r="B957" s="64" t="n"/>
      <c r="C957" s="2" t="n"/>
      <c r="D957" s="2" t="n"/>
      <c r="E957" s="11" t="n"/>
      <c r="F957" s="5" t="n"/>
    </row>
    <row r="958" customFormat="1" s="77">
      <c r="A958" s="2" t="n"/>
      <c r="B958" s="64" t="n"/>
      <c r="C958" s="2" t="n"/>
      <c r="D958" s="2" t="n"/>
      <c r="E958" s="11" t="n"/>
      <c r="F958" s="5" t="n"/>
    </row>
    <row r="959" customFormat="1" s="77">
      <c r="A959" s="2" t="n"/>
      <c r="B959" s="64" t="n"/>
      <c r="C959" s="2" t="n"/>
      <c r="D959" s="2" t="n"/>
      <c r="E959" s="11" t="n"/>
      <c r="F959" s="5" t="n"/>
    </row>
    <row r="960" customFormat="1" s="77">
      <c r="A960" s="2" t="n"/>
      <c r="B960" s="64" t="n"/>
      <c r="C960" s="2" t="n"/>
      <c r="D960" s="2" t="n"/>
      <c r="E960" s="11" t="n"/>
      <c r="F960" s="5" t="n"/>
    </row>
    <row r="961" customFormat="1" s="77">
      <c r="A961" s="2" t="n"/>
      <c r="B961" s="64" t="n"/>
      <c r="C961" s="2" t="n"/>
      <c r="D961" s="2" t="n"/>
      <c r="E961" s="11" t="n"/>
      <c r="F961" s="5" t="n"/>
    </row>
    <row r="962" customFormat="1" s="77">
      <c r="A962" s="2" t="n"/>
      <c r="B962" s="64" t="n"/>
      <c r="C962" s="2" t="n"/>
      <c r="D962" s="2" t="n"/>
      <c r="E962" s="11" t="n"/>
      <c r="F962" s="5" t="n"/>
    </row>
    <row r="963" customFormat="1" s="77">
      <c r="A963" s="2" t="n"/>
      <c r="B963" s="64" t="n"/>
      <c r="C963" s="2" t="n"/>
      <c r="D963" s="2" t="n"/>
      <c r="E963" s="11" t="n"/>
      <c r="F963" s="5" t="n"/>
    </row>
    <row r="964" customFormat="1" s="77">
      <c r="A964" s="2" t="n"/>
      <c r="B964" s="64" t="n"/>
      <c r="C964" s="2" t="n"/>
      <c r="D964" s="2" t="n"/>
      <c r="E964" s="11" t="n"/>
      <c r="F964" s="5" t="n"/>
    </row>
    <row r="965" customFormat="1" s="77">
      <c r="A965" s="2" t="n"/>
      <c r="B965" s="64" t="n"/>
      <c r="C965" s="2" t="n"/>
      <c r="D965" s="2" t="n"/>
      <c r="E965" s="11" t="n"/>
      <c r="F965" s="5" t="n"/>
    </row>
    <row r="966" customFormat="1" s="77">
      <c r="A966" s="2" t="n"/>
      <c r="B966" s="64" t="n"/>
      <c r="C966" s="2" t="n"/>
      <c r="D966" s="2" t="n"/>
      <c r="E966" s="11" t="n"/>
      <c r="F966" s="5" t="n"/>
    </row>
    <row r="967" customFormat="1" s="77">
      <c r="A967" s="2" t="n"/>
      <c r="B967" s="64" t="n"/>
      <c r="C967" s="2" t="n"/>
      <c r="D967" s="2" t="n"/>
      <c r="E967" s="11" t="n"/>
      <c r="F967" s="5" t="n"/>
    </row>
    <row r="968" customFormat="1" s="77">
      <c r="A968" s="2" t="n"/>
      <c r="B968" s="64" t="n"/>
      <c r="C968" s="2" t="n"/>
      <c r="D968" s="2" t="n"/>
      <c r="E968" s="11" t="n"/>
      <c r="F968" s="5" t="n"/>
    </row>
    <row r="969" customFormat="1" s="77">
      <c r="A969" s="2" t="n"/>
      <c r="B969" s="64" t="n"/>
      <c r="C969" s="2" t="n"/>
      <c r="D969" s="2" t="n"/>
      <c r="E969" s="11" t="n"/>
      <c r="F969" s="5" t="n"/>
    </row>
    <row r="970" customFormat="1" s="77">
      <c r="A970" s="2" t="n"/>
      <c r="B970" s="64" t="n"/>
      <c r="C970" s="2" t="n"/>
      <c r="D970" s="2" t="n"/>
      <c r="E970" s="11" t="n"/>
      <c r="F970" s="5" t="n"/>
    </row>
    <row r="971" customFormat="1" s="77">
      <c r="A971" s="2" t="n"/>
      <c r="B971" s="64" t="n"/>
      <c r="C971" s="2" t="n"/>
      <c r="D971" s="2" t="n"/>
      <c r="E971" s="11" t="n"/>
      <c r="F971" s="5" t="n"/>
    </row>
    <row r="972" customFormat="1" s="77">
      <c r="A972" s="2" t="n"/>
      <c r="B972" s="64" t="n"/>
      <c r="C972" s="2" t="n"/>
      <c r="D972" s="2" t="n"/>
      <c r="E972" s="11" t="n"/>
      <c r="F972" s="5" t="n"/>
    </row>
    <row r="973" customFormat="1" s="77">
      <c r="A973" s="2" t="n"/>
      <c r="B973" s="64" t="n"/>
      <c r="C973" s="2" t="n"/>
      <c r="D973" s="2" t="n"/>
      <c r="E973" s="11" t="n"/>
      <c r="F973" s="5" t="n"/>
    </row>
    <row r="974" customFormat="1" s="77">
      <c r="A974" s="2" t="n"/>
      <c r="B974" s="64" t="n"/>
      <c r="C974" s="2" t="n"/>
      <c r="D974" s="2" t="n"/>
      <c r="E974" s="11" t="n"/>
      <c r="F974" s="5" t="n"/>
    </row>
    <row r="975" customFormat="1" s="77">
      <c r="A975" s="2" t="n"/>
      <c r="B975" s="64" t="n"/>
      <c r="C975" s="2" t="n"/>
      <c r="D975" s="2" t="n"/>
      <c r="E975" s="11" t="n"/>
      <c r="F975" s="5" t="n"/>
    </row>
    <row r="976" customFormat="1" s="77">
      <c r="A976" s="2" t="n"/>
      <c r="B976" s="64" t="n"/>
      <c r="C976" s="2" t="n"/>
      <c r="D976" s="2" t="n"/>
      <c r="E976" s="11" t="n"/>
      <c r="F976" s="5" t="n"/>
    </row>
    <row r="977" customFormat="1" s="77">
      <c r="A977" s="2" t="n"/>
      <c r="B977" s="64" t="n"/>
      <c r="C977" s="2" t="n"/>
      <c r="D977" s="2" t="n"/>
      <c r="E977" s="11" t="n"/>
      <c r="F977" s="5" t="n"/>
    </row>
    <row r="978" customFormat="1" s="77">
      <c r="A978" s="2" t="n"/>
      <c r="B978" s="64" t="n"/>
      <c r="C978" s="2" t="n"/>
      <c r="D978" s="2" t="n"/>
      <c r="E978" s="11" t="n"/>
      <c r="F978" s="5" t="n"/>
    </row>
    <row r="979" customFormat="1" s="77">
      <c r="A979" s="2" t="n"/>
      <c r="B979" s="64" t="n"/>
      <c r="C979" s="2" t="n"/>
      <c r="D979" s="2" t="n"/>
      <c r="E979" s="11" t="n"/>
      <c r="F979" s="5" t="n"/>
    </row>
    <row r="980" customFormat="1" s="77">
      <c r="A980" s="2" t="n"/>
      <c r="B980" s="64" t="n"/>
      <c r="C980" s="2" t="n"/>
      <c r="D980" s="2" t="n"/>
      <c r="E980" s="11" t="n"/>
      <c r="F980" s="5" t="n"/>
    </row>
    <row r="981" customFormat="1" s="77">
      <c r="A981" s="2" t="n"/>
      <c r="B981" s="64" t="n"/>
      <c r="C981" s="2" t="n"/>
      <c r="D981" s="2" t="n"/>
      <c r="E981" s="11" t="n"/>
      <c r="F981" s="5" t="n"/>
    </row>
    <row r="982" customFormat="1" s="77">
      <c r="A982" s="2" t="n"/>
      <c r="B982" s="64" t="n"/>
      <c r="C982" s="2" t="n"/>
      <c r="D982" s="2" t="n"/>
      <c r="E982" s="11" t="n"/>
      <c r="F982" s="5" t="n"/>
    </row>
    <row r="983" customFormat="1" s="77">
      <c r="A983" s="2" t="n"/>
      <c r="B983" s="64" t="n"/>
      <c r="C983" s="2" t="n"/>
      <c r="D983" s="2" t="n"/>
      <c r="E983" s="11" t="n"/>
      <c r="F983" s="5" t="n"/>
    </row>
    <row r="984" customFormat="1" s="77">
      <c r="A984" s="2" t="n"/>
      <c r="B984" s="64" t="n"/>
      <c r="C984" s="2" t="n"/>
      <c r="D984" s="2" t="n"/>
      <c r="E984" s="11" t="n"/>
      <c r="F984" s="5" t="n"/>
    </row>
    <row r="985" customFormat="1" s="77">
      <c r="A985" s="2" t="n"/>
      <c r="B985" s="64" t="n"/>
      <c r="C985" s="2" t="n"/>
      <c r="D985" s="2" t="n"/>
      <c r="E985" s="11" t="n"/>
      <c r="F985" s="5" t="n"/>
    </row>
    <row r="986" customFormat="1" s="77">
      <c r="A986" s="2" t="n"/>
      <c r="B986" s="64" t="n"/>
      <c r="C986" s="2" t="n"/>
      <c r="D986" s="2" t="n"/>
      <c r="E986" s="11" t="n"/>
      <c r="F986" s="5" t="n"/>
    </row>
    <row r="987" customFormat="1" s="77">
      <c r="A987" s="2" t="n"/>
      <c r="B987" s="64" t="n"/>
      <c r="C987" s="2" t="n"/>
      <c r="D987" s="2" t="n"/>
      <c r="E987" s="11" t="n"/>
      <c r="F987" s="5" t="n"/>
    </row>
    <row r="988" customFormat="1" s="77">
      <c r="A988" s="2" t="n"/>
      <c r="B988" s="64" t="n"/>
      <c r="C988" s="2" t="n"/>
      <c r="D988" s="2" t="n"/>
      <c r="E988" s="11" t="n"/>
      <c r="F988" s="5" t="n"/>
    </row>
    <row r="989" customFormat="1" s="77">
      <c r="A989" s="2" t="n"/>
      <c r="B989" s="64" t="n"/>
      <c r="C989" s="2" t="n"/>
      <c r="D989" s="2" t="n"/>
      <c r="E989" s="11" t="n"/>
      <c r="F989" s="5" t="n"/>
    </row>
    <row r="990" customFormat="1" s="77">
      <c r="A990" s="2" t="n"/>
      <c r="B990" s="64" t="n"/>
      <c r="C990" s="2" t="n"/>
      <c r="D990" s="2" t="n"/>
      <c r="E990" s="11" t="n"/>
      <c r="F990" s="5" t="n"/>
    </row>
    <row r="991" customFormat="1" s="77">
      <c r="A991" s="2" t="n"/>
      <c r="B991" s="64" t="n"/>
      <c r="C991" s="2" t="n"/>
      <c r="D991" s="2" t="n"/>
      <c r="E991" s="11" t="n"/>
      <c r="F991" s="5" t="n"/>
    </row>
    <row r="992" customFormat="1" s="77">
      <c r="A992" s="2" t="n"/>
      <c r="B992" s="64" t="n"/>
      <c r="C992" s="2" t="n"/>
      <c r="D992" s="2" t="n"/>
      <c r="E992" s="11" t="n"/>
      <c r="F992" s="5" t="n"/>
    </row>
    <row r="993" customFormat="1" s="77">
      <c r="A993" s="2" t="n"/>
      <c r="B993" s="64" t="n"/>
      <c r="C993" s="2" t="n"/>
      <c r="D993" s="2" t="n"/>
      <c r="E993" s="11" t="n"/>
      <c r="F993" s="5" t="n"/>
    </row>
    <row r="994" customFormat="1" s="77">
      <c r="A994" s="2" t="n"/>
      <c r="B994" s="64" t="n"/>
      <c r="C994" s="2" t="n"/>
      <c r="D994" s="2" t="n"/>
      <c r="E994" s="11" t="n"/>
      <c r="F994" s="5" t="n"/>
    </row>
    <row r="995" customFormat="1" s="77">
      <c r="A995" s="2" t="n"/>
      <c r="B995" s="64" t="n"/>
      <c r="C995" s="2" t="n"/>
      <c r="D995" s="2" t="n"/>
      <c r="E995" s="11" t="n"/>
      <c r="F995" s="5" t="n"/>
    </row>
    <row r="996" customFormat="1" s="77">
      <c r="A996" s="2" t="n"/>
      <c r="B996" s="64" t="n"/>
      <c r="C996" s="2" t="n"/>
      <c r="D996" s="2" t="n"/>
      <c r="E996" s="11" t="n"/>
      <c r="F996" s="5" t="n"/>
    </row>
    <row r="997" customFormat="1" s="77">
      <c r="A997" s="2" t="n"/>
      <c r="B997" s="64" t="n"/>
      <c r="C997" s="2" t="n"/>
      <c r="D997" s="2" t="n"/>
      <c r="E997" s="11" t="n"/>
      <c r="F997" s="5" t="n"/>
    </row>
    <row r="998" customFormat="1" s="77">
      <c r="A998" s="2" t="n"/>
      <c r="B998" s="64" t="n"/>
      <c r="C998" s="2" t="n"/>
      <c r="D998" s="2" t="n"/>
      <c r="E998" s="11" t="n"/>
      <c r="F998" s="5" t="n"/>
    </row>
    <row r="999" customFormat="1" s="77">
      <c r="A999" s="2" t="n"/>
      <c r="B999" s="64" t="n"/>
      <c r="C999" s="2" t="n"/>
      <c r="D999" s="2" t="n"/>
      <c r="E999" s="11" t="n"/>
      <c r="F999" s="5" t="n"/>
    </row>
    <row r="1000" customFormat="1" s="77">
      <c r="A1000" s="2" t="n"/>
      <c r="B1000" s="64" t="n"/>
      <c r="C1000" s="2" t="n"/>
      <c r="D1000" s="2" t="n"/>
      <c r="E1000" s="11" t="n"/>
      <c r="F1000" s="5" t="n"/>
    </row>
    <row r="1001" customFormat="1" s="77">
      <c r="A1001" s="2" t="n"/>
      <c r="B1001" s="64" t="n"/>
      <c r="C1001" s="2" t="n"/>
      <c r="D1001" s="2" t="n"/>
      <c r="E1001" s="11" t="n"/>
      <c r="F1001" s="5" t="n"/>
    </row>
    <row r="1002" customFormat="1" s="77">
      <c r="A1002" s="2" t="n"/>
      <c r="B1002" s="64" t="n"/>
      <c r="C1002" s="2" t="n"/>
      <c r="D1002" s="2" t="n"/>
      <c r="E1002" s="11" t="n"/>
      <c r="F1002" s="5" t="n"/>
    </row>
    <row r="1003" customFormat="1" s="77">
      <c r="A1003" s="2" t="n"/>
      <c r="B1003" s="64" t="n"/>
      <c r="C1003" s="2" t="n"/>
      <c r="D1003" s="2" t="n"/>
      <c r="E1003" s="11" t="n"/>
      <c r="F1003" s="5" t="n"/>
    </row>
    <row r="1004" customFormat="1" s="77">
      <c r="A1004" s="2" t="n"/>
      <c r="B1004" s="64" t="n"/>
      <c r="C1004" s="2" t="n"/>
      <c r="D1004" s="2" t="n"/>
      <c r="E1004" s="11" t="n"/>
      <c r="F1004" s="5" t="n"/>
    </row>
    <row r="1005" customFormat="1" s="77">
      <c r="A1005" s="2" t="n"/>
      <c r="B1005" s="64" t="n"/>
      <c r="C1005" s="2" t="n"/>
      <c r="D1005" s="2" t="n"/>
      <c r="E1005" s="11" t="n"/>
      <c r="F1005" s="5" t="n"/>
    </row>
    <row r="1006" customFormat="1" s="77">
      <c r="A1006" s="2" t="n"/>
      <c r="B1006" s="64" t="n"/>
      <c r="C1006" s="2" t="n"/>
      <c r="D1006" s="2" t="n"/>
      <c r="E1006" s="11" t="n"/>
      <c r="F1006" s="5" t="n"/>
    </row>
    <row r="1007" customFormat="1" s="77">
      <c r="A1007" s="2" t="n"/>
      <c r="B1007" s="64" t="n"/>
      <c r="C1007" s="2" t="n"/>
      <c r="D1007" s="2" t="n"/>
      <c r="E1007" s="11" t="n"/>
      <c r="F1007" s="5" t="n"/>
    </row>
    <row r="1008" customFormat="1" s="77">
      <c r="A1008" s="2" t="n"/>
      <c r="B1008" s="64" t="n"/>
      <c r="C1008" s="2" t="n"/>
      <c r="D1008" s="2" t="n"/>
      <c r="E1008" s="11" t="n"/>
      <c r="F1008" s="5" t="n"/>
    </row>
    <row r="1009" customFormat="1" s="77">
      <c r="A1009" s="2" t="n"/>
      <c r="B1009" s="64" t="n"/>
      <c r="C1009" s="2" t="n"/>
      <c r="D1009" s="2" t="n"/>
      <c r="E1009" s="11" t="n"/>
      <c r="F1009" s="5" t="n"/>
    </row>
    <row r="1010" customFormat="1" s="77">
      <c r="A1010" s="2" t="n"/>
      <c r="B1010" s="64" t="n"/>
      <c r="C1010" s="2" t="n"/>
      <c r="D1010" s="2" t="n"/>
      <c r="E1010" s="11" t="n"/>
      <c r="F1010" s="5" t="n"/>
    </row>
    <row r="1011" customFormat="1" s="77">
      <c r="A1011" s="2" t="n"/>
      <c r="B1011" s="64" t="n"/>
      <c r="C1011" s="2" t="n"/>
      <c r="D1011" s="2" t="n"/>
      <c r="E1011" s="11" t="n"/>
      <c r="F1011" s="5" t="n"/>
    </row>
    <row r="1012" customFormat="1" s="77">
      <c r="A1012" s="2" t="n"/>
      <c r="B1012" s="64" t="n"/>
      <c r="C1012" s="2" t="n"/>
      <c r="D1012" s="2" t="n"/>
      <c r="E1012" s="11" t="n"/>
      <c r="F1012" s="5" t="n"/>
    </row>
    <row r="1013" customFormat="1" s="77">
      <c r="A1013" s="2" t="n"/>
      <c r="B1013" s="64" t="n"/>
      <c r="C1013" s="2" t="n"/>
      <c r="D1013" s="2" t="n"/>
      <c r="E1013" s="11" t="n"/>
      <c r="F1013" s="5" t="n"/>
    </row>
    <row r="1014" customFormat="1" s="77">
      <c r="A1014" s="2" t="n"/>
      <c r="B1014" s="64" t="n"/>
      <c r="C1014" s="2" t="n"/>
      <c r="D1014" s="2" t="n"/>
      <c r="E1014" s="11" t="n"/>
      <c r="F1014" s="5" t="n"/>
    </row>
    <row r="1015" customFormat="1" s="77">
      <c r="A1015" s="2" t="n"/>
      <c r="B1015" s="64" t="n"/>
      <c r="C1015" s="2" t="n"/>
      <c r="D1015" s="2" t="n"/>
      <c r="E1015" s="11" t="n"/>
      <c r="F1015" s="5" t="n"/>
    </row>
    <row r="1016" customFormat="1" s="77">
      <c r="A1016" s="2" t="n"/>
      <c r="B1016" s="64" t="n"/>
      <c r="C1016" s="2" t="n"/>
      <c r="D1016" s="2" t="n"/>
      <c r="E1016" s="11" t="n"/>
      <c r="F1016" s="5" t="n"/>
    </row>
    <row r="1017" customFormat="1" s="77">
      <c r="A1017" s="2" t="n"/>
      <c r="B1017" s="64" t="n"/>
      <c r="C1017" s="2" t="n"/>
      <c r="D1017" s="2" t="n"/>
      <c r="E1017" s="11" t="n"/>
      <c r="F1017" s="5" t="n"/>
    </row>
    <row r="1018" customFormat="1" s="77">
      <c r="A1018" s="2" t="n"/>
      <c r="B1018" s="64" t="n"/>
      <c r="C1018" s="2" t="n"/>
      <c r="D1018" s="2" t="n"/>
      <c r="E1018" s="11" t="n"/>
      <c r="F1018" s="5" t="n"/>
    </row>
    <row r="1019" customFormat="1" s="77">
      <c r="A1019" s="2" t="n"/>
      <c r="B1019" s="64" t="n"/>
      <c r="C1019" s="2" t="n"/>
      <c r="D1019" s="2" t="n"/>
      <c r="E1019" s="11" t="n"/>
      <c r="F1019" s="5" t="n"/>
    </row>
    <row r="1020" customFormat="1" s="77">
      <c r="A1020" s="2" t="n"/>
      <c r="B1020" s="64" t="n"/>
      <c r="C1020" s="2" t="n"/>
      <c r="D1020" s="2" t="n"/>
      <c r="E1020" s="11" t="n"/>
      <c r="F1020" s="5" t="n"/>
    </row>
    <row r="1021" customFormat="1" s="77">
      <c r="A1021" s="2" t="n"/>
      <c r="B1021" s="64" t="n"/>
      <c r="C1021" s="2" t="n"/>
      <c r="D1021" s="2" t="n"/>
      <c r="E1021" s="11" t="n"/>
      <c r="F1021" s="5" t="n"/>
    </row>
    <row r="1022" customFormat="1" s="77">
      <c r="A1022" s="2" t="n"/>
      <c r="B1022" s="64" t="n"/>
      <c r="C1022" s="2" t="n"/>
      <c r="D1022" s="2" t="n"/>
      <c r="E1022" s="11" t="n"/>
      <c r="F1022" s="5" t="n"/>
    </row>
    <row r="1023" customFormat="1" s="77">
      <c r="A1023" s="2" t="n"/>
      <c r="B1023" s="64" t="n"/>
      <c r="C1023" s="2" t="n"/>
      <c r="D1023" s="2" t="n"/>
      <c r="E1023" s="11" t="n"/>
      <c r="F1023" s="5" t="n"/>
    </row>
    <row r="1024" customFormat="1" s="77">
      <c r="A1024" s="2" t="n"/>
      <c r="B1024" s="64" t="n"/>
      <c r="C1024" s="2" t="n"/>
      <c r="D1024" s="2" t="n"/>
      <c r="E1024" s="11" t="n"/>
      <c r="F1024" s="5" t="n"/>
    </row>
    <row r="1025" customFormat="1" s="77">
      <c r="A1025" s="2" t="n"/>
      <c r="B1025" s="64" t="n"/>
      <c r="C1025" s="2" t="n"/>
      <c r="D1025" s="2" t="n"/>
      <c r="E1025" s="11" t="n"/>
      <c r="F1025" s="5" t="n"/>
    </row>
    <row r="1026" customFormat="1" s="77">
      <c r="A1026" s="2" t="n"/>
      <c r="B1026" s="64" t="n"/>
      <c r="C1026" s="2" t="n"/>
      <c r="D1026" s="2" t="n"/>
      <c r="E1026" s="11" t="n"/>
      <c r="F1026" s="5" t="n"/>
    </row>
    <row r="1027" customFormat="1" s="77">
      <c r="A1027" s="2" t="n"/>
      <c r="B1027" s="64" t="n"/>
      <c r="C1027" s="2" t="n"/>
      <c r="D1027" s="2" t="n"/>
      <c r="E1027" s="11" t="n"/>
      <c r="F1027" s="5" t="n"/>
    </row>
    <row r="1028" customFormat="1" s="77">
      <c r="A1028" s="2" t="n"/>
      <c r="B1028" s="64" t="n"/>
      <c r="C1028" s="2" t="n"/>
      <c r="D1028" s="2" t="n"/>
      <c r="E1028" s="11" t="n"/>
      <c r="F1028" s="5" t="n"/>
    </row>
    <row r="1029" customFormat="1" s="77">
      <c r="A1029" s="2" t="n"/>
      <c r="B1029" s="64" t="n"/>
      <c r="C1029" s="2" t="n"/>
      <c r="D1029" s="2" t="n"/>
      <c r="E1029" s="11" t="n"/>
      <c r="F1029" s="5" t="n"/>
    </row>
    <row r="1030" customFormat="1" s="77">
      <c r="A1030" s="2" t="n"/>
      <c r="B1030" s="64" t="n"/>
      <c r="C1030" s="2" t="n"/>
      <c r="D1030" s="2" t="n"/>
      <c r="E1030" s="11" t="n"/>
      <c r="F1030" s="5" t="n"/>
    </row>
    <row r="1031" customFormat="1" s="77">
      <c r="A1031" s="2" t="n"/>
      <c r="B1031" s="64" t="n"/>
      <c r="C1031" s="2" t="n"/>
      <c r="D1031" s="2" t="n"/>
      <c r="E1031" s="11" t="n"/>
      <c r="F1031" s="5" t="n"/>
    </row>
    <row r="1032" customFormat="1" s="77">
      <c r="A1032" s="2" t="n"/>
      <c r="B1032" s="64" t="n"/>
      <c r="C1032" s="2" t="n"/>
      <c r="D1032" s="2" t="n"/>
      <c r="E1032" s="11" t="n"/>
      <c r="F1032" s="5" t="n"/>
    </row>
    <row r="1033" customFormat="1" s="77">
      <c r="A1033" s="2" t="n"/>
      <c r="B1033" s="64" t="n"/>
      <c r="C1033" s="2" t="n"/>
      <c r="D1033" s="2" t="n"/>
      <c r="E1033" s="11" t="n"/>
      <c r="F1033" s="5" t="n"/>
    </row>
    <row r="1034" customFormat="1" s="77">
      <c r="A1034" s="2" t="n"/>
      <c r="B1034" s="64" t="n"/>
      <c r="C1034" s="2" t="n"/>
      <c r="D1034" s="2" t="n"/>
      <c r="E1034" s="11" t="n"/>
      <c r="F1034" s="5" t="n"/>
    </row>
    <row r="1035" customFormat="1" s="77">
      <c r="A1035" s="2" t="n"/>
      <c r="B1035" s="64" t="n"/>
      <c r="C1035" s="2" t="n"/>
      <c r="D1035" s="2" t="n"/>
      <c r="E1035" s="11" t="n"/>
      <c r="F1035" s="5" t="n"/>
    </row>
    <row r="1036" customFormat="1" s="77">
      <c r="A1036" s="2" t="n"/>
      <c r="B1036" s="64" t="n"/>
      <c r="C1036" s="2" t="n"/>
      <c r="D1036" s="2" t="n"/>
      <c r="E1036" s="11" t="n"/>
      <c r="F1036" s="5" t="n"/>
    </row>
    <row r="1037" customFormat="1" s="77">
      <c r="A1037" s="2" t="n"/>
      <c r="B1037" s="64" t="n"/>
      <c r="C1037" s="2" t="n"/>
      <c r="D1037" s="2" t="n"/>
      <c r="E1037" s="11" t="n"/>
      <c r="F1037" s="5" t="n"/>
    </row>
    <row r="1038" customFormat="1" s="77">
      <c r="A1038" s="2" t="n"/>
      <c r="B1038" s="64" t="n"/>
      <c r="C1038" s="2" t="n"/>
      <c r="D1038" s="2" t="n"/>
      <c r="E1038" s="11" t="n"/>
      <c r="F1038" s="5" t="n"/>
    </row>
    <row r="1039" customFormat="1" s="77">
      <c r="A1039" s="2" t="n"/>
      <c r="B1039" s="64" t="n"/>
      <c r="C1039" s="2" t="n"/>
      <c r="D1039" s="2" t="n"/>
      <c r="E1039" s="11" t="n"/>
      <c r="F1039" s="5" t="n"/>
    </row>
    <row r="1040" customFormat="1" s="77">
      <c r="A1040" s="2" t="n"/>
      <c r="B1040" s="64" t="n"/>
      <c r="C1040" s="2" t="n"/>
      <c r="D1040" s="2" t="n"/>
      <c r="E1040" s="11" t="n"/>
      <c r="F1040" s="5" t="n"/>
    </row>
    <row r="1041" customFormat="1" s="77">
      <c r="A1041" s="2" t="n"/>
      <c r="B1041" s="64" t="n"/>
      <c r="C1041" s="2" t="n"/>
      <c r="D1041" s="2" t="n"/>
      <c r="E1041" s="11" t="n"/>
      <c r="F1041" s="5" t="n"/>
    </row>
    <row r="1042" customFormat="1" s="77">
      <c r="A1042" s="2" t="n"/>
      <c r="B1042" s="64" t="n"/>
      <c r="C1042" s="2" t="n"/>
      <c r="D1042" s="2" t="n"/>
      <c r="E1042" s="11" t="n"/>
      <c r="F1042" s="5" t="n"/>
    </row>
    <row r="1043" customFormat="1" s="77">
      <c r="A1043" s="2" t="n"/>
      <c r="B1043" s="64" t="n"/>
      <c r="C1043" s="2" t="n"/>
      <c r="D1043" s="2" t="n"/>
      <c r="E1043" s="11" t="n"/>
      <c r="F1043" s="5" t="n"/>
    </row>
    <row r="1044" customFormat="1" s="77">
      <c r="A1044" s="2" t="n"/>
      <c r="B1044" s="64" t="n"/>
      <c r="C1044" s="2" t="n"/>
      <c r="D1044" s="2" t="n"/>
      <c r="E1044" s="11" t="n"/>
      <c r="F1044" s="5" t="n"/>
    </row>
    <row r="1045" customFormat="1" s="77">
      <c r="A1045" s="2" t="n"/>
      <c r="B1045" s="64" t="n"/>
      <c r="C1045" s="2" t="n"/>
      <c r="D1045" s="2" t="n"/>
      <c r="E1045" s="11" t="n"/>
      <c r="F1045" s="5" t="n"/>
    </row>
    <row r="1046" customFormat="1" s="77">
      <c r="A1046" s="2" t="n"/>
      <c r="B1046" s="64" t="n"/>
      <c r="C1046" s="2" t="n"/>
      <c r="D1046" s="2" t="n"/>
      <c r="E1046" s="11" t="n"/>
      <c r="F1046" s="5" t="n"/>
    </row>
    <row r="1047" customFormat="1" s="77">
      <c r="A1047" s="2" t="n"/>
      <c r="B1047" s="64" t="n"/>
      <c r="C1047" s="2" t="n"/>
      <c r="D1047" s="2" t="n"/>
      <c r="E1047" s="11" t="n"/>
      <c r="F1047" s="5" t="n"/>
    </row>
    <row r="1048" customFormat="1" s="77">
      <c r="A1048" s="2" t="n"/>
      <c r="B1048" s="64" t="n"/>
      <c r="C1048" s="2" t="n"/>
      <c r="D1048" s="2" t="n"/>
      <c r="E1048" s="11" t="n"/>
      <c r="F1048" s="5" t="n"/>
    </row>
    <row r="1049" customFormat="1" s="77">
      <c r="A1049" s="2" t="n"/>
      <c r="B1049" s="64" t="n"/>
      <c r="C1049" s="2" t="n"/>
      <c r="D1049" s="2" t="n"/>
      <c r="E1049" s="11" t="n"/>
      <c r="F1049" s="5" t="n"/>
    </row>
    <row r="1050" customFormat="1" s="77">
      <c r="A1050" s="2" t="n"/>
      <c r="B1050" s="64" t="n"/>
      <c r="C1050" s="2" t="n"/>
      <c r="D1050" s="2" t="n"/>
      <c r="E1050" s="11" t="n"/>
      <c r="F1050" s="5" t="n"/>
    </row>
    <row r="1051" customFormat="1" s="77">
      <c r="A1051" s="2" t="n"/>
      <c r="B1051" s="64" t="n"/>
      <c r="C1051" s="2" t="n"/>
      <c r="D1051" s="2" t="n"/>
      <c r="E1051" s="11" t="n"/>
      <c r="F1051" s="5" t="n"/>
    </row>
    <row r="1052" customFormat="1" s="77">
      <c r="A1052" s="2" t="n"/>
      <c r="B1052" s="64" t="n"/>
      <c r="C1052" s="2" t="n"/>
      <c r="D1052" s="2" t="n"/>
      <c r="E1052" s="11" t="n"/>
      <c r="F1052" s="5" t="n"/>
    </row>
    <row r="1053" customFormat="1" s="77">
      <c r="A1053" s="2" t="n"/>
      <c r="B1053" s="64" t="n"/>
      <c r="C1053" s="2" t="n"/>
      <c r="D1053" s="2" t="n"/>
      <c r="E1053" s="11" t="n"/>
      <c r="F1053" s="5" t="n"/>
    </row>
    <row r="1054" customFormat="1" s="77">
      <c r="A1054" s="2" t="n"/>
      <c r="B1054" s="64" t="n"/>
      <c r="C1054" s="2" t="n"/>
      <c r="D1054" s="2" t="n"/>
      <c r="E1054" s="11" t="n"/>
      <c r="F1054" s="5" t="n"/>
    </row>
    <row r="1055" customFormat="1" s="77">
      <c r="A1055" s="2" t="n"/>
      <c r="B1055" s="64" t="n"/>
      <c r="C1055" s="2" t="n"/>
      <c r="D1055" s="2" t="n"/>
      <c r="E1055" s="11" t="n"/>
      <c r="F1055" s="5" t="n"/>
    </row>
    <row r="1056" customFormat="1" s="77">
      <c r="A1056" s="2" t="n"/>
      <c r="B1056" s="64" t="n"/>
      <c r="C1056" s="2" t="n"/>
      <c r="D1056" s="2" t="n"/>
      <c r="E1056" s="11" t="n"/>
      <c r="F1056" s="5" t="n"/>
    </row>
    <row r="1057" customFormat="1" s="77">
      <c r="A1057" s="2" t="n"/>
      <c r="B1057" s="64" t="n"/>
      <c r="C1057" s="2" t="n"/>
      <c r="D1057" s="2" t="n"/>
      <c r="E1057" s="11" t="n"/>
      <c r="F1057" s="5" t="n"/>
    </row>
    <row r="1058" customFormat="1" s="77">
      <c r="A1058" s="2" t="n"/>
      <c r="B1058" s="64" t="n"/>
      <c r="C1058" s="2" t="n"/>
      <c r="D1058" s="2" t="n"/>
      <c r="E1058" s="11" t="n"/>
      <c r="F1058" s="5" t="n"/>
    </row>
    <row r="1059" customFormat="1" s="77">
      <c r="A1059" s="2" t="n"/>
      <c r="B1059" s="64" t="n"/>
      <c r="C1059" s="2" t="n"/>
      <c r="D1059" s="2" t="n"/>
      <c r="E1059" s="11" t="n"/>
      <c r="F1059" s="5" t="n"/>
    </row>
    <row r="1060" customFormat="1" s="77">
      <c r="A1060" s="2" t="n"/>
      <c r="B1060" s="64" t="n"/>
      <c r="C1060" s="2" t="n"/>
      <c r="D1060" s="2" t="n"/>
      <c r="E1060" s="11" t="n"/>
      <c r="F1060" s="5" t="n"/>
    </row>
    <row r="1061" customFormat="1" s="77">
      <c r="A1061" s="2" t="n"/>
      <c r="B1061" s="64" t="n"/>
      <c r="C1061" s="2" t="n"/>
      <c r="D1061" s="2" t="n"/>
      <c r="E1061" s="11" t="n"/>
      <c r="F1061" s="5" t="n"/>
    </row>
    <row r="1062" customFormat="1" s="77">
      <c r="A1062" s="2" t="n"/>
      <c r="B1062" s="64" t="n"/>
      <c r="C1062" s="2" t="n"/>
      <c r="D1062" s="2" t="n"/>
      <c r="E1062" s="11" t="n"/>
      <c r="F1062" s="5" t="n"/>
    </row>
    <row r="1063" customFormat="1" s="77">
      <c r="A1063" s="2" t="n"/>
      <c r="B1063" s="64" t="n"/>
      <c r="C1063" s="2" t="n"/>
      <c r="D1063" s="2" t="n"/>
      <c r="E1063" s="11" t="n"/>
      <c r="F1063" s="5" t="n"/>
    </row>
    <row r="1064" customFormat="1" s="77">
      <c r="A1064" s="2" t="n"/>
      <c r="B1064" s="64" t="n"/>
      <c r="C1064" s="2" t="n"/>
      <c r="D1064" s="2" t="n"/>
      <c r="E1064" s="11" t="n"/>
      <c r="F1064" s="5" t="n"/>
    </row>
    <row r="1065" customFormat="1" s="77">
      <c r="A1065" s="2" t="n"/>
      <c r="B1065" s="64" t="n"/>
      <c r="C1065" s="2" t="n"/>
      <c r="D1065" s="2" t="n"/>
      <c r="E1065" s="11" t="n"/>
      <c r="F1065" s="5" t="n"/>
    </row>
    <row r="1066" customFormat="1" s="77">
      <c r="A1066" s="2" t="n"/>
      <c r="B1066" s="64" t="n"/>
      <c r="C1066" s="2" t="n"/>
      <c r="D1066" s="2" t="n"/>
      <c r="E1066" s="11" t="n"/>
      <c r="F1066" s="5" t="n"/>
    </row>
    <row r="1067" customFormat="1" s="77">
      <c r="A1067" s="2" t="n"/>
      <c r="B1067" s="64" t="n"/>
      <c r="C1067" s="2" t="n"/>
      <c r="D1067" s="2" t="n"/>
      <c r="E1067" s="11" t="n"/>
      <c r="F1067" s="5" t="n"/>
    </row>
    <row r="1068" customFormat="1" s="77">
      <c r="A1068" s="2" t="n"/>
      <c r="B1068" s="64" t="n"/>
      <c r="C1068" s="2" t="n"/>
      <c r="D1068" s="2" t="n"/>
      <c r="E1068" s="11" t="n"/>
      <c r="F1068" s="5" t="n"/>
    </row>
    <row r="1069" customFormat="1" s="77">
      <c r="A1069" s="2" t="n"/>
      <c r="B1069" s="64" t="n"/>
      <c r="C1069" s="2" t="n"/>
      <c r="D1069" s="2" t="n"/>
      <c r="E1069" s="11" t="n"/>
      <c r="F1069" s="5" t="n"/>
    </row>
    <row r="1070" customFormat="1" s="77">
      <c r="A1070" s="2" t="n"/>
      <c r="B1070" s="64" t="n"/>
      <c r="C1070" s="2" t="n"/>
      <c r="D1070" s="2" t="n"/>
      <c r="E1070" s="11" t="n"/>
      <c r="F1070" s="5" t="n"/>
    </row>
    <row r="1071" customFormat="1" s="77">
      <c r="A1071" s="2" t="n"/>
      <c r="B1071" s="64" t="n"/>
      <c r="C1071" s="2" t="n"/>
      <c r="D1071" s="2" t="n"/>
      <c r="E1071" s="11" t="n"/>
      <c r="F1071" s="5" t="n"/>
    </row>
    <row r="1072" customFormat="1" s="77">
      <c r="A1072" s="2" t="n"/>
      <c r="B1072" s="64" t="n"/>
      <c r="C1072" s="2" t="n"/>
      <c r="D1072" s="2" t="n"/>
      <c r="E1072" s="11" t="n"/>
      <c r="F1072" s="5" t="n"/>
    </row>
    <row r="1073" customFormat="1" s="77">
      <c r="A1073" s="2" t="n"/>
      <c r="B1073" s="64" t="n"/>
      <c r="C1073" s="2" t="n"/>
      <c r="D1073" s="2" t="n"/>
      <c r="E1073" s="11" t="n"/>
      <c r="F1073" s="5" t="n"/>
    </row>
    <row r="1074" customFormat="1" s="77">
      <c r="A1074" s="2" t="n"/>
      <c r="B1074" s="64" t="n"/>
      <c r="C1074" s="2" t="n"/>
      <c r="D1074" s="2" t="n"/>
      <c r="E1074" s="11" t="n"/>
      <c r="F1074" s="5" t="n"/>
    </row>
    <row r="1075" customFormat="1" s="77">
      <c r="A1075" s="2" t="n"/>
      <c r="B1075" s="64" t="n"/>
      <c r="C1075" s="2" t="n"/>
      <c r="D1075" s="2" t="n"/>
      <c r="E1075" s="11" t="n"/>
      <c r="F1075" s="5" t="n"/>
    </row>
    <row r="1076" customFormat="1" s="77">
      <c r="A1076" s="2" t="n"/>
      <c r="B1076" s="64" t="n"/>
      <c r="C1076" s="2" t="n"/>
      <c r="D1076" s="2" t="n"/>
      <c r="E1076" s="11" t="n"/>
      <c r="F1076" s="5" t="n"/>
    </row>
    <row r="1077" customFormat="1" s="77">
      <c r="A1077" s="2" t="n"/>
      <c r="B1077" s="64" t="n"/>
      <c r="C1077" s="2" t="n"/>
      <c r="D1077" s="2" t="n"/>
      <c r="E1077" s="11" t="n"/>
      <c r="F1077" s="5" t="n"/>
    </row>
    <row r="1078" customFormat="1" s="77">
      <c r="A1078" s="2" t="n"/>
      <c r="B1078" s="64" t="n"/>
      <c r="C1078" s="2" t="n"/>
      <c r="D1078" s="2" t="n"/>
      <c r="E1078" s="11" t="n"/>
      <c r="F1078" s="5" t="n"/>
    </row>
    <row r="1079" customFormat="1" s="77">
      <c r="A1079" s="2" t="n"/>
      <c r="B1079" s="64" t="n"/>
      <c r="C1079" s="2" t="n"/>
      <c r="D1079" s="2" t="n"/>
      <c r="E1079" s="11" t="n"/>
      <c r="F1079" s="5" t="n"/>
    </row>
    <row r="1080" customFormat="1" s="77">
      <c r="A1080" s="2" t="n"/>
      <c r="B1080" s="64" t="n"/>
      <c r="C1080" s="2" t="n"/>
      <c r="D1080" s="2" t="n"/>
      <c r="E1080" s="11" t="n"/>
      <c r="F1080" s="5" t="n"/>
    </row>
    <row r="1081" customFormat="1" s="77">
      <c r="A1081" s="2" t="n"/>
      <c r="B1081" s="64" t="n"/>
      <c r="C1081" s="2" t="n"/>
      <c r="D1081" s="2" t="n"/>
      <c r="E1081" s="11" t="n"/>
      <c r="F1081" s="5" t="n"/>
    </row>
    <row r="1082" customFormat="1" s="77">
      <c r="A1082" s="2" t="n"/>
      <c r="B1082" s="64" t="n"/>
      <c r="C1082" s="2" t="n"/>
      <c r="D1082" s="2" t="n"/>
      <c r="E1082" s="11" t="n"/>
      <c r="F1082" s="5" t="n"/>
    </row>
    <row r="1083" customFormat="1" s="77">
      <c r="A1083" s="2" t="n"/>
      <c r="B1083" s="64" t="n"/>
      <c r="C1083" s="2" t="n"/>
      <c r="D1083" s="2" t="n"/>
      <c r="E1083" s="11" t="n"/>
      <c r="F1083" s="5" t="n"/>
    </row>
    <row r="1084" customFormat="1" s="77">
      <c r="A1084" s="2" t="n"/>
      <c r="B1084" s="64" t="n"/>
      <c r="C1084" s="2" t="n"/>
      <c r="D1084" s="2" t="n"/>
      <c r="E1084" s="11" t="n"/>
      <c r="F1084" s="5" t="n"/>
    </row>
    <row r="1085" customFormat="1" s="77">
      <c r="A1085" s="2" t="n"/>
      <c r="B1085" s="64" t="n"/>
      <c r="C1085" s="2" t="n"/>
      <c r="D1085" s="2" t="n"/>
      <c r="E1085" s="11" t="n"/>
      <c r="F1085" s="5" t="n"/>
    </row>
    <row r="1086" customFormat="1" s="77">
      <c r="A1086" s="2" t="n"/>
      <c r="B1086" s="64" t="n"/>
      <c r="C1086" s="2" t="n"/>
      <c r="D1086" s="2" t="n"/>
      <c r="E1086" s="11" t="n"/>
      <c r="F1086" s="5" t="n"/>
    </row>
    <row r="1087" customFormat="1" s="77">
      <c r="A1087" s="2" t="n"/>
      <c r="B1087" s="64" t="n"/>
      <c r="C1087" s="2" t="n"/>
      <c r="D1087" s="2" t="n"/>
      <c r="E1087" s="11" t="n"/>
      <c r="F1087" s="5" t="n"/>
    </row>
    <row r="1088" customFormat="1" s="77">
      <c r="A1088" s="2" t="n"/>
      <c r="B1088" s="64" t="n"/>
      <c r="C1088" s="2" t="n"/>
      <c r="D1088" s="2" t="n"/>
      <c r="E1088" s="11" t="n"/>
      <c r="F1088" s="5" t="n"/>
    </row>
    <row r="1089" customFormat="1" s="77">
      <c r="A1089" s="2" t="n"/>
      <c r="B1089" s="64" t="n"/>
      <c r="C1089" s="2" t="n"/>
      <c r="D1089" s="2" t="n"/>
      <c r="E1089" s="11" t="n"/>
      <c r="F1089" s="5" t="n"/>
    </row>
    <row r="1090" customFormat="1" s="77">
      <c r="A1090" s="2" t="n"/>
      <c r="B1090" s="64" t="n"/>
      <c r="C1090" s="2" t="n"/>
      <c r="D1090" s="2" t="n"/>
      <c r="E1090" s="11" t="n"/>
      <c r="F1090" s="5" t="n"/>
    </row>
    <row r="1091" customFormat="1" s="77">
      <c r="A1091" s="2" t="n"/>
      <c r="B1091" s="64" t="n"/>
      <c r="C1091" s="2" t="n"/>
      <c r="D1091" s="2" t="n"/>
      <c r="E1091" s="11" t="n"/>
      <c r="F1091" s="5" t="n"/>
    </row>
    <row r="1092" customFormat="1" s="77">
      <c r="A1092" s="2" t="n"/>
      <c r="B1092" s="64" t="n"/>
      <c r="C1092" s="2" t="n"/>
      <c r="D1092" s="2" t="n"/>
      <c r="E1092" s="11" t="n"/>
      <c r="F1092" s="5" t="n"/>
    </row>
    <row r="1093" customFormat="1" s="77">
      <c r="A1093" s="2" t="n"/>
      <c r="B1093" s="64" t="n"/>
      <c r="C1093" s="2" t="n"/>
      <c r="D1093" s="2" t="n"/>
      <c r="E1093" s="11" t="n"/>
      <c r="F1093" s="5" t="n"/>
    </row>
    <row r="1094" customFormat="1" s="77">
      <c r="A1094" s="2" t="n"/>
      <c r="B1094" s="64" t="n"/>
      <c r="C1094" s="2" t="n"/>
      <c r="D1094" s="2" t="n"/>
      <c r="E1094" s="11" t="n"/>
      <c r="F1094" s="5" t="n"/>
    </row>
    <row r="1095" customFormat="1" s="77">
      <c r="A1095" s="2" t="n"/>
      <c r="B1095" s="64" t="n"/>
      <c r="C1095" s="2" t="n"/>
      <c r="D1095" s="2" t="n"/>
      <c r="E1095" s="11" t="n"/>
      <c r="F1095" s="5" t="n"/>
    </row>
    <row r="1096" customFormat="1" s="77">
      <c r="A1096" s="2" t="n"/>
      <c r="B1096" s="64" t="n"/>
      <c r="C1096" s="2" t="n"/>
      <c r="D1096" s="2" t="n"/>
      <c r="E1096" s="11" t="n"/>
      <c r="F1096" s="5" t="n"/>
    </row>
    <row r="1097" customFormat="1" s="77">
      <c r="A1097" s="2" t="n"/>
      <c r="B1097" s="64" t="n"/>
      <c r="C1097" s="2" t="n"/>
      <c r="D1097" s="2" t="n"/>
      <c r="E1097" s="11" t="n"/>
      <c r="F1097" s="5" t="n"/>
    </row>
    <row r="1098" customFormat="1" s="77">
      <c r="A1098" s="2" t="n"/>
      <c r="B1098" s="64" t="n"/>
      <c r="C1098" s="2" t="n"/>
      <c r="D1098" s="2" t="n"/>
      <c r="E1098" s="11" t="n"/>
      <c r="F1098" s="5" t="n"/>
    </row>
    <row r="1099" customFormat="1" s="77">
      <c r="A1099" s="2" t="n"/>
      <c r="B1099" s="64" t="n"/>
      <c r="C1099" s="2" t="n"/>
      <c r="D1099" s="2" t="n"/>
      <c r="E1099" s="11" t="n"/>
      <c r="F1099" s="5" t="n"/>
    </row>
    <row r="1100" customFormat="1" s="77">
      <c r="A1100" s="2" t="n"/>
      <c r="B1100" s="64" t="n"/>
      <c r="C1100" s="2" t="n"/>
      <c r="D1100" s="2" t="n"/>
      <c r="E1100" s="11" t="n"/>
      <c r="F1100" s="5" t="n"/>
    </row>
    <row r="1101" customFormat="1" s="77">
      <c r="A1101" s="2" t="n"/>
      <c r="B1101" s="64" t="n"/>
      <c r="C1101" s="2" t="n"/>
      <c r="D1101" s="2" t="n"/>
      <c r="E1101" s="11" t="n"/>
      <c r="F1101" s="5" t="n"/>
    </row>
    <row r="1102" customFormat="1" s="77">
      <c r="A1102" s="2" t="n"/>
      <c r="B1102" s="64" t="n"/>
      <c r="C1102" s="2" t="n"/>
      <c r="D1102" s="2" t="n"/>
      <c r="E1102" s="11" t="n"/>
      <c r="F1102" s="5" t="n"/>
    </row>
    <row r="1103" customFormat="1" s="77">
      <c r="A1103" s="2" t="n"/>
      <c r="B1103" s="64" t="n"/>
      <c r="C1103" s="2" t="n"/>
      <c r="D1103" s="2" t="n"/>
      <c r="E1103" s="11" t="n"/>
      <c r="F1103" s="5" t="n"/>
    </row>
    <row r="1104" customFormat="1" s="77">
      <c r="A1104" s="2" t="n"/>
      <c r="B1104" s="64" t="n"/>
      <c r="C1104" s="2" t="n"/>
      <c r="D1104" s="2" t="n"/>
      <c r="E1104" s="11" t="n"/>
      <c r="F1104" s="5" t="n"/>
    </row>
    <row r="1105" customFormat="1" s="77">
      <c r="A1105" s="2" t="n"/>
      <c r="B1105" s="64" t="n"/>
      <c r="C1105" s="2" t="n"/>
      <c r="D1105" s="2" t="n"/>
      <c r="E1105" s="11" t="n"/>
      <c r="F1105" s="5" t="n"/>
    </row>
    <row r="1106" customFormat="1" s="77">
      <c r="A1106" s="2" t="n"/>
      <c r="B1106" s="64" t="n"/>
      <c r="C1106" s="2" t="n"/>
      <c r="D1106" s="2" t="n"/>
      <c r="E1106" s="11" t="n"/>
      <c r="F1106" s="5" t="n"/>
    </row>
    <row r="1107" customFormat="1" s="77">
      <c r="A1107" s="2" t="n"/>
      <c r="B1107" s="64" t="n"/>
      <c r="C1107" s="2" t="n"/>
      <c r="D1107" s="2" t="n"/>
      <c r="E1107" s="11" t="n"/>
      <c r="F1107" s="5" t="n"/>
    </row>
    <row r="1108" customFormat="1" s="77">
      <c r="A1108" s="2" t="n"/>
      <c r="B1108" s="64" t="n"/>
      <c r="C1108" s="2" t="n"/>
      <c r="D1108" s="2" t="n"/>
      <c r="E1108" s="11" t="n"/>
      <c r="F1108" s="5" t="n"/>
    </row>
    <row r="1109" customFormat="1" s="77">
      <c r="A1109" s="2" t="n"/>
      <c r="B1109" s="64" t="n"/>
      <c r="C1109" s="2" t="n"/>
      <c r="D1109" s="2" t="n"/>
      <c r="E1109" s="11" t="n"/>
      <c r="F1109" s="5" t="n"/>
    </row>
    <row r="1110" customFormat="1" s="77">
      <c r="A1110" s="2" t="n"/>
      <c r="B1110" s="64" t="n"/>
      <c r="C1110" s="2" t="n"/>
      <c r="D1110" s="2" t="n"/>
      <c r="E1110" s="11" t="n"/>
      <c r="F1110" s="5" t="n"/>
    </row>
    <row r="1111" customFormat="1" s="77">
      <c r="A1111" s="2" t="n"/>
      <c r="B1111" s="64" t="n"/>
      <c r="C1111" s="2" t="n"/>
      <c r="D1111" s="2" t="n"/>
      <c r="E1111" s="11" t="n"/>
      <c r="F1111" s="5" t="n"/>
    </row>
    <row r="1112" customFormat="1" s="77">
      <c r="A1112" s="2" t="n"/>
      <c r="B1112" s="64" t="n"/>
      <c r="C1112" s="2" t="n"/>
      <c r="D1112" s="2" t="n"/>
      <c r="E1112" s="11" t="n"/>
      <c r="F1112" s="5" t="n"/>
    </row>
    <row r="1113" customFormat="1" s="77">
      <c r="A1113" s="2" t="n"/>
      <c r="B1113" s="64" t="n"/>
      <c r="C1113" s="2" t="n"/>
      <c r="D1113" s="2" t="n"/>
      <c r="E1113" s="11" t="n"/>
      <c r="F1113" s="5" t="n"/>
    </row>
    <row r="1114" customFormat="1" s="77">
      <c r="A1114" s="2" t="n"/>
      <c r="B1114" s="64" t="n"/>
      <c r="C1114" s="2" t="n"/>
      <c r="D1114" s="2" t="n"/>
      <c r="E1114" s="11" t="n"/>
      <c r="F1114" s="5" t="n"/>
    </row>
    <row r="1115" customFormat="1" s="77">
      <c r="A1115" s="2" t="n"/>
      <c r="B1115" s="64" t="n"/>
      <c r="C1115" s="2" t="n"/>
      <c r="D1115" s="2" t="n"/>
      <c r="E1115" s="11" t="n"/>
      <c r="F1115" s="5" t="n"/>
    </row>
    <row r="1116" customFormat="1" s="77">
      <c r="A1116" s="2" t="n"/>
      <c r="B1116" s="64" t="n"/>
      <c r="C1116" s="2" t="n"/>
      <c r="D1116" s="2" t="n"/>
      <c r="E1116" s="11" t="n"/>
      <c r="F1116" s="5" t="n"/>
    </row>
    <row r="1117" customFormat="1" s="77">
      <c r="A1117" s="2" t="n"/>
      <c r="B1117" s="64" t="n"/>
      <c r="C1117" s="2" t="n"/>
      <c r="D1117" s="2" t="n"/>
      <c r="E1117" s="11" t="n"/>
      <c r="F1117" s="5" t="n"/>
    </row>
    <row r="1118" customFormat="1" s="77">
      <c r="A1118" s="2" t="n"/>
      <c r="B1118" s="64" t="n"/>
      <c r="C1118" s="2" t="n"/>
      <c r="D1118" s="2" t="n"/>
      <c r="E1118" s="11" t="n"/>
      <c r="F1118" s="5" t="n"/>
    </row>
    <row r="1119" customFormat="1" s="77">
      <c r="A1119" s="2" t="n"/>
      <c r="B1119" s="64" t="n"/>
      <c r="C1119" s="2" t="n"/>
      <c r="D1119" s="2" t="n"/>
      <c r="E1119" s="11" t="n"/>
      <c r="F1119" s="5" t="n"/>
    </row>
    <row r="1120" customFormat="1" s="77">
      <c r="A1120" s="2" t="n"/>
      <c r="B1120" s="64" t="n"/>
      <c r="C1120" s="2" t="n"/>
      <c r="D1120" s="2" t="n"/>
      <c r="E1120" s="11" t="n"/>
      <c r="F1120" s="5" t="n"/>
    </row>
    <row r="1121" customFormat="1" s="77">
      <c r="A1121" s="2" t="n"/>
      <c r="B1121" s="64" t="n"/>
      <c r="C1121" s="2" t="n"/>
      <c r="D1121" s="2" t="n"/>
      <c r="E1121" s="11" t="n"/>
      <c r="F1121" s="5" t="n"/>
    </row>
    <row r="1122" customFormat="1" s="77">
      <c r="A1122" s="2" t="n"/>
      <c r="B1122" s="64" t="n"/>
      <c r="C1122" s="2" t="n"/>
      <c r="D1122" s="2" t="n"/>
      <c r="E1122" s="11" t="n"/>
      <c r="F1122" s="5" t="n"/>
    </row>
    <row r="1123" customFormat="1" s="77">
      <c r="A1123" s="2" t="n"/>
      <c r="B1123" s="64" t="n"/>
      <c r="C1123" s="2" t="n"/>
      <c r="D1123" s="2" t="n"/>
      <c r="E1123" s="11" t="n"/>
      <c r="F1123" s="5" t="n"/>
    </row>
    <row r="1124" customFormat="1" s="77">
      <c r="A1124" s="2" t="n"/>
      <c r="B1124" s="64" t="n"/>
      <c r="C1124" s="2" t="n"/>
      <c r="D1124" s="2" t="n"/>
      <c r="E1124" s="11" t="n"/>
      <c r="F1124" s="5" t="n"/>
    </row>
    <row r="1125" customFormat="1" s="77">
      <c r="A1125" s="2" t="n"/>
      <c r="B1125" s="64" t="n"/>
      <c r="C1125" s="2" t="n"/>
      <c r="D1125" s="2" t="n"/>
      <c r="E1125" s="11" t="n"/>
      <c r="F1125" s="5" t="n"/>
    </row>
    <row r="1126" customFormat="1" s="77">
      <c r="A1126" s="2" t="n"/>
      <c r="B1126" s="64" t="n"/>
      <c r="C1126" s="2" t="n"/>
      <c r="D1126" s="2" t="n"/>
      <c r="E1126" s="11" t="n"/>
      <c r="F1126" s="5" t="n"/>
    </row>
    <row r="1127" customFormat="1" s="77">
      <c r="A1127" s="2" t="n"/>
      <c r="B1127" s="64" t="n"/>
      <c r="C1127" s="2" t="n"/>
      <c r="D1127" s="2" t="n"/>
      <c r="E1127" s="11" t="n"/>
      <c r="F1127" s="5" t="n"/>
    </row>
    <row r="1128" customFormat="1" s="77">
      <c r="A1128" s="2" t="n"/>
      <c r="B1128" s="64" t="n"/>
      <c r="C1128" s="2" t="n"/>
      <c r="D1128" s="2" t="n"/>
      <c r="E1128" s="11" t="n"/>
      <c r="F1128" s="5" t="n"/>
    </row>
    <row r="1129" customFormat="1" s="77">
      <c r="A1129" s="2" t="n"/>
      <c r="B1129" s="64" t="n"/>
      <c r="C1129" s="2" t="n"/>
      <c r="D1129" s="2" t="n"/>
      <c r="E1129" s="11" t="n"/>
      <c r="F1129" s="5" t="n"/>
    </row>
    <row r="1130" customFormat="1" s="77">
      <c r="A1130" s="2" t="n"/>
      <c r="B1130" s="64" t="n"/>
      <c r="C1130" s="2" t="n"/>
      <c r="D1130" s="2" t="n"/>
      <c r="E1130" s="11" t="n"/>
      <c r="F1130" s="5" t="n"/>
    </row>
    <row r="1131" customFormat="1" s="77">
      <c r="A1131" s="2" t="n"/>
      <c r="B1131" s="64" t="n"/>
      <c r="C1131" s="2" t="n"/>
      <c r="D1131" s="2" t="n"/>
      <c r="E1131" s="11" t="n"/>
      <c r="F1131" s="5" t="n"/>
    </row>
    <row r="1132" customFormat="1" s="77">
      <c r="A1132" s="2" t="n"/>
      <c r="B1132" s="64" t="n"/>
      <c r="C1132" s="2" t="n"/>
      <c r="D1132" s="2" t="n"/>
      <c r="E1132" s="11" t="n"/>
      <c r="F1132" s="5" t="n"/>
    </row>
    <row r="1133" customFormat="1" s="77">
      <c r="A1133" s="2" t="n"/>
      <c r="B1133" s="64" t="n"/>
      <c r="C1133" s="2" t="n"/>
      <c r="D1133" s="2" t="n"/>
      <c r="E1133" s="11" t="n"/>
      <c r="F1133" s="5" t="n"/>
    </row>
    <row r="1134" customFormat="1" s="77">
      <c r="A1134" s="2" t="n"/>
      <c r="B1134" s="64" t="n"/>
      <c r="C1134" s="2" t="n"/>
      <c r="D1134" s="2" t="n"/>
      <c r="E1134" s="11" t="n"/>
      <c r="F1134" s="5" t="n"/>
    </row>
    <row r="1135" customFormat="1" s="77">
      <c r="A1135" s="2" t="n"/>
      <c r="B1135" s="64" t="n"/>
      <c r="C1135" s="2" t="n"/>
      <c r="D1135" s="2" t="n"/>
      <c r="E1135" s="11" t="n"/>
      <c r="F1135" s="5" t="n"/>
    </row>
    <row r="1136" customFormat="1" s="77">
      <c r="A1136" s="2" t="n"/>
      <c r="B1136" s="64" t="n"/>
      <c r="C1136" s="2" t="n"/>
      <c r="D1136" s="2" t="n"/>
      <c r="E1136" s="11" t="n"/>
      <c r="F1136" s="5" t="n"/>
    </row>
    <row r="1137" customFormat="1" s="77">
      <c r="A1137" s="2" t="n"/>
      <c r="B1137" s="64" t="n"/>
      <c r="C1137" s="2" t="n"/>
      <c r="D1137" s="2" t="n"/>
      <c r="E1137" s="11" t="n"/>
      <c r="F1137" s="5" t="n"/>
    </row>
    <row r="1138" customFormat="1" s="77">
      <c r="A1138" s="2" t="n"/>
      <c r="B1138" s="64" t="n"/>
      <c r="C1138" s="2" t="n"/>
      <c r="D1138" s="2" t="n"/>
      <c r="E1138" s="11" t="n"/>
      <c r="F1138" s="5" t="n"/>
    </row>
    <row r="1139" customFormat="1" s="77">
      <c r="A1139" s="2" t="n"/>
      <c r="B1139" s="64" t="n"/>
      <c r="C1139" s="2" t="n"/>
      <c r="D1139" s="2" t="n"/>
      <c r="E1139" s="11" t="n"/>
      <c r="F1139" s="5" t="n"/>
    </row>
    <row r="1140" customFormat="1" s="77">
      <c r="A1140" s="2" t="n"/>
      <c r="B1140" s="64" t="n"/>
      <c r="C1140" s="2" t="n"/>
      <c r="D1140" s="2" t="n"/>
      <c r="E1140" s="11" t="n"/>
      <c r="F1140" s="5" t="n"/>
    </row>
    <row r="1141" customFormat="1" s="77">
      <c r="A1141" s="2" t="n"/>
      <c r="B1141" s="64" t="n"/>
      <c r="C1141" s="2" t="n"/>
      <c r="D1141" s="2" t="n"/>
      <c r="E1141" s="11" t="n"/>
      <c r="F1141" s="5" t="n"/>
    </row>
    <row r="1142" customFormat="1" s="77">
      <c r="A1142" s="2" t="n"/>
      <c r="B1142" s="64" t="n"/>
      <c r="C1142" s="2" t="n"/>
      <c r="D1142" s="2" t="n"/>
      <c r="E1142" s="11" t="n"/>
      <c r="F1142" s="5" t="n"/>
    </row>
    <row r="1143" customFormat="1" s="77">
      <c r="A1143" s="2" t="n"/>
      <c r="B1143" s="64" t="n"/>
      <c r="C1143" s="2" t="n"/>
      <c r="D1143" s="2" t="n"/>
      <c r="E1143" s="11" t="n"/>
      <c r="F1143" s="5" t="n"/>
    </row>
    <row r="1144" customFormat="1" s="77">
      <c r="A1144" s="2" t="n"/>
      <c r="B1144" s="64" t="n"/>
      <c r="C1144" s="2" t="n"/>
      <c r="D1144" s="2" t="n"/>
      <c r="E1144" s="11" t="n"/>
      <c r="F1144" s="5" t="n"/>
    </row>
    <row r="1145" customFormat="1" s="77">
      <c r="A1145" s="2" t="n"/>
      <c r="B1145" s="64" t="n"/>
      <c r="C1145" s="2" t="n"/>
      <c r="D1145" s="2" t="n"/>
      <c r="E1145" s="11" t="n"/>
      <c r="F1145" s="5" t="n"/>
    </row>
    <row r="1146" customFormat="1" s="77">
      <c r="A1146" s="2" t="n"/>
      <c r="B1146" s="64" t="n"/>
      <c r="C1146" s="2" t="n"/>
      <c r="D1146" s="2" t="n"/>
      <c r="E1146" s="11" t="n"/>
      <c r="F1146" s="5" t="n"/>
    </row>
    <row r="1147" customFormat="1" s="77">
      <c r="A1147" s="2" t="n"/>
      <c r="B1147" s="64" t="n"/>
      <c r="C1147" s="2" t="n"/>
      <c r="D1147" s="2" t="n"/>
      <c r="E1147" s="11" t="n"/>
      <c r="F1147" s="5" t="n"/>
    </row>
    <row r="1148" customFormat="1" s="77">
      <c r="A1148" s="2" t="n"/>
      <c r="B1148" s="64" t="n"/>
      <c r="C1148" s="2" t="n"/>
      <c r="D1148" s="2" t="n"/>
      <c r="E1148" s="11" t="n"/>
      <c r="F1148" s="5" t="n"/>
    </row>
    <row r="1149" customFormat="1" s="77">
      <c r="A1149" s="2" t="n"/>
      <c r="B1149" s="64" t="n"/>
      <c r="C1149" s="2" t="n"/>
      <c r="D1149" s="2" t="n"/>
      <c r="E1149" s="11" t="n"/>
      <c r="F1149" s="5" t="n"/>
    </row>
    <row r="1150" customFormat="1" s="77">
      <c r="A1150" s="2" t="n"/>
      <c r="B1150" s="64" t="n"/>
      <c r="C1150" s="2" t="n"/>
      <c r="D1150" s="2" t="n"/>
      <c r="E1150" s="11" t="n"/>
      <c r="F1150" s="5" t="n"/>
    </row>
    <row r="1151" customFormat="1" s="77">
      <c r="A1151" s="2" t="n"/>
      <c r="B1151" s="64" t="n"/>
      <c r="C1151" s="2" t="n"/>
      <c r="D1151" s="2" t="n"/>
      <c r="E1151" s="11" t="n"/>
      <c r="F1151" s="5" t="n"/>
    </row>
    <row r="1152" customFormat="1" s="77">
      <c r="A1152" s="2" t="n"/>
      <c r="B1152" s="64" t="n"/>
      <c r="C1152" s="2" t="n"/>
      <c r="D1152" s="2" t="n"/>
      <c r="E1152" s="11" t="n"/>
      <c r="F1152" s="5" t="n"/>
    </row>
    <row r="1153" customFormat="1" s="77">
      <c r="A1153" s="2" t="n"/>
      <c r="B1153" s="64" t="n"/>
      <c r="C1153" s="2" t="n"/>
      <c r="D1153" s="2" t="n"/>
      <c r="E1153" s="11" t="n"/>
      <c r="F1153" s="5" t="n"/>
    </row>
    <row r="1154" customFormat="1" s="77">
      <c r="A1154" s="2" t="n"/>
      <c r="B1154" s="64" t="n"/>
      <c r="C1154" s="2" t="n"/>
      <c r="D1154" s="2" t="n"/>
      <c r="E1154" s="11" t="n"/>
      <c r="F1154" s="5" t="n"/>
    </row>
    <row r="1155" customFormat="1" s="77">
      <c r="A1155" s="2" t="n"/>
      <c r="B1155" s="64" t="n"/>
      <c r="C1155" s="2" t="n"/>
      <c r="D1155" s="2" t="n"/>
      <c r="E1155" s="11" t="n"/>
      <c r="F1155" s="5" t="n"/>
    </row>
    <row r="1156" customFormat="1" s="77">
      <c r="A1156" s="2" t="n"/>
      <c r="B1156" s="64" t="n"/>
      <c r="C1156" s="2" t="n"/>
      <c r="D1156" s="2" t="n"/>
      <c r="E1156" s="11" t="n"/>
      <c r="F1156" s="5" t="n"/>
    </row>
    <row r="1157" customFormat="1" s="77">
      <c r="A1157" s="2" t="n"/>
      <c r="B1157" s="64" t="n"/>
      <c r="C1157" s="2" t="n"/>
      <c r="D1157" s="2" t="n"/>
      <c r="E1157" s="11" t="n"/>
      <c r="F1157" s="5" t="n"/>
    </row>
    <row r="1158" customFormat="1" s="77">
      <c r="A1158" s="2" t="n"/>
      <c r="B1158" s="64" t="n"/>
      <c r="C1158" s="2" t="n"/>
      <c r="D1158" s="2" t="n"/>
      <c r="E1158" s="11" t="n"/>
      <c r="F1158" s="5" t="n"/>
    </row>
    <row r="1159" customFormat="1" s="77">
      <c r="A1159" s="2" t="n"/>
      <c r="B1159" s="64" t="n"/>
      <c r="C1159" s="2" t="n"/>
      <c r="D1159" s="2" t="n"/>
      <c r="E1159" s="11" t="n"/>
      <c r="F1159" s="5" t="n"/>
    </row>
    <row r="1160" customFormat="1" s="77">
      <c r="A1160" s="2" t="n"/>
      <c r="B1160" s="64" t="n"/>
      <c r="C1160" s="2" t="n"/>
      <c r="D1160" s="2" t="n"/>
      <c r="E1160" s="11" t="n"/>
      <c r="F1160" s="5" t="n"/>
    </row>
    <row r="1161" customFormat="1" s="77">
      <c r="A1161" s="2" t="n"/>
      <c r="B1161" s="64" t="n"/>
      <c r="C1161" s="2" t="n"/>
      <c r="D1161" s="2" t="n"/>
      <c r="E1161" s="11" t="n"/>
      <c r="F1161" s="5" t="n"/>
    </row>
    <row r="1162" customFormat="1" s="77">
      <c r="A1162" s="2" t="n"/>
      <c r="B1162" s="64" t="n"/>
      <c r="C1162" s="2" t="n"/>
      <c r="D1162" s="2" t="n"/>
      <c r="E1162" s="11" t="n"/>
      <c r="F1162" s="5" t="n"/>
    </row>
    <row r="1163" customFormat="1" s="77">
      <c r="A1163" s="2" t="n"/>
      <c r="B1163" s="64" t="n"/>
      <c r="C1163" s="2" t="n"/>
      <c r="D1163" s="2" t="n"/>
      <c r="E1163" s="11" t="n"/>
      <c r="F1163" s="5" t="n"/>
    </row>
    <row r="1164" customFormat="1" s="77">
      <c r="A1164" s="2" t="n"/>
      <c r="B1164" s="64" t="n"/>
      <c r="C1164" s="2" t="n"/>
      <c r="D1164" s="2" t="n"/>
      <c r="E1164" s="11" t="n"/>
      <c r="F1164" s="5" t="n"/>
    </row>
    <row r="1165" customFormat="1" s="77">
      <c r="A1165" s="2" t="n"/>
      <c r="B1165" s="64" t="n"/>
      <c r="C1165" s="2" t="n"/>
      <c r="D1165" s="2" t="n"/>
      <c r="E1165" s="11" t="n"/>
      <c r="F1165" s="5" t="n"/>
    </row>
    <row r="1166" customFormat="1" s="77">
      <c r="A1166" s="2" t="n"/>
      <c r="B1166" s="64" t="n"/>
      <c r="C1166" s="2" t="n"/>
      <c r="D1166" s="2" t="n"/>
      <c r="E1166" s="11" t="n"/>
      <c r="F1166" s="5" t="n"/>
    </row>
    <row r="1167" customFormat="1" s="77">
      <c r="A1167" s="2" t="n"/>
      <c r="B1167" s="64" t="n"/>
      <c r="C1167" s="2" t="n"/>
      <c r="D1167" s="2" t="n"/>
      <c r="E1167" s="11" t="n"/>
      <c r="F1167" s="5" t="n"/>
    </row>
    <row r="1168" customFormat="1" s="77">
      <c r="A1168" s="2" t="n"/>
      <c r="B1168" s="64" t="n"/>
      <c r="C1168" s="2" t="n"/>
      <c r="D1168" s="2" t="n"/>
      <c r="E1168" s="11" t="n"/>
      <c r="F1168" s="5" t="n"/>
    </row>
    <row r="1169" customFormat="1" s="77">
      <c r="A1169" s="2" t="n"/>
      <c r="B1169" s="64" t="n"/>
      <c r="C1169" s="2" t="n"/>
      <c r="D1169" s="2" t="n"/>
      <c r="E1169" s="11" t="n"/>
      <c r="F1169" s="5" t="n"/>
    </row>
    <row r="1170" customFormat="1" s="77">
      <c r="A1170" s="2" t="n"/>
      <c r="B1170" s="64" t="n"/>
      <c r="C1170" s="2" t="n"/>
      <c r="D1170" s="2" t="n"/>
      <c r="E1170" s="11" t="n"/>
      <c r="F1170" s="5" t="n"/>
    </row>
    <row r="1171" customFormat="1" s="77">
      <c r="A1171" s="2" t="n"/>
      <c r="B1171" s="64" t="n"/>
      <c r="C1171" s="2" t="n"/>
      <c r="D1171" s="2" t="n"/>
      <c r="E1171" s="11" t="n"/>
      <c r="F1171" s="5" t="n"/>
    </row>
    <row r="1172" customFormat="1" s="77">
      <c r="A1172" s="2" t="n"/>
      <c r="B1172" s="64" t="n"/>
      <c r="C1172" s="2" t="n"/>
      <c r="D1172" s="2" t="n"/>
      <c r="E1172" s="11" t="n"/>
      <c r="F1172" s="5" t="n"/>
    </row>
    <row r="1173" customFormat="1" s="77">
      <c r="A1173" s="2" t="n"/>
      <c r="B1173" s="64" t="n"/>
      <c r="C1173" s="2" t="n"/>
      <c r="D1173" s="2" t="n"/>
      <c r="E1173" s="11" t="n"/>
      <c r="F1173" s="5" t="n"/>
    </row>
    <row r="1174" customFormat="1" s="77">
      <c r="A1174" s="2" t="n"/>
      <c r="B1174" s="64" t="n"/>
      <c r="C1174" s="2" t="n"/>
      <c r="D1174" s="2" t="n"/>
      <c r="E1174" s="11" t="n"/>
      <c r="F1174" s="5" t="n"/>
    </row>
    <row r="1175" customFormat="1" s="77">
      <c r="A1175" s="2" t="n"/>
      <c r="B1175" s="64" t="n"/>
      <c r="C1175" s="2" t="n"/>
      <c r="D1175" s="2" t="n"/>
      <c r="E1175" s="11" t="n"/>
      <c r="F1175" s="5" t="n"/>
    </row>
    <row r="1176" customFormat="1" s="77">
      <c r="A1176" s="2" t="n"/>
      <c r="B1176" s="64" t="n"/>
      <c r="C1176" s="2" t="n"/>
      <c r="D1176" s="2" t="n"/>
      <c r="E1176" s="11" t="n"/>
      <c r="F1176" s="5" t="n"/>
    </row>
    <row r="1177" customFormat="1" s="77">
      <c r="A1177" s="2" t="n"/>
      <c r="B1177" s="64" t="n"/>
      <c r="C1177" s="2" t="n"/>
      <c r="D1177" s="2" t="n"/>
      <c r="E1177" s="11" t="n"/>
      <c r="F1177" s="5" t="n"/>
    </row>
    <row r="1178" customFormat="1" s="77">
      <c r="A1178" s="2" t="n"/>
      <c r="B1178" s="64" t="n"/>
      <c r="C1178" s="2" t="n"/>
      <c r="D1178" s="2" t="n"/>
      <c r="E1178" s="11" t="n"/>
      <c r="F1178" s="5" t="n"/>
    </row>
    <row r="1179" customFormat="1" s="77">
      <c r="A1179" s="2" t="n"/>
      <c r="B1179" s="64" t="n"/>
      <c r="C1179" s="2" t="n"/>
      <c r="D1179" s="2" t="n"/>
      <c r="E1179" s="11" t="n"/>
      <c r="F1179" s="5" t="n"/>
    </row>
    <row r="1180" customFormat="1" s="77">
      <c r="A1180" s="2" t="n"/>
      <c r="B1180" s="64" t="n"/>
      <c r="C1180" s="2" t="n"/>
      <c r="D1180" s="2" t="n"/>
      <c r="E1180" s="11" t="n"/>
      <c r="F1180" s="5" t="n"/>
    </row>
    <row r="1181" customFormat="1" s="77">
      <c r="A1181" s="2" t="n"/>
      <c r="B1181" s="64" t="n"/>
      <c r="C1181" s="2" t="n"/>
      <c r="D1181" s="2" t="n"/>
      <c r="E1181" s="11" t="n"/>
      <c r="F1181" s="5" t="n"/>
    </row>
    <row r="1182" customFormat="1" s="77">
      <c r="A1182" s="2" t="n"/>
      <c r="B1182" s="64" t="n"/>
      <c r="C1182" s="2" t="n"/>
      <c r="D1182" s="2" t="n"/>
      <c r="E1182" s="11" t="n"/>
      <c r="F1182" s="5" t="n"/>
    </row>
    <row r="1183" customFormat="1" s="77">
      <c r="A1183" s="2" t="n"/>
      <c r="B1183" s="64" t="n"/>
      <c r="C1183" s="2" t="n"/>
      <c r="D1183" s="2" t="n"/>
      <c r="E1183" s="11" t="n"/>
      <c r="F1183" s="5" t="n"/>
    </row>
    <row r="1184" customFormat="1" s="77">
      <c r="A1184" s="2" t="n"/>
      <c r="B1184" s="64" t="n"/>
      <c r="C1184" s="2" t="n"/>
      <c r="D1184" s="2" t="n"/>
      <c r="E1184" s="11" t="n"/>
      <c r="F1184" s="5" t="n"/>
    </row>
    <row r="1185" customFormat="1" s="77">
      <c r="A1185" s="2" t="n"/>
      <c r="B1185" s="64" t="n"/>
      <c r="C1185" s="2" t="n"/>
      <c r="D1185" s="2" t="n"/>
      <c r="E1185" s="11" t="n"/>
      <c r="F1185" s="5" t="n"/>
    </row>
    <row r="1186" customFormat="1" s="77">
      <c r="A1186" s="2" t="n"/>
      <c r="B1186" s="64" t="n"/>
      <c r="C1186" s="2" t="n"/>
      <c r="D1186" s="2" t="n"/>
      <c r="E1186" s="11" t="n"/>
      <c r="F1186" s="5" t="n"/>
    </row>
    <row r="1187" customFormat="1" s="77">
      <c r="A1187" s="2" t="n"/>
      <c r="B1187" s="64" t="n"/>
      <c r="C1187" s="2" t="n"/>
      <c r="D1187" s="2" t="n"/>
      <c r="E1187" s="11" t="n"/>
      <c r="F1187" s="5" t="n"/>
    </row>
    <row r="1188" customFormat="1" s="77">
      <c r="A1188" s="2" t="n"/>
      <c r="B1188" s="64" t="n"/>
      <c r="C1188" s="2" t="n"/>
      <c r="D1188" s="2" t="n"/>
      <c r="E1188" s="11" t="n"/>
      <c r="F1188" s="5" t="n"/>
    </row>
    <row r="1189" customFormat="1" s="77">
      <c r="A1189" s="2" t="n"/>
      <c r="B1189" s="64" t="n"/>
      <c r="C1189" s="2" t="n"/>
      <c r="D1189" s="2" t="n"/>
      <c r="E1189" s="11" t="n"/>
      <c r="F1189" s="5" t="n"/>
    </row>
    <row r="1190" customFormat="1" s="77">
      <c r="A1190" s="2" t="n"/>
      <c r="B1190" s="64" t="n"/>
      <c r="C1190" s="2" t="n"/>
      <c r="D1190" s="2" t="n"/>
      <c r="E1190" s="11" t="n"/>
      <c r="F1190" s="5" t="n"/>
    </row>
    <row r="1191" customFormat="1" s="77">
      <c r="A1191" s="2" t="n"/>
      <c r="B1191" s="64" t="n"/>
      <c r="C1191" s="2" t="n"/>
      <c r="D1191" s="2" t="n"/>
      <c r="E1191" s="11" t="n"/>
      <c r="F1191" s="5" t="n"/>
    </row>
    <row r="1192" customFormat="1" s="77">
      <c r="A1192" s="2" t="n"/>
      <c r="B1192" s="64" t="n"/>
      <c r="C1192" s="2" t="n"/>
      <c r="D1192" s="2" t="n"/>
      <c r="E1192" s="11" t="n"/>
      <c r="F1192" s="5" t="n"/>
    </row>
    <row r="1193" customFormat="1" s="77">
      <c r="A1193" s="2" t="n"/>
      <c r="B1193" s="64" t="n"/>
      <c r="C1193" s="2" t="n"/>
      <c r="D1193" s="2" t="n"/>
      <c r="E1193" s="11" t="n"/>
      <c r="F1193" s="5" t="n"/>
    </row>
    <row r="1194" customFormat="1" s="77">
      <c r="A1194" s="2" t="n"/>
      <c r="B1194" s="64" t="n"/>
      <c r="C1194" s="2" t="n"/>
      <c r="D1194" s="2" t="n"/>
      <c r="E1194" s="11" t="n"/>
      <c r="F1194" s="5" t="n"/>
    </row>
    <row r="1195" customFormat="1" s="77">
      <c r="A1195" s="2" t="n"/>
      <c r="B1195" s="64" t="n"/>
      <c r="C1195" s="2" t="n"/>
      <c r="D1195" s="2" t="n"/>
      <c r="E1195" s="11" t="n"/>
      <c r="F1195" s="5" t="n"/>
    </row>
    <row r="1196" customFormat="1" s="77">
      <c r="A1196" s="2" t="n"/>
      <c r="B1196" s="64" t="n"/>
      <c r="C1196" s="2" t="n"/>
      <c r="D1196" s="2" t="n"/>
      <c r="E1196" s="11" t="n"/>
      <c r="F1196" s="5" t="n"/>
    </row>
    <row r="1197" customFormat="1" s="77">
      <c r="A1197" s="2" t="n"/>
      <c r="B1197" s="64" t="n"/>
      <c r="C1197" s="2" t="n"/>
      <c r="D1197" s="2" t="n"/>
      <c r="E1197" s="11" t="n"/>
      <c r="F1197" s="5" t="n"/>
    </row>
    <row r="1198" customFormat="1" s="77">
      <c r="A1198" s="2" t="n"/>
      <c r="B1198" s="64" t="n"/>
      <c r="C1198" s="2" t="n"/>
      <c r="D1198" s="2" t="n"/>
      <c r="E1198" s="11" t="n"/>
      <c r="F1198" s="5" t="n"/>
    </row>
    <row r="1199" customFormat="1" s="77">
      <c r="A1199" s="2" t="n"/>
      <c r="B1199" s="64" t="n"/>
      <c r="C1199" s="2" t="n"/>
      <c r="D1199" s="2" t="n"/>
      <c r="E1199" s="11" t="n"/>
      <c r="F1199" s="5" t="n"/>
    </row>
    <row r="1200" customFormat="1" s="77">
      <c r="A1200" s="2" t="n"/>
      <c r="B1200" s="64" t="n"/>
      <c r="C1200" s="2" t="n"/>
      <c r="D1200" s="2" t="n"/>
      <c r="E1200" s="11" t="n"/>
      <c r="F1200" s="5" t="n"/>
    </row>
    <row r="1201" customFormat="1" s="77">
      <c r="A1201" s="2" t="n"/>
      <c r="B1201" s="64" t="n"/>
      <c r="C1201" s="2" t="n"/>
      <c r="D1201" s="2" t="n"/>
      <c r="E1201" s="11" t="n"/>
      <c r="F1201" s="5" t="n"/>
    </row>
    <row r="1202" customFormat="1" s="77">
      <c r="A1202" s="2" t="n"/>
      <c r="B1202" s="64" t="n"/>
      <c r="C1202" s="2" t="n"/>
      <c r="D1202" s="2" t="n"/>
      <c r="E1202" s="11" t="n"/>
      <c r="F1202" s="5" t="n"/>
    </row>
    <row r="1203" customFormat="1" s="77">
      <c r="A1203" s="2" t="n"/>
      <c r="B1203" s="64" t="n"/>
      <c r="C1203" s="2" t="n"/>
      <c r="D1203" s="2" t="n"/>
      <c r="E1203" s="11" t="n"/>
      <c r="F1203" s="5" t="n"/>
    </row>
    <row r="1204" customFormat="1" s="77">
      <c r="A1204" s="2" t="n"/>
      <c r="B1204" s="64" t="n"/>
      <c r="C1204" s="2" t="n"/>
      <c r="D1204" s="2" t="n"/>
      <c r="E1204" s="11" t="n"/>
      <c r="F1204" s="5" t="n"/>
    </row>
    <row r="1205" customFormat="1" s="77">
      <c r="A1205" s="2" t="n"/>
      <c r="B1205" s="64" t="n"/>
      <c r="C1205" s="2" t="n"/>
      <c r="D1205" s="2" t="n"/>
      <c r="E1205" s="11" t="n"/>
      <c r="F1205" s="5" t="n"/>
    </row>
    <row r="1206" customFormat="1" s="77">
      <c r="A1206" s="2" t="n"/>
      <c r="B1206" s="64" t="n"/>
      <c r="C1206" s="2" t="n"/>
      <c r="D1206" s="2" t="n"/>
      <c r="E1206" s="11" t="n"/>
      <c r="F1206" s="5" t="n"/>
    </row>
    <row r="1207" customFormat="1" s="77">
      <c r="A1207" s="2" t="n"/>
      <c r="B1207" s="64" t="n"/>
      <c r="C1207" s="2" t="n"/>
      <c r="D1207" s="2" t="n"/>
      <c r="E1207" s="11" t="n"/>
      <c r="F1207" s="5" t="n"/>
    </row>
    <row r="1208" customFormat="1" s="77">
      <c r="A1208" s="2" t="n"/>
      <c r="B1208" s="64" t="n"/>
      <c r="C1208" s="2" t="n"/>
      <c r="D1208" s="2" t="n"/>
      <c r="E1208" s="11" t="n"/>
      <c r="F1208" s="5" t="n"/>
    </row>
    <row r="1209" customFormat="1" s="77">
      <c r="A1209" s="2" t="n"/>
      <c r="B1209" s="64" t="n"/>
      <c r="C1209" s="2" t="n"/>
      <c r="D1209" s="2" t="n"/>
      <c r="E1209" s="11" t="n"/>
      <c r="F1209" s="5" t="n"/>
    </row>
    <row r="1210" customFormat="1" s="77">
      <c r="A1210" s="2" t="n"/>
      <c r="B1210" s="64" t="n"/>
      <c r="C1210" s="2" t="n"/>
      <c r="D1210" s="2" t="n"/>
      <c r="E1210" s="11" t="n"/>
      <c r="F1210" s="5" t="n"/>
    </row>
    <row r="1211" customFormat="1" s="77">
      <c r="A1211" s="2" t="n"/>
      <c r="B1211" s="64" t="n"/>
      <c r="C1211" s="2" t="n"/>
      <c r="D1211" s="2" t="n"/>
      <c r="E1211" s="11" t="n"/>
      <c r="F1211" s="5" t="n"/>
    </row>
    <row r="1212" customFormat="1" s="77">
      <c r="A1212" s="2" t="n"/>
      <c r="B1212" s="64" t="n"/>
      <c r="C1212" s="2" t="n"/>
      <c r="D1212" s="2" t="n"/>
      <c r="E1212" s="11" t="n"/>
      <c r="F1212" s="5" t="n"/>
    </row>
    <row r="1213" customFormat="1" s="77">
      <c r="A1213" s="2" t="n"/>
      <c r="B1213" s="64" t="n"/>
      <c r="C1213" s="2" t="n"/>
      <c r="D1213" s="2" t="n"/>
      <c r="E1213" s="11" t="n"/>
      <c r="F1213" s="5" t="n"/>
    </row>
    <row r="1214" customFormat="1" s="77">
      <c r="A1214" s="2" t="n"/>
      <c r="B1214" s="64" t="n"/>
      <c r="C1214" s="2" t="n"/>
      <c r="D1214" s="2" t="n"/>
      <c r="E1214" s="11" t="n"/>
      <c r="F1214" s="5" t="n"/>
    </row>
    <row r="1215" customFormat="1" s="77">
      <c r="A1215" s="2" t="n"/>
      <c r="B1215" s="64" t="n"/>
      <c r="C1215" s="2" t="n"/>
      <c r="D1215" s="2" t="n"/>
      <c r="E1215" s="11" t="n"/>
      <c r="F1215" s="5" t="n"/>
    </row>
    <row r="1216" customFormat="1" s="77">
      <c r="A1216" s="2" t="n"/>
      <c r="B1216" s="64" t="n"/>
      <c r="C1216" s="2" t="n"/>
      <c r="D1216" s="2" t="n"/>
      <c r="E1216" s="11" t="n"/>
      <c r="F1216" s="5" t="n"/>
    </row>
    <row r="1217" customFormat="1" s="77">
      <c r="A1217" s="2" t="n"/>
      <c r="B1217" s="64" t="n"/>
      <c r="C1217" s="2" t="n"/>
      <c r="D1217" s="2" t="n"/>
      <c r="E1217" s="11" t="n"/>
      <c r="F1217" s="5" t="n"/>
    </row>
    <row r="1218" customFormat="1" s="77">
      <c r="A1218" s="2" t="n"/>
      <c r="B1218" s="64" t="n"/>
      <c r="C1218" s="2" t="n"/>
      <c r="D1218" s="2" t="n"/>
      <c r="E1218" s="11" t="n"/>
      <c r="F1218" s="5" t="n"/>
    </row>
    <row r="1219" customFormat="1" s="77">
      <c r="A1219" s="2" t="n"/>
      <c r="B1219" s="64" t="n"/>
      <c r="C1219" s="2" t="n"/>
      <c r="D1219" s="2" t="n"/>
      <c r="E1219" s="11" t="n"/>
      <c r="F1219" s="5" t="n"/>
    </row>
    <row r="1220" customFormat="1" s="77">
      <c r="A1220" s="2" t="n"/>
      <c r="B1220" s="64" t="n"/>
      <c r="C1220" s="2" t="n"/>
      <c r="D1220" s="2" t="n"/>
      <c r="E1220" s="11" t="n"/>
      <c r="F1220" s="5" t="n"/>
    </row>
    <row r="1221" customFormat="1" s="77">
      <c r="A1221" s="2" t="n"/>
      <c r="B1221" s="64" t="n"/>
      <c r="C1221" s="2" t="n"/>
      <c r="D1221" s="2" t="n"/>
      <c r="E1221" s="11" t="n"/>
      <c r="F1221" s="5" t="n"/>
    </row>
    <row r="1222" customFormat="1" s="77">
      <c r="A1222" s="2" t="n"/>
      <c r="B1222" s="64" t="n"/>
      <c r="C1222" s="2" t="n"/>
      <c r="D1222" s="2" t="n"/>
      <c r="E1222" s="11" t="n"/>
      <c r="F1222" s="5" t="n"/>
    </row>
    <row r="1223" customFormat="1" s="77">
      <c r="A1223" s="2" t="n"/>
      <c r="B1223" s="64" t="n"/>
      <c r="C1223" s="2" t="n"/>
      <c r="D1223" s="2" t="n"/>
      <c r="E1223" s="11" t="n"/>
      <c r="F1223" s="5" t="n"/>
    </row>
    <row r="1224" customFormat="1" s="77">
      <c r="A1224" s="2" t="n"/>
      <c r="B1224" s="64" t="n"/>
      <c r="C1224" s="2" t="n"/>
      <c r="D1224" s="2" t="n"/>
      <c r="E1224" s="11" t="n"/>
      <c r="F1224" s="5" t="n"/>
    </row>
    <row r="1225" customFormat="1" s="77">
      <c r="A1225" s="2" t="n"/>
      <c r="B1225" s="64" t="n"/>
      <c r="C1225" s="2" t="n"/>
      <c r="D1225" s="2" t="n"/>
      <c r="E1225" s="11" t="n"/>
      <c r="F1225" s="5" t="n"/>
    </row>
    <row r="1226" customFormat="1" s="77">
      <c r="A1226" s="2" t="n"/>
      <c r="B1226" s="64" t="n"/>
      <c r="C1226" s="2" t="n"/>
      <c r="D1226" s="2" t="n"/>
      <c r="E1226" s="11" t="n"/>
      <c r="F1226" s="5" t="n"/>
    </row>
    <row r="1227" customFormat="1" s="77">
      <c r="A1227" s="2" t="n"/>
      <c r="B1227" s="64" t="n"/>
      <c r="C1227" s="2" t="n"/>
      <c r="D1227" s="2" t="n"/>
      <c r="E1227" s="11" t="n"/>
      <c r="F1227" s="5" t="n"/>
    </row>
    <row r="1228" customFormat="1" s="77">
      <c r="A1228" s="2" t="n"/>
      <c r="B1228" s="64" t="n"/>
      <c r="C1228" s="2" t="n"/>
      <c r="D1228" s="2" t="n"/>
      <c r="E1228" s="11" t="n"/>
      <c r="F1228" s="5" t="n"/>
    </row>
    <row r="1229" customFormat="1" s="77">
      <c r="A1229" s="2" t="n"/>
      <c r="B1229" s="64" t="n"/>
      <c r="C1229" s="2" t="n"/>
      <c r="D1229" s="2" t="n"/>
      <c r="E1229" s="11" t="n"/>
      <c r="F1229" s="5" t="n"/>
    </row>
    <row r="1230" customFormat="1" s="77">
      <c r="A1230" s="2" t="n"/>
      <c r="B1230" s="64" t="n"/>
      <c r="C1230" s="2" t="n"/>
      <c r="D1230" s="2" t="n"/>
      <c r="E1230" s="11" t="n"/>
      <c r="F1230" s="5" t="n"/>
    </row>
    <row r="1231" customFormat="1" s="77">
      <c r="A1231" s="2" t="n"/>
      <c r="B1231" s="64" t="n"/>
      <c r="C1231" s="2" t="n"/>
      <c r="D1231" s="2" t="n"/>
      <c r="E1231" s="11" t="n"/>
      <c r="F1231" s="5" t="n"/>
    </row>
    <row r="1232" customFormat="1" s="77">
      <c r="A1232" s="2" t="n"/>
      <c r="B1232" s="64" t="n"/>
      <c r="C1232" s="2" t="n"/>
      <c r="D1232" s="2" t="n"/>
      <c r="E1232" s="11" t="n"/>
      <c r="F1232" s="5" t="n"/>
    </row>
    <row r="1233">
      <c r="A1233" s="2" t="n"/>
      <c r="B1233" s="64" t="n"/>
      <c r="C1233" s="2" t="n"/>
      <c r="D1233" s="2" t="n"/>
      <c r="E1233" s="11" t="n"/>
      <c r="F1233" s="5" t="n"/>
    </row>
    <row r="1234">
      <c r="A1234" s="2" t="n"/>
      <c r="B1234" s="64" t="n"/>
      <c r="C1234" s="2" t="n"/>
      <c r="D1234" s="2" t="n"/>
      <c r="E1234" s="11" t="n"/>
      <c r="F1234" s="5" t="n"/>
    </row>
    <row r="1235">
      <c r="A1235" s="2" t="n"/>
      <c r="B1235" s="64" t="n"/>
      <c r="C1235" s="2" t="n"/>
      <c r="D1235" s="2" t="n"/>
      <c r="E1235" s="11" t="n"/>
      <c r="F1235" s="5" t="n"/>
    </row>
    <row r="1236">
      <c r="A1236" s="2" t="n"/>
      <c r="B1236" s="64" t="n"/>
      <c r="C1236" s="2" t="n"/>
      <c r="D1236" s="2" t="n"/>
      <c r="E1236" s="11" t="n"/>
      <c r="F1236" s="5" t="n"/>
    </row>
    <row r="1237">
      <c r="A1237" s="2" t="n"/>
      <c r="B1237" s="64" t="n"/>
      <c r="C1237" s="2" t="n"/>
      <c r="D1237" s="2" t="n"/>
      <c r="E1237" s="11" t="n"/>
      <c r="F1237" s="5" t="n"/>
    </row>
    <row r="1238">
      <c r="A1238" s="2" t="n"/>
      <c r="B1238" s="64" t="n"/>
      <c r="C1238" s="2" t="n"/>
      <c r="D1238" s="2" t="n"/>
      <c r="E1238" s="11" t="n"/>
      <c r="F1238" s="5" t="n"/>
    </row>
    <row r="1239">
      <c r="A1239" s="2" t="n"/>
      <c r="B1239" s="64" t="n"/>
      <c r="C1239" s="2" t="n"/>
      <c r="D1239" s="2" t="n"/>
      <c r="E1239" s="11" t="n"/>
      <c r="F1239" s="5" t="n"/>
    </row>
    <row r="1240">
      <c r="A1240" s="2" t="n"/>
      <c r="B1240" s="64" t="n"/>
      <c r="C1240" s="2" t="n"/>
      <c r="D1240" s="2" t="n"/>
      <c r="E1240" s="11" t="n"/>
      <c r="F1240" s="5" t="n"/>
    </row>
    <row r="1241">
      <c r="A1241" s="2" t="n"/>
      <c r="B1241" s="64" t="n"/>
      <c r="C1241" s="2" t="n"/>
      <c r="D1241" s="2" t="n"/>
      <c r="E1241" s="11" t="n"/>
      <c r="F1241" s="5" t="n"/>
    </row>
    <row r="1242">
      <c r="A1242" s="2" t="n"/>
      <c r="B1242" s="64" t="n"/>
      <c r="C1242" s="2" t="n"/>
      <c r="D1242" s="2" t="n"/>
      <c r="E1242" s="11" t="n"/>
      <c r="F1242" s="5" t="n"/>
    </row>
    <row r="1243">
      <c r="A1243" s="2" t="n"/>
      <c r="B1243" s="64" t="n"/>
      <c r="C1243" s="2" t="n"/>
      <c r="D1243" s="2" t="n"/>
      <c r="E1243" s="11" t="n"/>
      <c r="F1243" s="5" t="n"/>
    </row>
    <row r="1244">
      <c r="A1244" s="2" t="n"/>
      <c r="B1244" s="64" t="n"/>
      <c r="C1244" s="2" t="n"/>
      <c r="D1244" s="2" t="n"/>
      <c r="E1244" s="11" t="n"/>
      <c r="F1244" s="5" t="n"/>
    </row>
    <row r="1245">
      <c r="A1245" s="2" t="n"/>
      <c r="B1245" s="64" t="n"/>
      <c r="C1245" s="2" t="n"/>
      <c r="D1245" s="2" t="n"/>
      <c r="E1245" s="11" t="n"/>
      <c r="F1245" s="5" t="n"/>
    </row>
    <row r="1246">
      <c r="A1246" s="2" t="n"/>
      <c r="B1246" s="64" t="n"/>
      <c r="C1246" s="2" t="n"/>
      <c r="D1246" s="2" t="n"/>
      <c r="E1246" s="11" t="n"/>
      <c r="F1246" s="5" t="n"/>
    </row>
    <row r="1247">
      <c r="A1247" s="2" t="n"/>
      <c r="B1247" s="64" t="n"/>
      <c r="C1247" s="2" t="n"/>
      <c r="D1247" s="2" t="n"/>
      <c r="E1247" s="11" t="n"/>
      <c r="F1247" s="5" t="n"/>
    </row>
    <row r="1248">
      <c r="A1248" s="2" t="n"/>
      <c r="B1248" s="64" t="n"/>
      <c r="C1248" s="2" t="n"/>
      <c r="D1248" s="2" t="n"/>
      <c r="E1248" s="11" t="n"/>
      <c r="F1248" s="5" t="n"/>
    </row>
    <row r="1249">
      <c r="A1249" s="2" t="n"/>
      <c r="B1249" s="64" t="n"/>
      <c r="C1249" s="2" t="n"/>
      <c r="D1249" s="2" t="n"/>
      <c r="E1249" s="11" t="n"/>
      <c r="F1249" s="5" t="n"/>
    </row>
    <row r="1250">
      <c r="A1250" s="2" t="n"/>
      <c r="B1250" s="64" t="n"/>
      <c r="C1250" s="2" t="n"/>
      <c r="D1250" s="2" t="n"/>
      <c r="E1250" s="11" t="n"/>
      <c r="F1250" s="5" t="n"/>
    </row>
    <row r="1251">
      <c r="A1251" s="2" t="n"/>
      <c r="B1251" s="64" t="n"/>
      <c r="C1251" s="2" t="n"/>
      <c r="D1251" s="2" t="n"/>
      <c r="E1251" s="11" t="n"/>
      <c r="F1251" s="5" t="n"/>
    </row>
    <row r="1252">
      <c r="A1252" s="2" t="n"/>
      <c r="B1252" s="64" t="n"/>
      <c r="C1252" s="2" t="n"/>
      <c r="D1252" s="2" t="n"/>
      <c r="E1252" s="11" t="n"/>
      <c r="F1252" s="5" t="n"/>
    </row>
    <row r="1253">
      <c r="A1253" s="2" t="n"/>
      <c r="B1253" s="64" t="n"/>
      <c r="C1253" s="2" t="n"/>
      <c r="D1253" s="2" t="n"/>
      <c r="E1253" s="11" t="n"/>
      <c r="F1253" s="5" t="n"/>
    </row>
    <row r="1254">
      <c r="A1254" s="2" t="n"/>
      <c r="B1254" s="64" t="n"/>
      <c r="C1254" s="2" t="n"/>
      <c r="D1254" s="2" t="n"/>
      <c r="E1254" s="11" t="n"/>
      <c r="F1254" s="5" t="n"/>
    </row>
    <row r="1255">
      <c r="A1255" s="2" t="n"/>
      <c r="B1255" s="64" t="n"/>
      <c r="C1255" s="2" t="n"/>
      <c r="D1255" s="2" t="n"/>
      <c r="E1255" s="11" t="n"/>
      <c r="F1255" s="5" t="n"/>
    </row>
    <row r="1256">
      <c r="A1256" s="2" t="n"/>
      <c r="B1256" s="64" t="n"/>
      <c r="C1256" s="2" t="n"/>
      <c r="D1256" s="2" t="n"/>
      <c r="E1256" s="11" t="n"/>
      <c r="F1256" s="5" t="n"/>
    </row>
    <row r="1257">
      <c r="A1257" s="2" t="n"/>
      <c r="B1257" s="64" t="n"/>
      <c r="C1257" s="2" t="n"/>
      <c r="D1257" s="2" t="n"/>
      <c r="E1257" s="11" t="n"/>
      <c r="F1257" s="5" t="n"/>
    </row>
    <row r="1258">
      <c r="A1258" s="2" t="n"/>
      <c r="B1258" s="64" t="n"/>
      <c r="C1258" s="2" t="n"/>
      <c r="D1258" s="2" t="n"/>
      <c r="E1258" s="11" t="n"/>
      <c r="F1258" s="5" t="n"/>
    </row>
    <row r="1259">
      <c r="A1259" s="2" t="n"/>
      <c r="B1259" s="64" t="n"/>
      <c r="C1259" s="2" t="n"/>
      <c r="D1259" s="2" t="n"/>
      <c r="E1259" s="11" t="n"/>
      <c r="F1259" s="5" t="n"/>
    </row>
    <row r="1260">
      <c r="A1260" s="2" t="n"/>
      <c r="B1260" s="64" t="n"/>
      <c r="C1260" s="2" t="n"/>
      <c r="D1260" s="2" t="n"/>
      <c r="E1260" s="11" t="n"/>
      <c r="F1260" s="5" t="n"/>
    </row>
    <row r="1261">
      <c r="A1261" s="2" t="n"/>
      <c r="B1261" s="64" t="n"/>
      <c r="C1261" s="2" t="n"/>
      <c r="D1261" s="2" t="n"/>
      <c r="E1261" s="11" t="n"/>
      <c r="F1261" s="5" t="n"/>
    </row>
    <row r="1262">
      <c r="A1262" s="2" t="n"/>
      <c r="B1262" s="64" t="n"/>
      <c r="C1262" s="2" t="n"/>
      <c r="D1262" s="2" t="n"/>
      <c r="E1262" s="11" t="n"/>
      <c r="F1262" s="5" t="n"/>
    </row>
    <row r="1263">
      <c r="A1263" s="2" t="n"/>
      <c r="B1263" s="64" t="n"/>
      <c r="C1263" s="2" t="n"/>
      <c r="D1263" s="2" t="n"/>
      <c r="E1263" s="11" t="n"/>
      <c r="F1263" s="5" t="n"/>
    </row>
  </sheetData>
  <conditionalFormatting sqref="C545:C666">
    <cfRule type="colorScale" priority="32">
      <colorScale>
        <cfvo type="min"/>
        <cfvo type="percentile" val="50"/>
        <cfvo type="max"/>
        <color rgb="FFF8696B"/>
        <color rgb="FFFFEB84"/>
        <color rgb="FF63BE7B"/>
      </colorScale>
    </cfRule>
  </conditionalFormatting>
  <conditionalFormatting sqref="D545:D666">
    <cfRule type="colorScale" priority="33">
      <colorScale>
        <cfvo type="min"/>
        <cfvo type="percentile" val="50"/>
        <cfvo type="max"/>
        <color rgb="FFF8696B"/>
        <color rgb="FFFFEB84"/>
        <color rgb="FF63BE7B"/>
      </colorScale>
    </cfRule>
  </conditionalFormatting>
  <conditionalFormatting sqref="C521:C666">
    <cfRule type="colorScale" priority="2">
      <colorScale>
        <cfvo type="min"/>
        <cfvo type="percentile" val="50"/>
        <cfvo type="max"/>
        <color rgb="FFF8696B"/>
        <color rgb="FFFFEB84"/>
        <color rgb="FF63BE7B"/>
      </colorScale>
    </cfRule>
  </conditionalFormatting>
  <conditionalFormatting sqref="D521:D66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tabSelected="1" zoomScale="160" zoomScaleNormal="160" workbookViewId="0">
      <selection activeCell="M6" sqref="M6"/>
    </sheetView>
  </sheetViews>
  <sheetFormatPr baseColWidth="10" defaultColWidth="9.1640625" defaultRowHeight="15"/>
  <cols>
    <col width="9.1640625" customWidth="1" style="77" min="1" max="2"/>
    <col width="18.6640625" customWidth="1" style="77" min="3" max="3"/>
    <col width="13.6640625" customWidth="1" style="77" min="4" max="4"/>
    <col width="9.1640625" customWidth="1" style="77" min="5" max="6"/>
    <col width="15.33203125" customWidth="1" style="77" min="7" max="7"/>
    <col width="14" customWidth="1" style="77" min="8" max="8"/>
    <col width="13.33203125" customWidth="1" style="77" min="9" max="9"/>
    <col width="9.1640625" customWidth="1" style="77" min="10" max="17"/>
    <col width="9.1640625" customWidth="1" style="77" min="18" max="16384"/>
  </cols>
  <sheetData>
    <row r="1" ht="16" customHeight="1" s="60" thickBot="1">
      <c r="A1" s="13" t="inlineStr">
        <is>
          <t xml:space="preserve"> * Data to input</t>
        </is>
      </c>
    </row>
    <row r="2" ht="17" customHeight="1" s="60" thickBot="1">
      <c r="C2" s="28" t="n"/>
      <c r="D2" s="28" t="n"/>
      <c r="E2" s="28" t="n"/>
      <c r="F2" s="28" t="n"/>
      <c r="G2" s="28" t="n"/>
      <c r="H2" s="39" t="inlineStr">
        <is>
          <t>mom</t>
        </is>
      </c>
      <c r="I2" s="38" t="inlineStr">
        <is>
          <t>yoy</t>
        </is>
      </c>
    </row>
    <row r="3" ht="16" customHeight="1" s="60">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s="60">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s="60" thickBot="1">
      <c r="C5" s="33" t="inlineStr">
        <is>
          <t>Latest</t>
        </is>
      </c>
      <c r="D5" s="34" t="n">
        <v>44593</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s="60"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 width="12" customWidth="1" style="71" min="7" max="7"/>
    <col width="12" customWidth="1" style="72" min="8" max="8"/>
  </cols>
  <sheetData>
    <row r="1">
      <c r="A1" s="71" t="inlineStr">
        <is>
          <t>CPIAUCSL</t>
        </is>
      </c>
      <c r="C1" s="71" t="inlineStr">
        <is>
          <t>CPILFESL</t>
        </is>
      </c>
      <c r="E1" s="71" t="inlineStr">
        <is>
          <t>CPIFABSL</t>
        </is>
      </c>
      <c r="G1" s="71" t="inlineStr">
        <is>
          <t>CPIENGSL</t>
        </is>
      </c>
    </row>
    <row r="2">
      <c r="A2" s="71" t="inlineStr">
        <is>
          <t>lin</t>
        </is>
      </c>
      <c r="B2" s="72" t="inlineStr">
        <is>
          <t>Index 1982-1984=100</t>
        </is>
      </c>
      <c r="C2" s="71" t="inlineStr">
        <is>
          <t>lin</t>
        </is>
      </c>
      <c r="D2" s="72" t="inlineStr">
        <is>
          <t>Index 1982-1984=100</t>
        </is>
      </c>
      <c r="E2" s="71" t="inlineStr">
        <is>
          <t>lin</t>
        </is>
      </c>
      <c r="F2" s="72" t="inlineStr">
        <is>
          <t>Index 1982-1984=100</t>
        </is>
      </c>
      <c r="G2" s="71" t="inlineStr">
        <is>
          <t>lin</t>
        </is>
      </c>
      <c r="H2" s="72" t="inlineStr">
        <is>
          <t>Index 1982-1984=100</t>
        </is>
      </c>
    </row>
    <row r="3">
      <c r="A3" s="71" t="inlineStr">
        <is>
          <t>M</t>
        </is>
      </c>
      <c r="B3" s="72" t="inlineStr">
        <is>
          <t>Monthly</t>
        </is>
      </c>
      <c r="C3" s="71" t="inlineStr">
        <is>
          <t>M</t>
        </is>
      </c>
      <c r="D3" s="72" t="inlineStr">
        <is>
          <t>Monthly</t>
        </is>
      </c>
      <c r="E3" s="71" t="inlineStr">
        <is>
          <t>M</t>
        </is>
      </c>
      <c r="F3" s="72" t="inlineStr">
        <is>
          <t>Monthly</t>
        </is>
      </c>
      <c r="G3" s="71" t="inlineStr">
        <is>
          <t>M</t>
        </is>
      </c>
      <c r="H3" s="72" t="inlineStr">
        <is>
          <t>Monthly</t>
        </is>
      </c>
    </row>
    <row r="4">
      <c r="A4" s="71" t="n">
        <v>17168</v>
      </c>
      <c r="B4" s="72" t="inlineStr">
        <is>
          <t>1947-01-01 to 2017-01-01</t>
        </is>
      </c>
      <c r="C4" s="71" t="n">
        <v>20821</v>
      </c>
      <c r="D4" s="72" t="inlineStr">
        <is>
          <t>1957-01-01 to 2017-01-01</t>
        </is>
      </c>
      <c r="E4" s="71" t="n">
        <v>24473</v>
      </c>
      <c r="F4" s="72" t="inlineStr">
        <is>
          <t>1967-01-01 to 2017-01-01</t>
        </is>
      </c>
      <c r="G4" s="71" t="n">
        <v>20821</v>
      </c>
      <c r="H4" s="72" t="inlineStr">
        <is>
          <t>1957-01-01 to 2017-01-01</t>
        </is>
      </c>
    </row>
    <row r="5">
      <c r="A5" s="73" t="inlineStr">
        <is>
          <t>Consumer Price Index for All Urban Consumers: All Items</t>
        </is>
      </c>
      <c r="C5" s="73" t="inlineStr">
        <is>
          <t>Consumer Price Index for All Urban Consumers: All Items Less Food and Energy</t>
        </is>
      </c>
      <c r="E5" s="73" t="inlineStr">
        <is>
          <t>Consumer Price Index for All Urban Consumers: Food and Beverages</t>
        </is>
      </c>
      <c r="G5" s="73" t="inlineStr">
        <is>
          <t>Consumer Price Index for All Urban Consumers: Energy</t>
        </is>
      </c>
    </row>
    <row r="6">
      <c r="A6" s="71" t="inlineStr">
        <is>
          <t>U.S. Bureau of Labor Statistics</t>
        </is>
      </c>
      <c r="C6" s="71" t="inlineStr">
        <is>
          <t>U.S. Bureau of Labor Statistics</t>
        </is>
      </c>
      <c r="E6" s="71" t="inlineStr">
        <is>
          <t>U.S. Bureau of Labor Statistics</t>
        </is>
      </c>
      <c r="G6" s="71" t="inlineStr">
        <is>
          <t>U.S. Bureau of Labor Statistics</t>
        </is>
      </c>
    </row>
    <row r="7">
      <c r="A7" s="71" t="inlineStr">
        <is>
          <t>date</t>
        </is>
      </c>
      <c r="B7" s="72" t="inlineStr">
        <is>
          <t>value</t>
        </is>
      </c>
      <c r="C7" s="71" t="inlineStr">
        <is>
          <t>date</t>
        </is>
      </c>
      <c r="D7" s="72" t="inlineStr">
        <is>
          <t>value</t>
        </is>
      </c>
      <c r="E7" s="71" t="inlineStr">
        <is>
          <t>date</t>
        </is>
      </c>
      <c r="F7" s="72" t="inlineStr">
        <is>
          <t>value</t>
        </is>
      </c>
      <c r="G7" s="71" t="inlineStr">
        <is>
          <t>date</t>
        </is>
      </c>
      <c r="H7" s="72" t="inlineStr">
        <is>
          <t>value</t>
        </is>
      </c>
    </row>
    <row r="8">
      <c r="A8" s="71" t="n">
        <v>17168</v>
      </c>
      <c r="B8" s="72" t="n">
        <v>21.48</v>
      </c>
      <c r="C8" s="71" t="n">
        <v>20821</v>
      </c>
      <c r="D8" s="72" t="n">
        <v>28.5</v>
      </c>
      <c r="E8" s="71" t="n">
        <v>24473</v>
      </c>
      <c r="F8" s="72" t="n">
        <v>34.8</v>
      </c>
      <c r="G8" s="71" t="n">
        <v>20821</v>
      </c>
      <c r="H8" s="72" t="n">
        <v>21.3</v>
      </c>
    </row>
    <row r="9">
      <c r="A9" s="71" t="n">
        <v>17199</v>
      </c>
      <c r="B9" s="72" t="n">
        <v>21.62</v>
      </c>
      <c r="C9" s="71" t="n">
        <v>20852</v>
      </c>
      <c r="D9" s="72" t="n">
        <v>28.6</v>
      </c>
      <c r="E9" s="71" t="n">
        <v>24504</v>
      </c>
      <c r="F9" s="72" t="n">
        <v>34.7</v>
      </c>
      <c r="G9" s="71" t="n">
        <v>20852</v>
      </c>
      <c r="H9" s="72" t="n">
        <v>21.4</v>
      </c>
    </row>
    <row r="10">
      <c r="A10" s="71" t="n">
        <v>17227</v>
      </c>
      <c r="B10" s="72" t="n">
        <v>22</v>
      </c>
      <c r="C10" s="71" t="n">
        <v>20880</v>
      </c>
      <c r="D10" s="72" t="n">
        <v>28.7</v>
      </c>
      <c r="E10" s="71" t="n">
        <v>24532</v>
      </c>
      <c r="F10" s="72" t="n">
        <v>34.7</v>
      </c>
      <c r="G10" s="71" t="n">
        <v>20880</v>
      </c>
      <c r="H10" s="72" t="n">
        <v>21.5</v>
      </c>
    </row>
    <row r="11">
      <c r="A11" s="71" t="n">
        <v>17258</v>
      </c>
      <c r="B11" s="72" t="n">
        <v>22</v>
      </c>
      <c r="C11" s="71" t="n">
        <v>20911</v>
      </c>
      <c r="D11" s="72" t="n">
        <v>28.8</v>
      </c>
      <c r="E11" s="71" t="n">
        <v>24563</v>
      </c>
      <c r="F11" s="72" t="n">
        <v>34.6</v>
      </c>
      <c r="G11" s="71" t="n">
        <v>20911</v>
      </c>
      <c r="H11" s="72" t="n">
        <v>21.6</v>
      </c>
    </row>
    <row r="12">
      <c r="A12" s="71" t="n">
        <v>17288</v>
      </c>
      <c r="B12" s="72" t="n">
        <v>21.95</v>
      </c>
      <c r="C12" s="71" t="n">
        <v>20941</v>
      </c>
      <c r="D12" s="72" t="n">
        <v>28.8</v>
      </c>
      <c r="E12" s="71" t="n">
        <v>24593</v>
      </c>
      <c r="F12" s="72" t="n">
        <v>34.6</v>
      </c>
      <c r="G12" s="71" t="n">
        <v>20941</v>
      </c>
      <c r="H12" s="72" t="n">
        <v>21.6</v>
      </c>
    </row>
    <row r="13">
      <c r="A13" s="71" t="n">
        <v>17319</v>
      </c>
      <c r="B13" s="72" t="n">
        <v>22.08</v>
      </c>
      <c r="C13" s="71" t="n">
        <v>20972</v>
      </c>
      <c r="D13" s="72" t="n">
        <v>28.9</v>
      </c>
      <c r="E13" s="71" t="n">
        <v>24624</v>
      </c>
      <c r="F13" s="72" t="n">
        <v>34.9</v>
      </c>
      <c r="G13" s="71" t="n">
        <v>20972</v>
      </c>
      <c r="H13" s="72" t="n">
        <v>21.6</v>
      </c>
    </row>
    <row r="14">
      <c r="A14" s="71" t="n">
        <v>17349</v>
      </c>
      <c r="B14" s="72" t="n">
        <v>22.23</v>
      </c>
      <c r="C14" s="71" t="n">
        <v>21002</v>
      </c>
      <c r="D14" s="72" t="n">
        <v>29</v>
      </c>
      <c r="E14" s="71" t="n">
        <v>24654</v>
      </c>
      <c r="F14" s="72" t="n">
        <v>35</v>
      </c>
      <c r="G14" s="71" t="n">
        <v>21002</v>
      </c>
      <c r="H14" s="72" t="n">
        <v>21.5</v>
      </c>
    </row>
    <row r="15">
      <c r="A15" s="71" t="n">
        <v>17380</v>
      </c>
      <c r="B15" s="72" t="n">
        <v>22.4</v>
      </c>
      <c r="C15" s="71" t="n">
        <v>21033</v>
      </c>
      <c r="D15" s="72" t="n">
        <v>29</v>
      </c>
      <c r="E15" s="71" t="n">
        <v>24685</v>
      </c>
      <c r="F15" s="72" t="n">
        <v>35.2</v>
      </c>
      <c r="G15" s="71" t="n">
        <v>21033</v>
      </c>
      <c r="H15" s="72" t="n">
        <v>21.4</v>
      </c>
    </row>
    <row r="16">
      <c r="A16" s="71" t="n">
        <v>17411</v>
      </c>
      <c r="B16" s="72" t="n">
        <v>22.84</v>
      </c>
      <c r="C16" s="71" t="n">
        <v>21064</v>
      </c>
      <c r="D16" s="72" t="n">
        <v>29.1</v>
      </c>
      <c r="E16" s="71" t="n">
        <v>24716</v>
      </c>
      <c r="F16" s="72" t="n">
        <v>35.2</v>
      </c>
      <c r="G16" s="71" t="n">
        <v>21064</v>
      </c>
      <c r="H16" s="72" t="n">
        <v>21.4</v>
      </c>
    </row>
    <row r="17">
      <c r="A17" s="71" t="n">
        <v>17441</v>
      </c>
      <c r="B17" s="72" t="n">
        <v>22.91</v>
      </c>
      <c r="C17" s="71" t="n">
        <v>21094</v>
      </c>
      <c r="D17" s="72" t="n">
        <v>29.2</v>
      </c>
      <c r="E17" s="71" t="n">
        <v>24746</v>
      </c>
      <c r="F17" s="72" t="n">
        <v>35.3</v>
      </c>
      <c r="G17" s="71" t="n">
        <v>21094</v>
      </c>
      <c r="H17" s="72" t="n">
        <v>21.4</v>
      </c>
    </row>
    <row r="18">
      <c r="A18" s="71" t="n">
        <v>17472</v>
      </c>
      <c r="B18" s="72" t="n">
        <v>23.06</v>
      </c>
      <c r="C18" s="71" t="n">
        <v>21125</v>
      </c>
      <c r="D18" s="72" t="n">
        <v>29.3</v>
      </c>
      <c r="E18" s="71" t="n">
        <v>24777</v>
      </c>
      <c r="F18" s="72" t="n">
        <v>35.4</v>
      </c>
      <c r="G18" s="71" t="n">
        <v>21125</v>
      </c>
      <c r="H18" s="72" t="n">
        <v>21.5</v>
      </c>
    </row>
    <row r="19">
      <c r="A19" s="71" t="n">
        <v>17502</v>
      </c>
      <c r="B19" s="72" t="n">
        <v>23.41</v>
      </c>
      <c r="C19" s="71" t="n">
        <v>21155</v>
      </c>
      <c r="D19" s="72" t="n">
        <v>29.3</v>
      </c>
      <c r="E19" s="71" t="n">
        <v>24807</v>
      </c>
      <c r="F19" s="72" t="n">
        <v>35.5</v>
      </c>
      <c r="G19" s="71" t="n">
        <v>21155</v>
      </c>
      <c r="H19" s="72" t="n">
        <v>21.5</v>
      </c>
    </row>
    <row r="20">
      <c r="A20" s="71" t="n">
        <v>17533</v>
      </c>
      <c r="B20" s="72" t="n">
        <v>23.68</v>
      </c>
      <c r="C20" s="71" t="n">
        <v>21186</v>
      </c>
      <c r="D20" s="72" t="n">
        <v>29.3</v>
      </c>
      <c r="E20" s="71" t="n">
        <v>24838</v>
      </c>
      <c r="F20" s="72" t="n">
        <v>35.5</v>
      </c>
      <c r="G20" s="71" t="n">
        <v>21186</v>
      </c>
      <c r="H20" s="72" t="n">
        <v>21.6</v>
      </c>
    </row>
    <row r="21">
      <c r="A21" s="71" t="n">
        <v>17564</v>
      </c>
      <c r="B21" s="72" t="n">
        <v>23.67</v>
      </c>
      <c r="C21" s="71" t="n">
        <v>21217</v>
      </c>
      <c r="D21" s="72" t="n">
        <v>29.4</v>
      </c>
      <c r="E21" s="71" t="n">
        <v>24869</v>
      </c>
      <c r="F21" s="72" t="n">
        <v>35.7</v>
      </c>
      <c r="G21" s="71" t="n">
        <v>21217</v>
      </c>
      <c r="H21" s="72" t="n">
        <v>21.3</v>
      </c>
    </row>
    <row r="22">
      <c r="A22" s="71" t="n">
        <v>17593</v>
      </c>
      <c r="B22" s="72" t="n">
        <v>23.5</v>
      </c>
      <c r="C22" s="71" t="n">
        <v>21245</v>
      </c>
      <c r="D22" s="72" t="n">
        <v>29.5</v>
      </c>
      <c r="E22" s="71" t="n">
        <v>24898</v>
      </c>
      <c r="F22" s="72" t="n">
        <v>35.8</v>
      </c>
      <c r="G22" s="71" t="n">
        <v>21245</v>
      </c>
      <c r="H22" s="72" t="n">
        <v>21.4</v>
      </c>
    </row>
    <row r="23">
      <c r="A23" s="71" t="n">
        <v>17624</v>
      </c>
      <c r="B23" s="72" t="n">
        <v>23.82</v>
      </c>
      <c r="C23" s="71" t="n">
        <v>21276</v>
      </c>
      <c r="D23" s="72" t="n">
        <v>29.5</v>
      </c>
      <c r="E23" s="71" t="n">
        <v>24929</v>
      </c>
      <c r="F23" s="72" t="n">
        <v>36</v>
      </c>
      <c r="G23" s="71" t="n">
        <v>21276</v>
      </c>
      <c r="H23" s="72" t="n">
        <v>21.4</v>
      </c>
    </row>
    <row r="24">
      <c r="A24" s="71" t="n">
        <v>17654</v>
      </c>
      <c r="B24" s="72" t="n">
        <v>24.01</v>
      </c>
      <c r="C24" s="71" t="n">
        <v>21306</v>
      </c>
      <c r="D24" s="72" t="n">
        <v>29.5</v>
      </c>
      <c r="E24" s="71" t="n">
        <v>24959</v>
      </c>
      <c r="F24" s="72" t="n">
        <v>36.1</v>
      </c>
      <c r="G24" s="71" t="n">
        <v>21306</v>
      </c>
      <c r="H24" s="72" t="n">
        <v>21.5</v>
      </c>
    </row>
    <row r="25">
      <c r="A25" s="71" t="n">
        <v>17685</v>
      </c>
      <c r="B25" s="72" t="n">
        <v>24.15</v>
      </c>
      <c r="C25" s="71" t="n">
        <v>21337</v>
      </c>
      <c r="D25" s="72" t="n">
        <v>29.6</v>
      </c>
      <c r="E25" s="71" t="n">
        <v>24990</v>
      </c>
      <c r="F25" s="72" t="n">
        <v>36.1</v>
      </c>
      <c r="G25" s="71" t="n">
        <v>21337</v>
      </c>
      <c r="H25" s="72" t="n">
        <v>21.5</v>
      </c>
    </row>
    <row r="26">
      <c r="A26" s="71" t="n">
        <v>17715</v>
      </c>
      <c r="B26" s="72" t="n">
        <v>24.4</v>
      </c>
      <c r="C26" s="71" t="n">
        <v>21367</v>
      </c>
      <c r="D26" s="72" t="n">
        <v>29.6</v>
      </c>
      <c r="E26" s="71" t="n">
        <v>25020</v>
      </c>
      <c r="F26" s="72" t="n">
        <v>36.2</v>
      </c>
      <c r="G26" s="71" t="n">
        <v>21367</v>
      </c>
      <c r="H26" s="72" t="n">
        <v>21.6</v>
      </c>
    </row>
    <row r="27">
      <c r="A27" s="71" t="n">
        <v>17746</v>
      </c>
      <c r="B27" s="72" t="n">
        <v>24.43</v>
      </c>
      <c r="C27" s="71" t="n">
        <v>21398</v>
      </c>
      <c r="D27" s="72" t="n">
        <v>29.6</v>
      </c>
      <c r="E27" s="71" t="n">
        <v>25051</v>
      </c>
      <c r="F27" s="72" t="n">
        <v>36.3</v>
      </c>
      <c r="G27" s="71" t="n">
        <v>21398</v>
      </c>
      <c r="H27" s="72" t="n">
        <v>21.7</v>
      </c>
    </row>
    <row r="28">
      <c r="A28" s="71" t="n">
        <v>17777</v>
      </c>
      <c r="B28" s="72" t="n">
        <v>24.36</v>
      </c>
      <c r="C28" s="71" t="n">
        <v>21429</v>
      </c>
      <c r="D28" s="72" t="n">
        <v>29.7</v>
      </c>
      <c r="E28" s="71" t="n">
        <v>25082</v>
      </c>
      <c r="F28" s="72" t="n">
        <v>36.5</v>
      </c>
      <c r="G28" s="71" t="n">
        <v>21429</v>
      </c>
      <c r="H28" s="72" t="n">
        <v>21.7</v>
      </c>
    </row>
    <row r="29">
      <c r="A29" s="71" t="n">
        <v>17807</v>
      </c>
      <c r="B29" s="72" t="n">
        <v>24.31</v>
      </c>
      <c r="C29" s="71" t="n">
        <v>21459</v>
      </c>
      <c r="D29" s="72" t="n">
        <v>29.7</v>
      </c>
      <c r="E29" s="71" t="n">
        <v>25112</v>
      </c>
      <c r="F29" s="72" t="n">
        <v>36.8</v>
      </c>
      <c r="G29" s="71" t="n">
        <v>21459</v>
      </c>
      <c r="H29" s="72" t="n">
        <v>21.7</v>
      </c>
    </row>
    <row r="30">
      <c r="A30" s="71" t="n">
        <v>17838</v>
      </c>
      <c r="B30" s="72" t="n">
        <v>24.16</v>
      </c>
      <c r="C30" s="71" t="n">
        <v>21490</v>
      </c>
      <c r="D30" s="72" t="n">
        <v>29.8</v>
      </c>
      <c r="E30" s="71" t="n">
        <v>25143</v>
      </c>
      <c r="F30" s="72" t="n">
        <v>36.8</v>
      </c>
      <c r="G30" s="71" t="n">
        <v>21490</v>
      </c>
      <c r="H30" s="72" t="n">
        <v>21.4</v>
      </c>
    </row>
    <row r="31">
      <c r="A31" s="71" t="n">
        <v>17868</v>
      </c>
      <c r="B31" s="72" t="n">
        <v>24.05</v>
      </c>
      <c r="C31" s="71" t="n">
        <v>21520</v>
      </c>
      <c r="D31" s="72" t="n">
        <v>29.9</v>
      </c>
      <c r="E31" s="71" t="n">
        <v>25173</v>
      </c>
      <c r="F31" s="72" t="n">
        <v>37</v>
      </c>
      <c r="G31" s="71" t="n">
        <v>21520</v>
      </c>
      <c r="H31" s="72" t="n">
        <v>21.4</v>
      </c>
    </row>
    <row r="32">
      <c r="A32" s="71" t="n">
        <v>17899</v>
      </c>
      <c r="B32" s="72" t="n">
        <v>24.01</v>
      </c>
      <c r="C32" s="71" t="n">
        <v>21551</v>
      </c>
      <c r="D32" s="72" t="n">
        <v>29.9</v>
      </c>
      <c r="E32" s="71" t="n">
        <v>25204</v>
      </c>
      <c r="F32" s="72" t="n">
        <v>37</v>
      </c>
      <c r="G32" s="71" t="n">
        <v>21551</v>
      </c>
      <c r="H32" s="72" t="n">
        <v>21.4</v>
      </c>
    </row>
    <row r="33">
      <c r="A33" s="71" t="n">
        <v>17930</v>
      </c>
      <c r="B33" s="72" t="n">
        <v>23.91</v>
      </c>
      <c r="C33" s="71" t="n">
        <v>21582</v>
      </c>
      <c r="D33" s="72" t="n">
        <v>29.9</v>
      </c>
      <c r="E33" s="71" t="n">
        <v>25235</v>
      </c>
      <c r="F33" s="72" t="n">
        <v>37</v>
      </c>
      <c r="G33" s="71" t="n">
        <v>21582</v>
      </c>
      <c r="H33" s="72" t="n">
        <v>21.6</v>
      </c>
    </row>
    <row r="34">
      <c r="A34" s="71" t="n">
        <v>17958</v>
      </c>
      <c r="B34" s="72" t="n">
        <v>23.91</v>
      </c>
      <c r="C34" s="71" t="n">
        <v>21610</v>
      </c>
      <c r="D34" s="72" t="n">
        <v>30</v>
      </c>
      <c r="E34" s="71" t="n">
        <v>25263</v>
      </c>
      <c r="F34" s="72" t="n">
        <v>37.1</v>
      </c>
      <c r="G34" s="71" t="n">
        <v>21610</v>
      </c>
      <c r="H34" s="72" t="n">
        <v>21.7</v>
      </c>
    </row>
    <row r="35">
      <c r="A35" s="71" t="n">
        <v>17989</v>
      </c>
      <c r="B35" s="72" t="n">
        <v>23.92</v>
      </c>
      <c r="C35" s="71" t="n">
        <v>21641</v>
      </c>
      <c r="D35" s="72" t="n">
        <v>30</v>
      </c>
      <c r="E35" s="71" t="n">
        <v>25294</v>
      </c>
      <c r="F35" s="72" t="n">
        <v>37.4</v>
      </c>
      <c r="G35" s="71" t="n">
        <v>21641</v>
      </c>
      <c r="H35" s="72" t="n">
        <v>21.8</v>
      </c>
    </row>
    <row r="36">
      <c r="A36" s="71" t="n">
        <v>18019</v>
      </c>
      <c r="B36" s="72" t="n">
        <v>23.91</v>
      </c>
      <c r="C36" s="71" t="n">
        <v>21671</v>
      </c>
      <c r="D36" s="72" t="n">
        <v>30.1</v>
      </c>
      <c r="E36" s="71" t="n">
        <v>25324</v>
      </c>
      <c r="F36" s="72" t="n">
        <v>37.6</v>
      </c>
      <c r="G36" s="71" t="n">
        <v>21671</v>
      </c>
      <c r="H36" s="72" t="n">
        <v>21.8</v>
      </c>
    </row>
    <row r="37">
      <c r="A37" s="71" t="n">
        <v>18050</v>
      </c>
      <c r="B37" s="72" t="n">
        <v>23.92</v>
      </c>
      <c r="C37" s="71" t="n">
        <v>21702</v>
      </c>
      <c r="D37" s="72" t="n">
        <v>30.2</v>
      </c>
      <c r="E37" s="71" t="n">
        <v>25355</v>
      </c>
      <c r="F37" s="72" t="n">
        <v>38</v>
      </c>
      <c r="G37" s="71" t="n">
        <v>21702</v>
      </c>
      <c r="H37" s="72" t="n">
        <v>21.9</v>
      </c>
    </row>
    <row r="38">
      <c r="A38" s="71" t="n">
        <v>18080</v>
      </c>
      <c r="B38" s="72" t="n">
        <v>23.7</v>
      </c>
      <c r="C38" s="71" t="n">
        <v>21732</v>
      </c>
      <c r="D38" s="72" t="n">
        <v>30.2</v>
      </c>
      <c r="E38" s="71" t="n">
        <v>25385</v>
      </c>
      <c r="F38" s="72" t="n">
        <v>38.2</v>
      </c>
      <c r="G38" s="71" t="n">
        <v>21732</v>
      </c>
      <c r="H38" s="72" t="n">
        <v>21.8</v>
      </c>
    </row>
    <row r="39">
      <c r="A39" s="71" t="n">
        <v>18111</v>
      </c>
      <c r="B39" s="72" t="n">
        <v>23.7</v>
      </c>
      <c r="C39" s="71" t="n">
        <v>21763</v>
      </c>
      <c r="D39" s="72" t="n">
        <v>30.2</v>
      </c>
      <c r="E39" s="71" t="n">
        <v>25416</v>
      </c>
      <c r="F39" s="72" t="n">
        <v>38.4</v>
      </c>
      <c r="G39" s="71" t="n">
        <v>21763</v>
      </c>
      <c r="H39" s="72" t="n">
        <v>21.9</v>
      </c>
    </row>
    <row r="40">
      <c r="A40" s="71" t="n">
        <v>18142</v>
      </c>
      <c r="B40" s="72" t="n">
        <v>23.75</v>
      </c>
      <c r="C40" s="71" t="n">
        <v>21794</v>
      </c>
      <c r="D40" s="72" t="n">
        <v>30.3</v>
      </c>
      <c r="E40" s="71" t="n">
        <v>25447</v>
      </c>
      <c r="F40" s="72" t="n">
        <v>38.6</v>
      </c>
      <c r="G40" s="71" t="n">
        <v>21794</v>
      </c>
      <c r="H40" s="72" t="n">
        <v>21.9</v>
      </c>
    </row>
    <row r="41">
      <c r="A41" s="71" t="n">
        <v>18172</v>
      </c>
      <c r="B41" s="72" t="n">
        <v>23.67</v>
      </c>
      <c r="C41" s="71" t="n">
        <v>21824</v>
      </c>
      <c r="D41" s="72" t="n">
        <v>30.4</v>
      </c>
      <c r="E41" s="71" t="n">
        <v>25477</v>
      </c>
      <c r="F41" s="72" t="n">
        <v>38.7</v>
      </c>
      <c r="G41" s="71" t="n">
        <v>21824</v>
      </c>
      <c r="H41" s="72" t="n">
        <v>22.2</v>
      </c>
    </row>
    <row r="42">
      <c r="A42" s="71" t="n">
        <v>18203</v>
      </c>
      <c r="B42" s="72" t="n">
        <v>23.7</v>
      </c>
      <c r="C42" s="71" t="n">
        <v>21855</v>
      </c>
      <c r="D42" s="72" t="n">
        <v>30.4</v>
      </c>
      <c r="E42" s="71" t="n">
        <v>25508</v>
      </c>
      <c r="F42" s="72" t="n">
        <v>39.1</v>
      </c>
      <c r="G42" s="71" t="n">
        <v>21855</v>
      </c>
      <c r="H42" s="72" t="n">
        <v>22.2</v>
      </c>
    </row>
    <row r="43">
      <c r="A43" s="71" t="n">
        <v>18233</v>
      </c>
      <c r="B43" s="72" t="n">
        <v>23.61</v>
      </c>
      <c r="C43" s="71" t="n">
        <v>21885</v>
      </c>
      <c r="D43" s="72" t="n">
        <v>30.5</v>
      </c>
      <c r="E43" s="71" t="n">
        <v>25538</v>
      </c>
      <c r="F43" s="72" t="n">
        <v>39.5</v>
      </c>
      <c r="G43" s="71" t="n">
        <v>21885</v>
      </c>
      <c r="H43" s="72" t="n">
        <v>22.3</v>
      </c>
    </row>
    <row r="44">
      <c r="A44" s="71" t="n">
        <v>18264</v>
      </c>
      <c r="B44" s="72" t="n">
        <v>23.51</v>
      </c>
      <c r="C44" s="71" t="n">
        <v>21916</v>
      </c>
      <c r="D44" s="72" t="n">
        <v>30.5</v>
      </c>
      <c r="E44" s="71" t="n">
        <v>25569</v>
      </c>
      <c r="F44" s="72" t="n">
        <v>39.6</v>
      </c>
      <c r="G44" s="71" t="n">
        <v>21916</v>
      </c>
      <c r="H44" s="72" t="n">
        <v>22.3</v>
      </c>
    </row>
    <row r="45">
      <c r="A45" s="71" t="n">
        <v>18295</v>
      </c>
      <c r="B45" s="72" t="n">
        <v>23.61</v>
      </c>
      <c r="C45" s="71" t="n">
        <v>21947</v>
      </c>
      <c r="D45" s="72" t="n">
        <v>30.6</v>
      </c>
      <c r="E45" s="71" t="n">
        <v>25600</v>
      </c>
      <c r="F45" s="72" t="n">
        <v>39.8</v>
      </c>
      <c r="G45" s="71" t="n">
        <v>21947</v>
      </c>
      <c r="H45" s="72" t="n">
        <v>22.2</v>
      </c>
    </row>
    <row r="46">
      <c r="A46" s="71" t="n">
        <v>18323</v>
      </c>
      <c r="B46" s="72" t="n">
        <v>23.64</v>
      </c>
      <c r="C46" s="71" t="n">
        <v>21976</v>
      </c>
      <c r="D46" s="72" t="n">
        <v>30.6</v>
      </c>
      <c r="E46" s="71" t="n">
        <v>25628</v>
      </c>
      <c r="F46" s="72" t="n">
        <v>39.8</v>
      </c>
      <c r="G46" s="71" t="n">
        <v>21976</v>
      </c>
      <c r="H46" s="72" t="n">
        <v>22.3</v>
      </c>
    </row>
    <row r="47">
      <c r="A47" s="71" t="n">
        <v>18354</v>
      </c>
      <c r="B47" s="72" t="n">
        <v>23.65</v>
      </c>
      <c r="C47" s="71" t="n">
        <v>22007</v>
      </c>
      <c r="D47" s="72" t="n">
        <v>30.6</v>
      </c>
      <c r="E47" s="71" t="n">
        <v>25659</v>
      </c>
      <c r="F47" s="72" t="n">
        <v>39.9</v>
      </c>
      <c r="G47" s="71" t="n">
        <v>22007</v>
      </c>
      <c r="H47" s="72" t="n">
        <v>22.4</v>
      </c>
    </row>
    <row r="48">
      <c r="A48" s="71" t="n">
        <v>18384</v>
      </c>
      <c r="B48" s="72" t="n">
        <v>23.77</v>
      </c>
      <c r="C48" s="71" t="n">
        <v>22037</v>
      </c>
      <c r="D48" s="72" t="n">
        <v>30.6</v>
      </c>
      <c r="E48" s="71" t="n">
        <v>25689</v>
      </c>
      <c r="F48" s="72" t="n">
        <v>40.1</v>
      </c>
      <c r="G48" s="71" t="n">
        <v>22037</v>
      </c>
      <c r="H48" s="72" t="n">
        <v>22.3</v>
      </c>
    </row>
    <row r="49">
      <c r="A49" s="71" t="n">
        <v>18415</v>
      </c>
      <c r="B49" s="72" t="n">
        <v>23.88</v>
      </c>
      <c r="C49" s="71" t="n">
        <v>22068</v>
      </c>
      <c r="D49" s="72" t="n">
        <v>30.7</v>
      </c>
      <c r="E49" s="71" t="n">
        <v>25720</v>
      </c>
      <c r="F49" s="72" t="n">
        <v>40.1</v>
      </c>
      <c r="G49" s="71" t="n">
        <v>22068</v>
      </c>
      <c r="H49" s="72" t="n">
        <v>22.4</v>
      </c>
    </row>
    <row r="50">
      <c r="A50" s="71" t="n">
        <v>18445</v>
      </c>
      <c r="B50" s="72" t="n">
        <v>24.07</v>
      </c>
      <c r="C50" s="71" t="n">
        <v>22098</v>
      </c>
      <c r="D50" s="72" t="n">
        <v>30.6</v>
      </c>
      <c r="E50" s="71" t="n">
        <v>25750</v>
      </c>
      <c r="F50" s="72" t="n">
        <v>40.2</v>
      </c>
      <c r="G50" s="71" t="n">
        <v>22098</v>
      </c>
      <c r="H50" s="72" t="n">
        <v>22.5</v>
      </c>
    </row>
    <row r="51">
      <c r="A51" s="71" t="n">
        <v>18476</v>
      </c>
      <c r="B51" s="72" t="n">
        <v>24.2</v>
      </c>
      <c r="C51" s="71" t="n">
        <v>22129</v>
      </c>
      <c r="D51" s="72" t="n">
        <v>30.6</v>
      </c>
      <c r="E51" s="71" t="n">
        <v>25781</v>
      </c>
      <c r="F51" s="72" t="n">
        <v>40.2</v>
      </c>
      <c r="G51" s="71" t="n">
        <v>22129</v>
      </c>
      <c r="H51" s="72" t="n">
        <v>22.5</v>
      </c>
    </row>
    <row r="52">
      <c r="A52" s="71" t="n">
        <v>18507</v>
      </c>
      <c r="B52" s="72" t="n">
        <v>24.34</v>
      </c>
      <c r="C52" s="71" t="n">
        <v>22160</v>
      </c>
      <c r="D52" s="72" t="n">
        <v>30.6</v>
      </c>
      <c r="E52" s="71" t="n">
        <v>25812</v>
      </c>
      <c r="F52" s="72" t="n">
        <v>40.4</v>
      </c>
      <c r="G52" s="71" t="n">
        <v>22160</v>
      </c>
      <c r="H52" s="72" t="n">
        <v>22.6</v>
      </c>
    </row>
    <row r="53">
      <c r="A53" s="71" t="n">
        <v>18537</v>
      </c>
      <c r="B53" s="72" t="n">
        <v>24.5</v>
      </c>
      <c r="C53" s="71" t="n">
        <v>22190</v>
      </c>
      <c r="D53" s="72" t="n">
        <v>30.8</v>
      </c>
      <c r="E53" s="71" t="n">
        <v>25842</v>
      </c>
      <c r="F53" s="72" t="n">
        <v>40.5</v>
      </c>
      <c r="G53" s="71" t="n">
        <v>22190</v>
      </c>
      <c r="H53" s="72" t="n">
        <v>22.5</v>
      </c>
    </row>
    <row r="54">
      <c r="A54" s="71" t="n">
        <v>18568</v>
      </c>
      <c r="B54" s="72" t="n">
        <v>24.6</v>
      </c>
      <c r="C54" s="71" t="n">
        <v>22221</v>
      </c>
      <c r="D54" s="72" t="n">
        <v>30.8</v>
      </c>
      <c r="E54" s="71" t="n">
        <v>25873</v>
      </c>
      <c r="F54" s="72" t="n">
        <v>40.4</v>
      </c>
      <c r="G54" s="71" t="n">
        <v>22221</v>
      </c>
      <c r="H54" s="72" t="n">
        <v>22.7</v>
      </c>
    </row>
    <row r="55">
      <c r="A55" s="71" t="n">
        <v>18598</v>
      </c>
      <c r="B55" s="72" t="n">
        <v>24.98</v>
      </c>
      <c r="C55" s="71" t="n">
        <v>22251</v>
      </c>
      <c r="D55" s="72" t="n">
        <v>30.7</v>
      </c>
      <c r="E55" s="71" t="n">
        <v>25903</v>
      </c>
      <c r="F55" s="72" t="n">
        <v>40.5</v>
      </c>
      <c r="G55" s="71" t="n">
        <v>22251</v>
      </c>
      <c r="H55" s="72" t="n">
        <v>22.6</v>
      </c>
    </row>
    <row r="56">
      <c r="A56" s="71" t="n">
        <v>18629</v>
      </c>
      <c r="B56" s="72" t="n">
        <v>25.38</v>
      </c>
      <c r="C56" s="71" t="n">
        <v>22282</v>
      </c>
      <c r="D56" s="72" t="n">
        <v>30.8</v>
      </c>
      <c r="E56" s="71" t="n">
        <v>25934</v>
      </c>
      <c r="F56" s="72" t="n">
        <v>40.5</v>
      </c>
      <c r="G56" s="71" t="n">
        <v>22282</v>
      </c>
      <c r="H56" s="72" t="n">
        <v>22.7</v>
      </c>
    </row>
    <row r="57">
      <c r="A57" s="71" t="n">
        <v>18660</v>
      </c>
      <c r="B57" s="72" t="n">
        <v>25.83</v>
      </c>
      <c r="C57" s="71" t="n">
        <v>22313</v>
      </c>
      <c r="D57" s="72" t="n">
        <v>30.8</v>
      </c>
      <c r="E57" s="71" t="n">
        <v>25965</v>
      </c>
      <c r="F57" s="72" t="n">
        <v>40.5</v>
      </c>
      <c r="G57" s="71" t="n">
        <v>22313</v>
      </c>
      <c r="H57" s="72" t="n">
        <v>22.6</v>
      </c>
    </row>
    <row r="58">
      <c r="A58" s="71" t="n">
        <v>18688</v>
      </c>
      <c r="B58" s="72" t="n">
        <v>25.88</v>
      </c>
      <c r="C58" s="71" t="n">
        <v>22341</v>
      </c>
      <c r="D58" s="72" t="n">
        <v>30.9</v>
      </c>
      <c r="E58" s="71" t="n">
        <v>25993</v>
      </c>
      <c r="F58" s="72" t="n">
        <v>40.9</v>
      </c>
      <c r="G58" s="71" t="n">
        <v>22341</v>
      </c>
      <c r="H58" s="72" t="n">
        <v>22.6</v>
      </c>
    </row>
    <row r="59">
      <c r="A59" s="71" t="n">
        <v>18719</v>
      </c>
      <c r="B59" s="72" t="n">
        <v>25.92</v>
      </c>
      <c r="C59" s="71" t="n">
        <v>22372</v>
      </c>
      <c r="D59" s="72" t="n">
        <v>30.9</v>
      </c>
      <c r="E59" s="71" t="n">
        <v>26024</v>
      </c>
      <c r="F59" s="72" t="n">
        <v>41.1</v>
      </c>
      <c r="G59" s="71" t="n">
        <v>22372</v>
      </c>
      <c r="H59" s="72" t="n">
        <v>22.2</v>
      </c>
    </row>
    <row r="60">
      <c r="A60" s="71" t="n">
        <v>18749</v>
      </c>
      <c r="B60" s="72" t="n">
        <v>25.99</v>
      </c>
      <c r="C60" s="71" t="n">
        <v>22402</v>
      </c>
      <c r="D60" s="72" t="n">
        <v>30.9</v>
      </c>
      <c r="E60" s="71" t="n">
        <v>26054</v>
      </c>
      <c r="F60" s="72" t="n">
        <v>41.3</v>
      </c>
      <c r="G60" s="71" t="n">
        <v>22402</v>
      </c>
      <c r="H60" s="72" t="n">
        <v>22.4</v>
      </c>
    </row>
    <row r="61">
      <c r="A61" s="71" t="n">
        <v>18780</v>
      </c>
      <c r="B61" s="72" t="n">
        <v>25.93</v>
      </c>
      <c r="C61" s="71" t="n">
        <v>22433</v>
      </c>
      <c r="D61" s="72" t="n">
        <v>31</v>
      </c>
      <c r="E61" s="71" t="n">
        <v>26085</v>
      </c>
      <c r="F61" s="72" t="n">
        <v>41.5</v>
      </c>
      <c r="G61" s="71" t="n">
        <v>22433</v>
      </c>
      <c r="H61" s="72" t="n">
        <v>22.5</v>
      </c>
    </row>
    <row r="62">
      <c r="A62" s="71" t="n">
        <v>18810</v>
      </c>
      <c r="B62" s="72" t="n">
        <v>25.91</v>
      </c>
      <c r="C62" s="71" t="n">
        <v>22463</v>
      </c>
      <c r="D62" s="72" t="n">
        <v>31</v>
      </c>
      <c r="E62" s="71" t="n">
        <v>26115</v>
      </c>
      <c r="F62" s="72" t="n">
        <v>41.6</v>
      </c>
      <c r="G62" s="71" t="n">
        <v>22463</v>
      </c>
      <c r="H62" s="72" t="n">
        <v>22.5</v>
      </c>
    </row>
    <row r="63">
      <c r="A63" s="71" t="n">
        <v>18841</v>
      </c>
      <c r="B63" s="72" t="n">
        <v>25.86</v>
      </c>
      <c r="C63" s="71" t="n">
        <v>22494</v>
      </c>
      <c r="D63" s="72" t="n">
        <v>31.1</v>
      </c>
      <c r="E63" s="71" t="n">
        <v>26146</v>
      </c>
      <c r="F63" s="72" t="n">
        <v>41.6</v>
      </c>
      <c r="G63" s="71" t="n">
        <v>22494</v>
      </c>
      <c r="H63" s="72" t="n">
        <v>22.5</v>
      </c>
    </row>
    <row r="64">
      <c r="A64" s="71" t="n">
        <v>18872</v>
      </c>
      <c r="B64" s="72" t="n">
        <v>26.03</v>
      </c>
      <c r="C64" s="71" t="n">
        <v>22525</v>
      </c>
      <c r="D64" s="72" t="n">
        <v>31.1</v>
      </c>
      <c r="E64" s="71" t="n">
        <v>26177</v>
      </c>
      <c r="F64" s="72" t="n">
        <v>41.6</v>
      </c>
      <c r="G64" s="71" t="n">
        <v>22525</v>
      </c>
      <c r="H64" s="72" t="n">
        <v>22.6</v>
      </c>
    </row>
    <row r="65">
      <c r="A65" s="71" t="n">
        <v>18902</v>
      </c>
      <c r="B65" s="72" t="n">
        <v>26.16</v>
      </c>
      <c r="C65" s="71" t="n">
        <v>22555</v>
      </c>
      <c r="D65" s="72" t="n">
        <v>31.1</v>
      </c>
      <c r="E65" s="71" t="n">
        <v>26207</v>
      </c>
      <c r="F65" s="72" t="n">
        <v>41.7</v>
      </c>
      <c r="G65" s="71" t="n">
        <v>22555</v>
      </c>
      <c r="H65" s="72" t="n">
        <v>22.4</v>
      </c>
    </row>
    <row r="66">
      <c r="A66" s="71" t="n">
        <v>18933</v>
      </c>
      <c r="B66" s="72" t="n">
        <v>26.32</v>
      </c>
      <c r="C66" s="71" t="n">
        <v>22586</v>
      </c>
      <c r="D66" s="72" t="n">
        <v>31.2</v>
      </c>
      <c r="E66" s="71" t="n">
        <v>26238</v>
      </c>
      <c r="F66" s="72" t="n">
        <v>41.9</v>
      </c>
      <c r="G66" s="71" t="n">
        <v>22586</v>
      </c>
      <c r="H66" s="72" t="n">
        <v>22.5</v>
      </c>
    </row>
    <row r="67">
      <c r="A67" s="71" t="n">
        <v>18963</v>
      </c>
      <c r="B67" s="72" t="n">
        <v>26.47</v>
      </c>
      <c r="C67" s="71" t="n">
        <v>22616</v>
      </c>
      <c r="D67" s="72" t="n">
        <v>31.2</v>
      </c>
      <c r="E67" s="71" t="n">
        <v>26268</v>
      </c>
      <c r="F67" s="72" t="n">
        <v>42.3</v>
      </c>
      <c r="G67" s="71" t="n">
        <v>22616</v>
      </c>
      <c r="H67" s="72" t="n">
        <v>22.4</v>
      </c>
    </row>
    <row r="68">
      <c r="A68" s="71" t="n">
        <v>18994</v>
      </c>
      <c r="B68" s="72" t="n">
        <v>26.45</v>
      </c>
      <c r="C68" s="71" t="n">
        <v>22647</v>
      </c>
      <c r="D68" s="72" t="n">
        <v>31.2</v>
      </c>
      <c r="E68" s="71" t="n">
        <v>26299</v>
      </c>
      <c r="F68" s="72" t="n">
        <v>42.2</v>
      </c>
      <c r="G68" s="71" t="n">
        <v>22647</v>
      </c>
      <c r="H68" s="72" t="n">
        <v>22.4</v>
      </c>
    </row>
    <row r="69">
      <c r="A69" s="71" t="n">
        <v>19025</v>
      </c>
      <c r="B69" s="72" t="n">
        <v>26.41</v>
      </c>
      <c r="C69" s="71" t="n">
        <v>22678</v>
      </c>
      <c r="D69" s="72" t="n">
        <v>31.2</v>
      </c>
      <c r="E69" s="71" t="n">
        <v>26330</v>
      </c>
      <c r="F69" s="72" t="n">
        <v>42.6</v>
      </c>
      <c r="G69" s="71" t="n">
        <v>22678</v>
      </c>
      <c r="H69" s="72" t="n">
        <v>22.6</v>
      </c>
    </row>
    <row r="70">
      <c r="A70" s="71" t="n">
        <v>19054</v>
      </c>
      <c r="B70" s="72" t="n">
        <v>26.39</v>
      </c>
      <c r="C70" s="71" t="n">
        <v>22706</v>
      </c>
      <c r="D70" s="72" t="n">
        <v>31.3</v>
      </c>
      <c r="E70" s="71" t="n">
        <v>26359</v>
      </c>
      <c r="F70" s="72" t="n">
        <v>42.6</v>
      </c>
      <c r="G70" s="71" t="n">
        <v>22706</v>
      </c>
      <c r="H70" s="72" t="n">
        <v>22.4</v>
      </c>
    </row>
    <row r="71">
      <c r="A71" s="71" t="n">
        <v>19085</v>
      </c>
      <c r="B71" s="72" t="n">
        <v>26.46</v>
      </c>
      <c r="C71" s="71" t="n">
        <v>22737</v>
      </c>
      <c r="D71" s="72" t="n">
        <v>31.3</v>
      </c>
      <c r="E71" s="71" t="n">
        <v>26390</v>
      </c>
      <c r="F71" s="72" t="n">
        <v>42.6</v>
      </c>
      <c r="G71" s="71" t="n">
        <v>22737</v>
      </c>
      <c r="H71" s="72" t="n">
        <v>22.7</v>
      </c>
    </row>
    <row r="72">
      <c r="A72" s="71" t="n">
        <v>19115</v>
      </c>
      <c r="B72" s="72" t="n">
        <v>26.47</v>
      </c>
      <c r="C72" s="71" t="n">
        <v>22767</v>
      </c>
      <c r="D72" s="72" t="n">
        <v>31.4</v>
      </c>
      <c r="E72" s="71" t="n">
        <v>26420</v>
      </c>
      <c r="F72" s="72" t="n">
        <v>42.7</v>
      </c>
      <c r="G72" s="71" t="n">
        <v>22767</v>
      </c>
      <c r="H72" s="72" t="n">
        <v>22.7</v>
      </c>
    </row>
    <row r="73">
      <c r="A73" s="71" t="n">
        <v>19146</v>
      </c>
      <c r="B73" s="72" t="n">
        <v>26.53</v>
      </c>
      <c r="C73" s="71" t="n">
        <v>22798</v>
      </c>
      <c r="D73" s="72" t="n">
        <v>31.4</v>
      </c>
      <c r="E73" s="71" t="n">
        <v>26451</v>
      </c>
      <c r="F73" s="72" t="n">
        <v>42.8</v>
      </c>
      <c r="G73" s="71" t="n">
        <v>22798</v>
      </c>
      <c r="H73" s="72" t="n">
        <v>22.5</v>
      </c>
    </row>
    <row r="74">
      <c r="A74" s="71" t="n">
        <v>19176</v>
      </c>
      <c r="B74" s="72" t="n">
        <v>26.68</v>
      </c>
      <c r="C74" s="71" t="n">
        <v>22828</v>
      </c>
      <c r="D74" s="72" t="n">
        <v>31.4</v>
      </c>
      <c r="E74" s="71" t="n">
        <v>26481</v>
      </c>
      <c r="F74" s="72" t="n">
        <v>43.1</v>
      </c>
      <c r="G74" s="71" t="n">
        <v>22828</v>
      </c>
      <c r="H74" s="72" t="n">
        <v>22.3</v>
      </c>
    </row>
    <row r="75">
      <c r="A75" s="71" t="n">
        <v>19207</v>
      </c>
      <c r="B75" s="72" t="n">
        <v>26.69</v>
      </c>
      <c r="C75" s="71" t="n">
        <v>22859</v>
      </c>
      <c r="D75" s="72" t="n">
        <v>31.5</v>
      </c>
      <c r="E75" s="71" t="n">
        <v>26512</v>
      </c>
      <c r="F75" s="72" t="n">
        <v>43.1</v>
      </c>
      <c r="G75" s="71" t="n">
        <v>22859</v>
      </c>
      <c r="H75" s="72" t="n">
        <v>22.4</v>
      </c>
    </row>
    <row r="76">
      <c r="A76" s="71" t="n">
        <v>19238</v>
      </c>
      <c r="B76" s="72" t="n">
        <v>26.63</v>
      </c>
      <c r="C76" s="71" t="n">
        <v>22890</v>
      </c>
      <c r="D76" s="72" t="n">
        <v>31.5</v>
      </c>
      <c r="E76" s="71" t="n">
        <v>26543</v>
      </c>
      <c r="F76" s="72" t="n">
        <v>43.5</v>
      </c>
      <c r="G76" s="71" t="n">
        <v>22890</v>
      </c>
      <c r="H76" s="72" t="n">
        <v>22.8</v>
      </c>
    </row>
    <row r="77">
      <c r="A77" s="71" t="n">
        <v>19268</v>
      </c>
      <c r="B77" s="72" t="n">
        <v>26.69</v>
      </c>
      <c r="C77" s="71" t="n">
        <v>22920</v>
      </c>
      <c r="D77" s="72" t="n">
        <v>31.5</v>
      </c>
      <c r="E77" s="71" t="n">
        <v>26573</v>
      </c>
      <c r="F77" s="72" t="n">
        <v>43.7</v>
      </c>
      <c r="G77" s="71" t="n">
        <v>22920</v>
      </c>
      <c r="H77" s="72" t="n">
        <v>22.7</v>
      </c>
    </row>
    <row r="78">
      <c r="A78" s="71" t="n">
        <v>19299</v>
      </c>
      <c r="B78" s="72" t="n">
        <v>26.69</v>
      </c>
      <c r="C78" s="71" t="n">
        <v>22951</v>
      </c>
      <c r="D78" s="72" t="n">
        <v>31.5</v>
      </c>
      <c r="E78" s="71" t="n">
        <v>26604</v>
      </c>
      <c r="F78" s="72" t="n">
        <v>43.9</v>
      </c>
      <c r="G78" s="71" t="n">
        <v>22951</v>
      </c>
      <c r="H78" s="72" t="n">
        <v>22.7</v>
      </c>
    </row>
    <row r="79">
      <c r="A79" s="71" t="n">
        <v>19329</v>
      </c>
      <c r="B79" s="72" t="n">
        <v>26.71</v>
      </c>
      <c r="C79" s="71" t="n">
        <v>22981</v>
      </c>
      <c r="D79" s="72" t="n">
        <v>31.6</v>
      </c>
      <c r="E79" s="71" t="n">
        <v>26634</v>
      </c>
      <c r="F79" s="72" t="n">
        <v>44.1</v>
      </c>
      <c r="G79" s="71" t="n">
        <v>22981</v>
      </c>
      <c r="H79" s="72" t="n">
        <v>22.8</v>
      </c>
    </row>
    <row r="80">
      <c r="A80" s="71" t="n">
        <v>19360</v>
      </c>
      <c r="B80" s="72" t="n">
        <v>26.64</v>
      </c>
      <c r="C80" s="71" t="n">
        <v>23012</v>
      </c>
      <c r="D80" s="72" t="n">
        <v>31.5</v>
      </c>
      <c r="E80" s="71" t="n">
        <v>26665</v>
      </c>
      <c r="F80" s="72" t="n">
        <v>44.8</v>
      </c>
      <c r="G80" s="71" t="n">
        <v>23012</v>
      </c>
      <c r="H80" s="72" t="n">
        <v>22.8</v>
      </c>
    </row>
    <row r="81">
      <c r="A81" s="71" t="n">
        <v>19391</v>
      </c>
      <c r="B81" s="72" t="n">
        <v>26.59</v>
      </c>
      <c r="C81" s="71" t="n">
        <v>23043</v>
      </c>
      <c r="D81" s="72" t="n">
        <v>31.6</v>
      </c>
      <c r="E81" s="71" t="n">
        <v>26696</v>
      </c>
      <c r="F81" s="72" t="n">
        <v>45.5</v>
      </c>
      <c r="G81" s="71" t="n">
        <v>23043</v>
      </c>
      <c r="H81" s="72" t="n">
        <v>22.7</v>
      </c>
    </row>
    <row r="82">
      <c r="A82" s="71" t="n">
        <v>19419</v>
      </c>
      <c r="B82" s="72" t="n">
        <v>26.63</v>
      </c>
      <c r="C82" s="71" t="n">
        <v>23071</v>
      </c>
      <c r="D82" s="72" t="n">
        <v>31.7</v>
      </c>
      <c r="E82" s="71" t="n">
        <v>26724</v>
      </c>
      <c r="F82" s="72" t="n">
        <v>46.5</v>
      </c>
      <c r="G82" s="71" t="n">
        <v>23071</v>
      </c>
      <c r="H82" s="72" t="n">
        <v>22.7</v>
      </c>
    </row>
    <row r="83">
      <c r="A83" s="71" t="n">
        <v>19450</v>
      </c>
      <c r="B83" s="72" t="n">
        <v>26.69</v>
      </c>
      <c r="C83" s="71" t="n">
        <v>23102</v>
      </c>
      <c r="D83" s="72" t="n">
        <v>31.7</v>
      </c>
      <c r="E83" s="71" t="n">
        <v>26755</v>
      </c>
      <c r="F83" s="72" t="n">
        <v>47.2</v>
      </c>
      <c r="G83" s="71" t="n">
        <v>23102</v>
      </c>
      <c r="H83" s="72" t="n">
        <v>22.6</v>
      </c>
    </row>
    <row r="84">
      <c r="A84" s="71" t="n">
        <v>19480</v>
      </c>
      <c r="B84" s="72" t="n">
        <v>26.7</v>
      </c>
      <c r="C84" s="71" t="n">
        <v>23132</v>
      </c>
      <c r="D84" s="72" t="n">
        <v>31.7</v>
      </c>
      <c r="E84" s="71" t="n">
        <v>26785</v>
      </c>
      <c r="F84" s="72" t="n">
        <v>47.8</v>
      </c>
      <c r="G84" s="71" t="n">
        <v>23132</v>
      </c>
      <c r="H84" s="72" t="n">
        <v>22.6</v>
      </c>
    </row>
    <row r="85">
      <c r="A85" s="71" t="n">
        <v>19511</v>
      </c>
      <c r="B85" s="72" t="n">
        <v>26.77</v>
      </c>
      <c r="C85" s="71" t="n">
        <v>23163</v>
      </c>
      <c r="D85" s="72" t="n">
        <v>31.8</v>
      </c>
      <c r="E85" s="71" t="n">
        <v>26816</v>
      </c>
      <c r="F85" s="72" t="n">
        <v>48.3</v>
      </c>
      <c r="G85" s="71" t="n">
        <v>23163</v>
      </c>
      <c r="H85" s="72" t="n">
        <v>22.5</v>
      </c>
    </row>
    <row r="86">
      <c r="A86" s="71" t="n">
        <v>19541</v>
      </c>
      <c r="B86" s="72" t="n">
        <v>26.79</v>
      </c>
      <c r="C86" s="71" t="n">
        <v>23193</v>
      </c>
      <c r="D86" s="72" t="n">
        <v>31.8</v>
      </c>
      <c r="E86" s="71" t="n">
        <v>26846</v>
      </c>
      <c r="F86" s="72" t="n">
        <v>48.4</v>
      </c>
      <c r="G86" s="71" t="n">
        <v>23193</v>
      </c>
      <c r="H86" s="72" t="n">
        <v>22.7</v>
      </c>
    </row>
    <row r="87">
      <c r="A87" s="71" t="n">
        <v>19572</v>
      </c>
      <c r="B87" s="72" t="n">
        <v>26.85</v>
      </c>
      <c r="C87" s="71" t="n">
        <v>23224</v>
      </c>
      <c r="D87" s="72" t="n">
        <v>31.9</v>
      </c>
      <c r="E87" s="71" t="n">
        <v>26877</v>
      </c>
      <c r="F87" s="72" t="n">
        <v>50.9</v>
      </c>
      <c r="G87" s="71" t="n">
        <v>23224</v>
      </c>
      <c r="H87" s="72" t="n">
        <v>22.6</v>
      </c>
    </row>
    <row r="88">
      <c r="A88" s="71" t="n">
        <v>19603</v>
      </c>
      <c r="B88" s="72" t="n">
        <v>26.89</v>
      </c>
      <c r="C88" s="71" t="n">
        <v>23255</v>
      </c>
      <c r="D88" s="72" t="n">
        <v>31.9</v>
      </c>
      <c r="E88" s="71" t="n">
        <v>26908</v>
      </c>
      <c r="F88" s="72" t="n">
        <v>50.9</v>
      </c>
      <c r="G88" s="71" t="n">
        <v>23255</v>
      </c>
      <c r="H88" s="72" t="n">
        <v>22.5</v>
      </c>
    </row>
    <row r="89">
      <c r="A89" s="71" t="n">
        <v>19633</v>
      </c>
      <c r="B89" s="72" t="n">
        <v>26.95</v>
      </c>
      <c r="C89" s="71" t="n">
        <v>23285</v>
      </c>
      <c r="D89" s="72" t="n">
        <v>32</v>
      </c>
      <c r="E89" s="71" t="n">
        <v>26938</v>
      </c>
      <c r="F89" s="72" t="n">
        <v>51.2</v>
      </c>
      <c r="G89" s="71" t="n">
        <v>23285</v>
      </c>
      <c r="H89" s="72" t="n">
        <v>22.7</v>
      </c>
    </row>
    <row r="90">
      <c r="A90" s="71" t="n">
        <v>19664</v>
      </c>
      <c r="B90" s="72" t="n">
        <v>26.85</v>
      </c>
      <c r="C90" s="71" t="n">
        <v>23316</v>
      </c>
      <c r="D90" s="72" t="n">
        <v>32</v>
      </c>
      <c r="E90" s="71" t="n">
        <v>26969</v>
      </c>
      <c r="F90" s="72" t="n">
        <v>51.8</v>
      </c>
      <c r="G90" s="71" t="n">
        <v>23316</v>
      </c>
      <c r="H90" s="72" t="n">
        <v>22.6</v>
      </c>
    </row>
    <row r="91">
      <c r="A91" s="71" t="n">
        <v>19694</v>
      </c>
      <c r="B91" s="72" t="n">
        <v>26.87</v>
      </c>
      <c r="C91" s="71" t="n">
        <v>23346</v>
      </c>
      <c r="D91" s="72" t="n">
        <v>32.1</v>
      </c>
      <c r="E91" s="71" t="n">
        <v>26999</v>
      </c>
      <c r="F91" s="72" t="n">
        <v>52.3</v>
      </c>
      <c r="G91" s="71" t="n">
        <v>23346</v>
      </c>
      <c r="H91" s="72" t="n">
        <v>22.6</v>
      </c>
    </row>
    <row r="92">
      <c r="A92" s="71" t="n">
        <v>19725</v>
      </c>
      <c r="B92" s="72" t="n">
        <v>26.94</v>
      </c>
      <c r="C92" s="71" t="n">
        <v>23377</v>
      </c>
      <c r="D92" s="72" t="n">
        <v>32.2</v>
      </c>
      <c r="E92" s="71" t="n">
        <v>27030</v>
      </c>
      <c r="F92" s="72" t="n">
        <v>52.9</v>
      </c>
      <c r="G92" s="71" t="n">
        <v>23377</v>
      </c>
      <c r="H92" s="72" t="n">
        <v>22.8</v>
      </c>
    </row>
    <row r="93">
      <c r="A93" s="71" t="n">
        <v>19756</v>
      </c>
      <c r="B93" s="72" t="n">
        <v>26.99</v>
      </c>
      <c r="C93" s="71" t="n">
        <v>23408</v>
      </c>
      <c r="D93" s="72" t="n">
        <v>32.2</v>
      </c>
      <c r="E93" s="71" t="n">
        <v>27061</v>
      </c>
      <c r="F93" s="72" t="n">
        <v>54</v>
      </c>
      <c r="G93" s="71" t="n">
        <v>23408</v>
      </c>
      <c r="H93" s="72" t="n">
        <v>22.2</v>
      </c>
    </row>
    <row r="94">
      <c r="A94" s="71" t="n">
        <v>19784</v>
      </c>
      <c r="B94" s="72" t="n">
        <v>26.93</v>
      </c>
      <c r="C94" s="71" t="n">
        <v>23437</v>
      </c>
      <c r="D94" s="72" t="n">
        <v>32.2</v>
      </c>
      <c r="E94" s="71" t="n">
        <v>27089</v>
      </c>
      <c r="F94" s="72" t="n">
        <v>54.5</v>
      </c>
      <c r="G94" s="71" t="n">
        <v>23437</v>
      </c>
      <c r="H94" s="72" t="n">
        <v>22.6</v>
      </c>
    </row>
    <row r="95">
      <c r="A95" s="71" t="n">
        <v>19815</v>
      </c>
      <c r="B95" s="72" t="n">
        <v>26.86</v>
      </c>
      <c r="C95" s="71" t="n">
        <v>23468</v>
      </c>
      <c r="D95" s="72" t="n">
        <v>32.2</v>
      </c>
      <c r="E95" s="71" t="n">
        <v>27120</v>
      </c>
      <c r="F95" s="72" t="n">
        <v>54.4</v>
      </c>
      <c r="G95" s="71" t="n">
        <v>23468</v>
      </c>
      <c r="H95" s="72" t="n">
        <v>22.5</v>
      </c>
    </row>
    <row r="96">
      <c r="A96" s="71" t="n">
        <v>19845</v>
      </c>
      <c r="B96" s="72" t="n">
        <v>26.93</v>
      </c>
      <c r="C96" s="71" t="n">
        <v>23498</v>
      </c>
      <c r="D96" s="72" t="n">
        <v>32.2</v>
      </c>
      <c r="E96" s="71" t="n">
        <v>27150</v>
      </c>
      <c r="F96" s="72" t="n">
        <v>54.8</v>
      </c>
      <c r="G96" s="71" t="n">
        <v>23498</v>
      </c>
      <c r="H96" s="72" t="n">
        <v>22.5</v>
      </c>
    </row>
    <row r="97">
      <c r="A97" s="71" t="n">
        <v>19876</v>
      </c>
      <c r="B97" s="72" t="n">
        <v>26.94</v>
      </c>
      <c r="C97" s="71" t="n">
        <v>23529</v>
      </c>
      <c r="D97" s="72" t="n">
        <v>32.3</v>
      </c>
      <c r="E97" s="71" t="n">
        <v>27181</v>
      </c>
      <c r="F97" s="72" t="n">
        <v>54.9</v>
      </c>
      <c r="G97" s="71" t="n">
        <v>23529</v>
      </c>
      <c r="H97" s="72" t="n">
        <v>22.6</v>
      </c>
    </row>
    <row r="98">
      <c r="A98" s="71" t="n">
        <v>19906</v>
      </c>
      <c r="B98" s="72" t="n">
        <v>26.86</v>
      </c>
      <c r="C98" s="71" t="n">
        <v>23559</v>
      </c>
      <c r="D98" s="72" t="n">
        <v>32.3</v>
      </c>
      <c r="E98" s="71" t="n">
        <v>27211</v>
      </c>
      <c r="F98" s="72" t="n">
        <v>54.8</v>
      </c>
      <c r="G98" s="71" t="n">
        <v>23559</v>
      </c>
      <c r="H98" s="72" t="n">
        <v>22.5</v>
      </c>
    </row>
    <row r="99">
      <c r="A99" s="71" t="n">
        <v>19937</v>
      </c>
      <c r="B99" s="72" t="n">
        <v>26.85</v>
      </c>
      <c r="C99" s="71" t="n">
        <v>23590</v>
      </c>
      <c r="D99" s="72" t="n">
        <v>32.3</v>
      </c>
      <c r="E99" s="71" t="n">
        <v>27242</v>
      </c>
      <c r="F99" s="72" t="n">
        <v>55.5</v>
      </c>
      <c r="G99" s="71" t="n">
        <v>23590</v>
      </c>
      <c r="H99" s="72" t="n">
        <v>22.6</v>
      </c>
    </row>
    <row r="100">
      <c r="A100" s="71" t="n">
        <v>19968</v>
      </c>
      <c r="B100" s="72" t="n">
        <v>26.81</v>
      </c>
      <c r="C100" s="71" t="n">
        <v>23621</v>
      </c>
      <c r="D100" s="72" t="n">
        <v>32.3</v>
      </c>
      <c r="E100" s="71" t="n">
        <v>27273</v>
      </c>
      <c r="F100" s="72" t="n">
        <v>56.6</v>
      </c>
      <c r="G100" s="71" t="n">
        <v>23621</v>
      </c>
      <c r="H100" s="72" t="n">
        <v>22.5</v>
      </c>
    </row>
    <row r="101">
      <c r="A101" s="71" t="n">
        <v>19998</v>
      </c>
      <c r="B101" s="72" t="n">
        <v>26.72</v>
      </c>
      <c r="C101" s="71" t="n">
        <v>23651</v>
      </c>
      <c r="D101" s="72" t="n">
        <v>32.4</v>
      </c>
      <c r="E101" s="71" t="n">
        <v>27303</v>
      </c>
      <c r="F101" s="72" t="n">
        <v>57.2</v>
      </c>
      <c r="G101" s="71" t="n">
        <v>23651</v>
      </c>
      <c r="H101" s="72" t="n">
        <v>22.5</v>
      </c>
    </row>
    <row r="102">
      <c r="A102" s="71" t="n">
        <v>20029</v>
      </c>
      <c r="B102" s="72" t="n">
        <v>26.78</v>
      </c>
      <c r="C102" s="71" t="n">
        <v>23682</v>
      </c>
      <c r="D102" s="72" t="n">
        <v>32.5</v>
      </c>
      <c r="E102" s="71" t="n">
        <v>27334</v>
      </c>
      <c r="F102" s="72" t="n">
        <v>57.9</v>
      </c>
      <c r="G102" s="71" t="n">
        <v>23682</v>
      </c>
      <c r="H102" s="72" t="n">
        <v>22.5</v>
      </c>
    </row>
    <row r="103">
      <c r="A103" s="71" t="n">
        <v>20059</v>
      </c>
      <c r="B103" s="72" t="n">
        <v>26.77</v>
      </c>
      <c r="C103" s="71" t="n">
        <v>23712</v>
      </c>
      <c r="D103" s="72" t="n">
        <v>32.5</v>
      </c>
      <c r="E103" s="71" t="n">
        <v>27364</v>
      </c>
      <c r="F103" s="72" t="n">
        <v>58.6</v>
      </c>
      <c r="G103" s="71" t="n">
        <v>23712</v>
      </c>
      <c r="H103" s="72" t="n">
        <v>22.6</v>
      </c>
    </row>
    <row r="104">
      <c r="A104" s="71" t="n">
        <v>20090</v>
      </c>
      <c r="B104" s="72" t="n">
        <v>26.77</v>
      </c>
      <c r="C104" s="71" t="n">
        <v>23743</v>
      </c>
      <c r="D104" s="72" t="n">
        <v>32.6</v>
      </c>
      <c r="E104" s="71" t="n">
        <v>27395</v>
      </c>
      <c r="F104" s="72" t="n">
        <v>58.8</v>
      </c>
      <c r="G104" s="71" t="n">
        <v>23743</v>
      </c>
      <c r="H104" s="72" t="n">
        <v>22.8</v>
      </c>
    </row>
    <row r="105">
      <c r="A105" s="71" t="n">
        <v>20121</v>
      </c>
      <c r="B105" s="72" t="n">
        <v>26.82</v>
      </c>
      <c r="C105" s="71" t="n">
        <v>23774</v>
      </c>
      <c r="D105" s="72" t="n">
        <v>32.6</v>
      </c>
      <c r="E105" s="71" t="n">
        <v>27426</v>
      </c>
      <c r="F105" s="72" t="n">
        <v>59</v>
      </c>
      <c r="G105" s="71" t="n">
        <v>23774</v>
      </c>
      <c r="H105" s="72" t="n">
        <v>22.7</v>
      </c>
    </row>
    <row r="106">
      <c r="A106" s="71" t="n">
        <v>20149</v>
      </c>
      <c r="B106" s="72" t="n">
        <v>26.79</v>
      </c>
      <c r="C106" s="71" t="n">
        <v>23802</v>
      </c>
      <c r="D106" s="72" t="n">
        <v>32.6</v>
      </c>
      <c r="E106" s="71" t="n">
        <v>27454</v>
      </c>
      <c r="F106" s="72" t="n">
        <v>58.9</v>
      </c>
      <c r="G106" s="71" t="n">
        <v>23802</v>
      </c>
      <c r="H106" s="72" t="n">
        <v>22.6</v>
      </c>
    </row>
    <row r="107">
      <c r="A107" s="71" t="n">
        <v>20180</v>
      </c>
      <c r="B107" s="72" t="n">
        <v>26.79</v>
      </c>
      <c r="C107" s="71" t="n">
        <v>23833</v>
      </c>
      <c r="D107" s="72" t="n">
        <v>32.7</v>
      </c>
      <c r="E107" s="71" t="n">
        <v>27485</v>
      </c>
      <c r="F107" s="72" t="n">
        <v>58.8</v>
      </c>
      <c r="G107" s="71" t="n">
        <v>23833</v>
      </c>
      <c r="H107" s="72" t="n">
        <v>22.9</v>
      </c>
    </row>
    <row r="108">
      <c r="A108" s="71" t="n">
        <v>20210</v>
      </c>
      <c r="B108" s="72" t="n">
        <v>26.77</v>
      </c>
      <c r="C108" s="71" t="n">
        <v>23863</v>
      </c>
      <c r="D108" s="72" t="n">
        <v>32.7</v>
      </c>
      <c r="E108" s="71" t="n">
        <v>27515</v>
      </c>
      <c r="F108" s="72" t="n">
        <v>59</v>
      </c>
      <c r="G108" s="71" t="n">
        <v>23863</v>
      </c>
      <c r="H108" s="72" t="n">
        <v>23</v>
      </c>
    </row>
    <row r="109">
      <c r="A109" s="71" t="n">
        <v>20241</v>
      </c>
      <c r="B109" s="72" t="n">
        <v>26.71</v>
      </c>
      <c r="C109" s="71" t="n">
        <v>23894</v>
      </c>
      <c r="D109" s="72" t="n">
        <v>32.7</v>
      </c>
      <c r="E109" s="71" t="n">
        <v>27546</v>
      </c>
      <c r="F109" s="72" t="n">
        <v>59.6</v>
      </c>
      <c r="G109" s="71" t="n">
        <v>23894</v>
      </c>
      <c r="H109" s="72" t="n">
        <v>23.1</v>
      </c>
    </row>
    <row r="110">
      <c r="A110" s="71" t="n">
        <v>20271</v>
      </c>
      <c r="B110" s="72" t="n">
        <v>26.76</v>
      </c>
      <c r="C110" s="71" t="n">
        <v>23924</v>
      </c>
      <c r="D110" s="72" t="n">
        <v>32.7</v>
      </c>
      <c r="E110" s="71" t="n">
        <v>27576</v>
      </c>
      <c r="F110" s="72" t="n">
        <v>60.6</v>
      </c>
      <c r="G110" s="71" t="n">
        <v>23924</v>
      </c>
      <c r="H110" s="72" t="n">
        <v>23</v>
      </c>
    </row>
    <row r="111">
      <c r="A111" s="71" t="n">
        <v>20302</v>
      </c>
      <c r="B111" s="72" t="n">
        <v>26.72</v>
      </c>
      <c r="C111" s="71" t="n">
        <v>23955</v>
      </c>
      <c r="D111" s="72" t="n">
        <v>32.7</v>
      </c>
      <c r="E111" s="71" t="n">
        <v>27607</v>
      </c>
      <c r="F111" s="72" t="n">
        <v>60.7</v>
      </c>
      <c r="G111" s="71" t="n">
        <v>23955</v>
      </c>
      <c r="H111" s="72" t="n">
        <v>23</v>
      </c>
    </row>
    <row r="112">
      <c r="A112" s="71" t="n">
        <v>20333</v>
      </c>
      <c r="B112" s="72" t="n">
        <v>26.85</v>
      </c>
      <c r="C112" s="71" t="n">
        <v>23986</v>
      </c>
      <c r="D112" s="72" t="n">
        <v>32.8</v>
      </c>
      <c r="E112" s="71" t="n">
        <v>27638</v>
      </c>
      <c r="F112" s="72" t="n">
        <v>61</v>
      </c>
      <c r="G112" s="71" t="n">
        <v>23986</v>
      </c>
      <c r="H112" s="72" t="n">
        <v>23.1</v>
      </c>
    </row>
    <row r="113">
      <c r="A113" s="71" t="n">
        <v>20363</v>
      </c>
      <c r="B113" s="72" t="n">
        <v>26.82</v>
      </c>
      <c r="C113" s="71" t="n">
        <v>24016</v>
      </c>
      <c r="D113" s="72" t="n">
        <v>32.8</v>
      </c>
      <c r="E113" s="71" t="n">
        <v>27668</v>
      </c>
      <c r="F113" s="72" t="n">
        <v>61.6</v>
      </c>
      <c r="G113" s="71" t="n">
        <v>24016</v>
      </c>
      <c r="H113" s="72" t="n">
        <v>23</v>
      </c>
    </row>
    <row r="114">
      <c r="A114" s="71" t="n">
        <v>20394</v>
      </c>
      <c r="B114" s="72" t="n">
        <v>26.88</v>
      </c>
      <c r="C114" s="71" t="n">
        <v>24047</v>
      </c>
      <c r="D114" s="72" t="n">
        <v>32.9</v>
      </c>
      <c r="E114" s="71" t="n">
        <v>27699</v>
      </c>
      <c r="F114" s="72" t="n">
        <v>62</v>
      </c>
      <c r="G114" s="71" t="n">
        <v>24047</v>
      </c>
      <c r="H114" s="72" t="n">
        <v>23.1</v>
      </c>
    </row>
    <row r="115">
      <c r="A115" s="71" t="n">
        <v>20424</v>
      </c>
      <c r="B115" s="72" t="n">
        <v>26.87</v>
      </c>
      <c r="C115" s="71" t="n">
        <v>24077</v>
      </c>
      <c r="D115" s="72" t="n">
        <v>33</v>
      </c>
      <c r="E115" s="71" t="n">
        <v>27729</v>
      </c>
      <c r="F115" s="72" t="n">
        <v>62.3</v>
      </c>
      <c r="G115" s="71" t="n">
        <v>24077</v>
      </c>
      <c r="H115" s="72" t="n">
        <v>23.1</v>
      </c>
    </row>
    <row r="116">
      <c r="A116" s="71" t="n">
        <v>20455</v>
      </c>
      <c r="B116" s="72" t="n">
        <v>26.83</v>
      </c>
      <c r="C116" s="71" t="n">
        <v>24108</v>
      </c>
      <c r="D116" s="72" t="n">
        <v>33</v>
      </c>
      <c r="E116" s="71" t="n">
        <v>27760</v>
      </c>
      <c r="F116" s="72" t="n">
        <v>62.2</v>
      </c>
      <c r="G116" s="71" t="n">
        <v>24108</v>
      </c>
      <c r="H116" s="72" t="n">
        <v>23.1</v>
      </c>
    </row>
    <row r="117">
      <c r="A117" s="71" t="n">
        <v>20486</v>
      </c>
      <c r="B117" s="72" t="n">
        <v>26.86</v>
      </c>
      <c r="C117" s="71" t="n">
        <v>24139</v>
      </c>
      <c r="D117" s="72" t="n">
        <v>33.1</v>
      </c>
      <c r="E117" s="71" t="n">
        <v>27791</v>
      </c>
      <c r="F117" s="72" t="n">
        <v>61.6</v>
      </c>
      <c r="G117" s="71" t="n">
        <v>24139</v>
      </c>
      <c r="H117" s="72" t="n">
        <v>23.2</v>
      </c>
    </row>
    <row r="118">
      <c r="A118" s="71" t="n">
        <v>20515</v>
      </c>
      <c r="B118" s="72" t="n">
        <v>26.89</v>
      </c>
      <c r="C118" s="71" t="n">
        <v>24167</v>
      </c>
      <c r="D118" s="72" t="n">
        <v>33.1</v>
      </c>
      <c r="E118" s="71" t="n">
        <v>27820</v>
      </c>
      <c r="F118" s="72" t="n">
        <v>61.3</v>
      </c>
      <c r="G118" s="71" t="n">
        <v>24167</v>
      </c>
      <c r="H118" s="72" t="n">
        <v>23.2</v>
      </c>
    </row>
    <row r="119">
      <c r="A119" s="71" t="n">
        <v>20546</v>
      </c>
      <c r="B119" s="72" t="n">
        <v>26.93</v>
      </c>
      <c r="C119" s="71" t="n">
        <v>24198</v>
      </c>
      <c r="D119" s="72" t="n">
        <v>33.3</v>
      </c>
      <c r="E119" s="71" t="n">
        <v>27851</v>
      </c>
      <c r="F119" s="72" t="n">
        <v>61.3</v>
      </c>
      <c r="G119" s="71" t="n">
        <v>24198</v>
      </c>
      <c r="H119" s="72" t="n">
        <v>23.2</v>
      </c>
    </row>
    <row r="120">
      <c r="A120" s="71" t="n">
        <v>20576</v>
      </c>
      <c r="B120" s="72" t="n">
        <v>27.03</v>
      </c>
      <c r="C120" s="71" t="n">
        <v>24228</v>
      </c>
      <c r="D120" s="72" t="n">
        <v>33.4</v>
      </c>
      <c r="E120" s="71" t="n">
        <v>27881</v>
      </c>
      <c r="F120" s="72" t="n">
        <v>61.6</v>
      </c>
      <c r="G120" s="71" t="n">
        <v>24228</v>
      </c>
      <c r="H120" s="72" t="n">
        <v>23.2</v>
      </c>
    </row>
    <row r="121">
      <c r="A121" s="71" t="n">
        <v>20607</v>
      </c>
      <c r="B121" s="72" t="n">
        <v>27.15</v>
      </c>
      <c r="C121" s="71" t="n">
        <v>24259</v>
      </c>
      <c r="D121" s="72" t="n">
        <v>33.5</v>
      </c>
      <c r="E121" s="71" t="n">
        <v>27912</v>
      </c>
      <c r="F121" s="72" t="n">
        <v>61.7</v>
      </c>
      <c r="G121" s="71" t="n">
        <v>24259</v>
      </c>
      <c r="H121" s="72" t="n">
        <v>23.3</v>
      </c>
    </row>
    <row r="122">
      <c r="A122" s="71" t="n">
        <v>20637</v>
      </c>
      <c r="B122" s="72" t="n">
        <v>27.29</v>
      </c>
      <c r="C122" s="71" t="n">
        <v>24289</v>
      </c>
      <c r="D122" s="72" t="n">
        <v>33.6</v>
      </c>
      <c r="E122" s="71" t="n">
        <v>27942</v>
      </c>
      <c r="F122" s="72" t="n">
        <v>62</v>
      </c>
      <c r="G122" s="71" t="n">
        <v>24289</v>
      </c>
      <c r="H122" s="72" t="n">
        <v>23.4</v>
      </c>
    </row>
    <row r="123">
      <c r="A123" s="71" t="n">
        <v>20668</v>
      </c>
      <c r="B123" s="72" t="n">
        <v>27.31</v>
      </c>
      <c r="C123" s="71" t="n">
        <v>24320</v>
      </c>
      <c r="D123" s="72" t="n">
        <v>33.7</v>
      </c>
      <c r="E123" s="71" t="n">
        <v>27973</v>
      </c>
      <c r="F123" s="72" t="n">
        <v>62.2</v>
      </c>
      <c r="G123" s="71" t="n">
        <v>24320</v>
      </c>
      <c r="H123" s="72" t="n">
        <v>23.3</v>
      </c>
    </row>
    <row r="124">
      <c r="A124" s="71" t="n">
        <v>20699</v>
      </c>
      <c r="B124" s="72" t="n">
        <v>27.35</v>
      </c>
      <c r="C124" s="71" t="n">
        <v>24351</v>
      </c>
      <c r="D124" s="72" t="n">
        <v>33.8</v>
      </c>
      <c r="E124" s="71" t="n">
        <v>28004</v>
      </c>
      <c r="F124" s="72" t="n">
        <v>62.5</v>
      </c>
      <c r="G124" s="71" t="n">
        <v>24351</v>
      </c>
      <c r="H124" s="72" t="n">
        <v>23.4</v>
      </c>
    </row>
    <row r="125">
      <c r="A125" s="71" t="n">
        <v>20729</v>
      </c>
      <c r="B125" s="72" t="n">
        <v>27.51</v>
      </c>
      <c r="C125" s="71" t="n">
        <v>24381</v>
      </c>
      <c r="D125" s="72" t="n">
        <v>34</v>
      </c>
      <c r="E125" s="71" t="n">
        <v>28034</v>
      </c>
      <c r="F125" s="72" t="n">
        <v>62.8</v>
      </c>
      <c r="G125" s="71" t="n">
        <v>24381</v>
      </c>
      <c r="H125" s="72" t="n">
        <v>23.4</v>
      </c>
    </row>
    <row r="126">
      <c r="A126" s="71" t="n">
        <v>20760</v>
      </c>
      <c r="B126" s="72" t="n">
        <v>27.51</v>
      </c>
      <c r="C126" s="71" t="n">
        <v>24412</v>
      </c>
      <c r="D126" s="72" t="n">
        <v>34</v>
      </c>
      <c r="E126" s="71" t="n">
        <v>28065</v>
      </c>
      <c r="F126" s="72" t="n">
        <v>62.8</v>
      </c>
      <c r="G126" s="71" t="n">
        <v>24412</v>
      </c>
      <c r="H126" s="72" t="n">
        <v>23.5</v>
      </c>
    </row>
    <row r="127">
      <c r="A127" s="71" t="n">
        <v>20790</v>
      </c>
      <c r="B127" s="72" t="n">
        <v>27.63</v>
      </c>
      <c r="C127" s="71" t="n">
        <v>24442</v>
      </c>
      <c r="D127" s="72" t="n">
        <v>34.1</v>
      </c>
      <c r="E127" s="71" t="n">
        <v>28095</v>
      </c>
      <c r="F127" s="72" t="n">
        <v>62.9</v>
      </c>
      <c r="G127" s="71" t="n">
        <v>24442</v>
      </c>
      <c r="H127" s="72" t="n">
        <v>23.5</v>
      </c>
    </row>
    <row r="128">
      <c r="A128" s="71" t="n">
        <v>20821</v>
      </c>
      <c r="B128" s="72" t="n">
        <v>27.67</v>
      </c>
      <c r="C128" s="71" t="n">
        <v>24473</v>
      </c>
      <c r="D128" s="72" t="n">
        <v>34.2</v>
      </c>
      <c r="E128" s="71" t="n">
        <v>28126</v>
      </c>
      <c r="F128" s="72" t="n">
        <v>63.1</v>
      </c>
      <c r="G128" s="71" t="n">
        <v>24473</v>
      </c>
      <c r="H128" s="72" t="n">
        <v>23.6</v>
      </c>
    </row>
    <row r="129">
      <c r="A129" s="71" t="n">
        <v>20852</v>
      </c>
      <c r="B129" s="72" t="n">
        <v>27.8</v>
      </c>
      <c r="C129" s="71" t="n">
        <v>24504</v>
      </c>
      <c r="D129" s="72" t="n">
        <v>34.2</v>
      </c>
      <c r="E129" s="71" t="n">
        <v>28157</v>
      </c>
      <c r="F129" s="72" t="n">
        <v>64.2</v>
      </c>
      <c r="G129" s="71" t="n">
        <v>24504</v>
      </c>
      <c r="H129" s="72" t="n">
        <v>23.7</v>
      </c>
    </row>
    <row r="130">
      <c r="A130" s="71" t="n">
        <v>20880</v>
      </c>
      <c r="B130" s="72" t="n">
        <v>27.86</v>
      </c>
      <c r="C130" s="71" t="n">
        <v>24532</v>
      </c>
      <c r="D130" s="72" t="n">
        <v>34.3</v>
      </c>
      <c r="E130" s="71" t="n">
        <v>28185</v>
      </c>
      <c r="F130" s="72" t="n">
        <v>64.5</v>
      </c>
      <c r="G130" s="71" t="n">
        <v>24532</v>
      </c>
      <c r="H130" s="72" t="n">
        <v>23.6</v>
      </c>
    </row>
    <row r="131">
      <c r="A131" s="71" t="n">
        <v>20911</v>
      </c>
      <c r="B131" s="72" t="n">
        <v>27.93</v>
      </c>
      <c r="C131" s="71" t="n">
        <v>24563</v>
      </c>
      <c r="D131" s="72" t="n">
        <v>34.4</v>
      </c>
      <c r="E131" s="71" t="n">
        <v>28216</v>
      </c>
      <c r="F131" s="72" t="n">
        <v>65.2</v>
      </c>
      <c r="G131" s="71" t="n">
        <v>24563</v>
      </c>
      <c r="H131" s="72" t="n">
        <v>23.9</v>
      </c>
    </row>
    <row r="132">
      <c r="A132" s="71" t="n">
        <v>20941</v>
      </c>
      <c r="B132" s="72" t="n">
        <v>28</v>
      </c>
      <c r="C132" s="71" t="n">
        <v>24593</v>
      </c>
      <c r="D132" s="72" t="n">
        <v>34.5</v>
      </c>
      <c r="E132" s="71" t="n">
        <v>28246</v>
      </c>
      <c r="F132" s="72" t="n">
        <v>65.5</v>
      </c>
      <c r="G132" s="71" t="n">
        <v>24593</v>
      </c>
      <c r="H132" s="72" t="n">
        <v>23.9</v>
      </c>
    </row>
    <row r="133">
      <c r="A133" s="71" t="n">
        <v>20972</v>
      </c>
      <c r="B133" s="72" t="n">
        <v>28.11</v>
      </c>
      <c r="C133" s="71" t="n">
        <v>24624</v>
      </c>
      <c r="D133" s="72" t="n">
        <v>34.6</v>
      </c>
      <c r="E133" s="71" t="n">
        <v>28277</v>
      </c>
      <c r="F133" s="72" t="n">
        <v>65.90000000000001</v>
      </c>
      <c r="G133" s="71" t="n">
        <v>24624</v>
      </c>
      <c r="H133" s="72" t="n">
        <v>23.8</v>
      </c>
    </row>
    <row r="134">
      <c r="A134" s="71" t="n">
        <v>21002</v>
      </c>
      <c r="B134" s="72" t="n">
        <v>28.19</v>
      </c>
      <c r="C134" s="71" t="n">
        <v>24654</v>
      </c>
      <c r="D134" s="72" t="n">
        <v>34.7</v>
      </c>
      <c r="E134" s="71" t="n">
        <v>28307</v>
      </c>
      <c r="F134" s="72" t="n">
        <v>66.09999999999999</v>
      </c>
      <c r="G134" s="71" t="n">
        <v>24654</v>
      </c>
      <c r="H134" s="72" t="n">
        <v>23.8</v>
      </c>
    </row>
    <row r="135">
      <c r="A135" s="71" t="n">
        <v>21033</v>
      </c>
      <c r="B135" s="72" t="n">
        <v>28.28</v>
      </c>
      <c r="C135" s="71" t="n">
        <v>24685</v>
      </c>
      <c r="D135" s="72" t="n">
        <v>34.9</v>
      </c>
      <c r="E135" s="71" t="n">
        <v>28338</v>
      </c>
      <c r="F135" s="72" t="n">
        <v>66.40000000000001</v>
      </c>
      <c r="G135" s="71" t="n">
        <v>24685</v>
      </c>
      <c r="H135" s="72" t="n">
        <v>23.9</v>
      </c>
    </row>
    <row r="136">
      <c r="A136" s="71" t="n">
        <v>21064</v>
      </c>
      <c r="B136" s="72" t="n">
        <v>28.32</v>
      </c>
      <c r="C136" s="71" t="n">
        <v>24716</v>
      </c>
      <c r="D136" s="72" t="n">
        <v>35</v>
      </c>
      <c r="E136" s="71" t="n">
        <v>28369</v>
      </c>
      <c r="F136" s="72" t="n">
        <v>66.59999999999999</v>
      </c>
      <c r="G136" s="71" t="n">
        <v>24716</v>
      </c>
      <c r="H136" s="72" t="n">
        <v>24</v>
      </c>
    </row>
    <row r="137">
      <c r="A137" s="71" t="n">
        <v>21094</v>
      </c>
      <c r="B137" s="72" t="n">
        <v>28.32</v>
      </c>
      <c r="C137" s="71" t="n">
        <v>24746</v>
      </c>
      <c r="D137" s="72" t="n">
        <v>35.1</v>
      </c>
      <c r="E137" s="71" t="n">
        <v>28399</v>
      </c>
      <c r="F137" s="72" t="n">
        <v>66.8</v>
      </c>
      <c r="G137" s="71" t="n">
        <v>24746</v>
      </c>
      <c r="H137" s="72" t="n">
        <v>23.9</v>
      </c>
    </row>
    <row r="138">
      <c r="A138" s="71" t="n">
        <v>21125</v>
      </c>
      <c r="B138" s="72" t="n">
        <v>28.41</v>
      </c>
      <c r="C138" s="71" t="n">
        <v>24777</v>
      </c>
      <c r="D138" s="72" t="n">
        <v>35.2</v>
      </c>
      <c r="E138" s="71" t="n">
        <v>28430</v>
      </c>
      <c r="F138" s="72" t="n">
        <v>67.40000000000001</v>
      </c>
      <c r="G138" s="71" t="n">
        <v>24777</v>
      </c>
      <c r="H138" s="72" t="n">
        <v>24</v>
      </c>
    </row>
    <row r="139">
      <c r="A139" s="71" t="n">
        <v>21155</v>
      </c>
      <c r="B139" s="72" t="n">
        <v>28.47</v>
      </c>
      <c r="C139" s="71" t="n">
        <v>24807</v>
      </c>
      <c r="D139" s="72" t="n">
        <v>35.4</v>
      </c>
      <c r="E139" s="71" t="n">
        <v>28460</v>
      </c>
      <c r="F139" s="72" t="n">
        <v>67.5</v>
      </c>
      <c r="G139" s="71" t="n">
        <v>24807</v>
      </c>
      <c r="H139" s="72" t="n">
        <v>23.9</v>
      </c>
    </row>
    <row r="140">
      <c r="A140" s="71" t="n">
        <v>21186</v>
      </c>
      <c r="B140" s="72" t="n">
        <v>28.64</v>
      </c>
      <c r="C140" s="71" t="n">
        <v>24838</v>
      </c>
      <c r="D140" s="72" t="n">
        <v>35.5</v>
      </c>
      <c r="E140" s="71" t="n">
        <v>28491</v>
      </c>
      <c r="F140" s="72" t="n">
        <v>68.09999999999999</v>
      </c>
      <c r="G140" s="71" t="n">
        <v>24838</v>
      </c>
      <c r="H140" s="72" t="n">
        <v>24</v>
      </c>
    </row>
    <row r="141">
      <c r="A141" s="71" t="n">
        <v>21217</v>
      </c>
      <c r="B141" s="72" t="n">
        <v>28.7</v>
      </c>
      <c r="C141" s="71" t="n">
        <v>24869</v>
      </c>
      <c r="D141" s="72" t="n">
        <v>35.7</v>
      </c>
      <c r="E141" s="71" t="n">
        <v>28522</v>
      </c>
      <c r="F141" s="72" t="n">
        <v>68.8</v>
      </c>
      <c r="G141" s="71" t="n">
        <v>24869</v>
      </c>
      <c r="H141" s="72" t="n">
        <v>24.1</v>
      </c>
    </row>
    <row r="142">
      <c r="A142" s="71" t="n">
        <v>21245</v>
      </c>
      <c r="B142" s="72" t="n">
        <v>28.87</v>
      </c>
      <c r="C142" s="71" t="n">
        <v>24898</v>
      </c>
      <c r="D142" s="72" t="n">
        <v>35.8</v>
      </c>
      <c r="E142" s="71" t="n">
        <v>28550</v>
      </c>
      <c r="F142" s="72" t="n">
        <v>69.59999999999999</v>
      </c>
      <c r="G142" s="71" t="n">
        <v>24898</v>
      </c>
      <c r="H142" s="72" t="n">
        <v>24.1</v>
      </c>
    </row>
    <row r="143">
      <c r="A143" s="71" t="n">
        <v>21276</v>
      </c>
      <c r="B143" s="72" t="n">
        <v>28.94</v>
      </c>
      <c r="C143" s="71" t="n">
        <v>24929</v>
      </c>
      <c r="D143" s="72" t="n">
        <v>35.9</v>
      </c>
      <c r="E143" s="71" t="n">
        <v>28581</v>
      </c>
      <c r="F143" s="72" t="n">
        <v>70.7</v>
      </c>
      <c r="G143" s="71" t="n">
        <v>24929</v>
      </c>
      <c r="H143" s="72" t="n">
        <v>24</v>
      </c>
    </row>
    <row r="144">
      <c r="A144" s="71" t="n">
        <v>21306</v>
      </c>
      <c r="B144" s="72" t="n">
        <v>28.94</v>
      </c>
      <c r="C144" s="71" t="n">
        <v>24959</v>
      </c>
      <c r="D144" s="72" t="n">
        <v>36</v>
      </c>
      <c r="E144" s="71" t="n">
        <v>28611</v>
      </c>
      <c r="F144" s="72" t="n">
        <v>71.7</v>
      </c>
      <c r="G144" s="71" t="n">
        <v>24959</v>
      </c>
      <c r="H144" s="72" t="n">
        <v>24.1</v>
      </c>
    </row>
    <row r="145">
      <c r="A145" s="71" t="n">
        <v>21337</v>
      </c>
      <c r="B145" s="72" t="n">
        <v>28.91</v>
      </c>
      <c r="C145" s="71" t="n">
        <v>24990</v>
      </c>
      <c r="D145" s="72" t="n">
        <v>36.2</v>
      </c>
      <c r="E145" s="71" t="n">
        <v>28642</v>
      </c>
      <c r="F145" s="72" t="n">
        <v>72.8</v>
      </c>
      <c r="G145" s="71" t="n">
        <v>24990</v>
      </c>
      <c r="H145" s="72" t="n">
        <v>24.2</v>
      </c>
    </row>
    <row r="146">
      <c r="A146" s="71" t="n">
        <v>21367</v>
      </c>
      <c r="B146" s="72" t="n">
        <v>28.89</v>
      </c>
      <c r="C146" s="71" t="n">
        <v>25020</v>
      </c>
      <c r="D146" s="72" t="n">
        <v>36.4</v>
      </c>
      <c r="E146" s="71" t="n">
        <v>28672</v>
      </c>
      <c r="F146" s="72" t="n">
        <v>73.09999999999999</v>
      </c>
      <c r="G146" s="71" t="n">
        <v>25020</v>
      </c>
      <c r="H146" s="72" t="n">
        <v>24.2</v>
      </c>
    </row>
    <row r="147">
      <c r="A147" s="71" t="n">
        <v>21398</v>
      </c>
      <c r="B147" s="72" t="n">
        <v>28.94</v>
      </c>
      <c r="C147" s="71" t="n">
        <v>25051</v>
      </c>
      <c r="D147" s="72" t="n">
        <v>36.5</v>
      </c>
      <c r="E147" s="71" t="n">
        <v>28703</v>
      </c>
      <c r="F147" s="72" t="n">
        <v>73.40000000000001</v>
      </c>
      <c r="G147" s="71" t="n">
        <v>25051</v>
      </c>
      <c r="H147" s="72" t="n">
        <v>24.3</v>
      </c>
    </row>
    <row r="148">
      <c r="A148" s="71" t="n">
        <v>21429</v>
      </c>
      <c r="B148" s="72" t="n">
        <v>28.91</v>
      </c>
      <c r="C148" s="71" t="n">
        <v>25082</v>
      </c>
      <c r="D148" s="72" t="n">
        <v>36.7</v>
      </c>
      <c r="E148" s="71" t="n">
        <v>28734</v>
      </c>
      <c r="F148" s="72" t="n">
        <v>73.7</v>
      </c>
      <c r="G148" s="71" t="n">
        <v>25082</v>
      </c>
      <c r="H148" s="72" t="n">
        <v>24.3</v>
      </c>
    </row>
    <row r="149">
      <c r="A149" s="71" t="n">
        <v>21459</v>
      </c>
      <c r="B149" s="72" t="n">
        <v>28.91</v>
      </c>
      <c r="C149" s="71" t="n">
        <v>25112</v>
      </c>
      <c r="D149" s="72" t="n">
        <v>36.9</v>
      </c>
      <c r="E149" s="71" t="n">
        <v>28764</v>
      </c>
      <c r="F149" s="72" t="n">
        <v>74.3</v>
      </c>
      <c r="G149" s="71" t="n">
        <v>25112</v>
      </c>
      <c r="H149" s="72" t="n">
        <v>24.3</v>
      </c>
    </row>
    <row r="150">
      <c r="A150" s="71" t="n">
        <v>21490</v>
      </c>
      <c r="B150" s="72" t="n">
        <v>28.95</v>
      </c>
      <c r="C150" s="71" t="n">
        <v>25143</v>
      </c>
      <c r="D150" s="72" t="n">
        <v>37.1</v>
      </c>
      <c r="E150" s="71" t="n">
        <v>28795</v>
      </c>
      <c r="F150" s="72" t="n">
        <v>74.8</v>
      </c>
      <c r="G150" s="71" t="n">
        <v>25143</v>
      </c>
      <c r="H150" s="72" t="n">
        <v>24.4</v>
      </c>
    </row>
    <row r="151">
      <c r="A151" s="71" t="n">
        <v>21520</v>
      </c>
      <c r="B151" s="72" t="n">
        <v>28.97</v>
      </c>
      <c r="C151" s="71" t="n">
        <v>25173</v>
      </c>
      <c r="D151" s="72" t="n">
        <v>37.2</v>
      </c>
      <c r="E151" s="71" t="n">
        <v>28825</v>
      </c>
      <c r="F151" s="72" t="n">
        <v>75.2</v>
      </c>
      <c r="G151" s="71" t="n">
        <v>25173</v>
      </c>
      <c r="H151" s="72" t="n">
        <v>24.3</v>
      </c>
    </row>
    <row r="152">
      <c r="A152" s="71" t="n">
        <v>21551</v>
      </c>
      <c r="B152" s="72" t="n">
        <v>29.01</v>
      </c>
      <c r="C152" s="71" t="n">
        <v>25204</v>
      </c>
      <c r="D152" s="72" t="n">
        <v>37.3</v>
      </c>
      <c r="E152" s="71" t="n">
        <v>28856</v>
      </c>
      <c r="F152" s="72" t="n">
        <v>76.5</v>
      </c>
      <c r="G152" s="71" t="n">
        <v>25204</v>
      </c>
      <c r="H152" s="72" t="n">
        <v>24.4</v>
      </c>
    </row>
    <row r="153">
      <c r="A153" s="71" t="n">
        <v>21582</v>
      </c>
      <c r="B153" s="72" t="n">
        <v>29</v>
      </c>
      <c r="C153" s="71" t="n">
        <v>25235</v>
      </c>
      <c r="D153" s="72" t="n">
        <v>37.6</v>
      </c>
      <c r="E153" s="71" t="n">
        <v>28887</v>
      </c>
      <c r="F153" s="72" t="n">
        <v>77.7</v>
      </c>
      <c r="G153" s="71" t="n">
        <v>25235</v>
      </c>
      <c r="H153" s="72" t="n">
        <v>24.4</v>
      </c>
    </row>
    <row r="154">
      <c r="A154" s="71" t="n">
        <v>21610</v>
      </c>
      <c r="B154" s="72" t="n">
        <v>28.97</v>
      </c>
      <c r="C154" s="71" t="n">
        <v>25263</v>
      </c>
      <c r="D154" s="72" t="n">
        <v>37.8</v>
      </c>
      <c r="E154" s="71" t="n">
        <v>28915</v>
      </c>
      <c r="F154" s="72" t="n">
        <v>78.40000000000001</v>
      </c>
      <c r="G154" s="71" t="n">
        <v>25263</v>
      </c>
      <c r="H154" s="72" t="n">
        <v>24.7</v>
      </c>
    </row>
    <row r="155">
      <c r="A155" s="71" t="n">
        <v>21641</v>
      </c>
      <c r="B155" s="72" t="n">
        <v>28.98</v>
      </c>
      <c r="C155" s="71" t="n">
        <v>25294</v>
      </c>
      <c r="D155" s="72" t="n">
        <v>38.1</v>
      </c>
      <c r="E155" s="71" t="n">
        <v>28946</v>
      </c>
      <c r="F155" s="72" t="n">
        <v>78.90000000000001</v>
      </c>
      <c r="G155" s="71" t="n">
        <v>25294</v>
      </c>
      <c r="H155" s="72" t="n">
        <v>24.9</v>
      </c>
    </row>
    <row r="156">
      <c r="A156" s="71" t="n">
        <v>21671</v>
      </c>
      <c r="B156" s="72" t="n">
        <v>29.04</v>
      </c>
      <c r="C156" s="71" t="n">
        <v>25324</v>
      </c>
      <c r="D156" s="72" t="n">
        <v>38.1</v>
      </c>
      <c r="E156" s="71" t="n">
        <v>28976</v>
      </c>
      <c r="F156" s="72" t="n">
        <v>79.7</v>
      </c>
      <c r="G156" s="71" t="n">
        <v>25324</v>
      </c>
      <c r="H156" s="72" t="n">
        <v>24.8</v>
      </c>
    </row>
    <row r="157">
      <c r="A157" s="71" t="n">
        <v>21702</v>
      </c>
      <c r="B157" s="72" t="n">
        <v>29.11</v>
      </c>
      <c r="C157" s="71" t="n">
        <v>25355</v>
      </c>
      <c r="D157" s="72" t="n">
        <v>38.3</v>
      </c>
      <c r="E157" s="71" t="n">
        <v>29007</v>
      </c>
      <c r="F157" s="72" t="n">
        <v>80</v>
      </c>
      <c r="G157" s="71" t="n">
        <v>25355</v>
      </c>
      <c r="H157" s="72" t="n">
        <v>25</v>
      </c>
    </row>
    <row r="158">
      <c r="A158" s="71" t="n">
        <v>21732</v>
      </c>
      <c r="B158" s="72" t="n">
        <v>29.15</v>
      </c>
      <c r="C158" s="71" t="n">
        <v>25385</v>
      </c>
      <c r="D158" s="72" t="n">
        <v>38.5</v>
      </c>
      <c r="E158" s="71" t="n">
        <v>29037</v>
      </c>
      <c r="F158" s="72" t="n">
        <v>80.40000000000001</v>
      </c>
      <c r="G158" s="71" t="n">
        <v>25385</v>
      </c>
      <c r="H158" s="72" t="n">
        <v>24.9</v>
      </c>
    </row>
    <row r="159">
      <c r="A159" s="71" t="n">
        <v>21763</v>
      </c>
      <c r="B159" s="72" t="n">
        <v>29.18</v>
      </c>
      <c r="C159" s="71" t="n">
        <v>25416</v>
      </c>
      <c r="D159" s="72" t="n">
        <v>38.7</v>
      </c>
      <c r="E159" s="71" t="n">
        <v>29068</v>
      </c>
      <c r="F159" s="72" t="n">
        <v>80.3</v>
      </c>
      <c r="G159" s="71" t="n">
        <v>25416</v>
      </c>
      <c r="H159" s="72" t="n">
        <v>24.9</v>
      </c>
    </row>
    <row r="160">
      <c r="A160" s="71" t="n">
        <v>21794</v>
      </c>
      <c r="B160" s="72" t="n">
        <v>29.25</v>
      </c>
      <c r="C160" s="71" t="n">
        <v>25447</v>
      </c>
      <c r="D160" s="72" t="n">
        <v>38.9</v>
      </c>
      <c r="E160" s="71" t="n">
        <v>29099</v>
      </c>
      <c r="F160" s="72" t="n">
        <v>80.90000000000001</v>
      </c>
      <c r="G160" s="71" t="n">
        <v>25447</v>
      </c>
      <c r="H160" s="72" t="n">
        <v>25</v>
      </c>
    </row>
    <row r="161">
      <c r="A161" s="71" t="n">
        <v>21824</v>
      </c>
      <c r="B161" s="72" t="n">
        <v>29.35</v>
      </c>
      <c r="C161" s="71" t="n">
        <v>25477</v>
      </c>
      <c r="D161" s="72" t="n">
        <v>39.1</v>
      </c>
      <c r="E161" s="71" t="n">
        <v>29129</v>
      </c>
      <c r="F161" s="72" t="n">
        <v>81.5</v>
      </c>
      <c r="G161" s="71" t="n">
        <v>25477</v>
      </c>
      <c r="H161" s="72" t="n">
        <v>25</v>
      </c>
    </row>
    <row r="162">
      <c r="A162" s="71" t="n">
        <v>21855</v>
      </c>
      <c r="B162" s="72" t="n">
        <v>29.35</v>
      </c>
      <c r="C162" s="71" t="n">
        <v>25508</v>
      </c>
      <c r="D162" s="72" t="n">
        <v>39.2</v>
      </c>
      <c r="E162" s="71" t="n">
        <v>29160</v>
      </c>
      <c r="F162" s="72" t="n">
        <v>82.09999999999999</v>
      </c>
      <c r="G162" s="71" t="n">
        <v>25508</v>
      </c>
      <c r="H162" s="72" t="n">
        <v>25</v>
      </c>
    </row>
    <row r="163">
      <c r="A163" s="71" t="n">
        <v>21885</v>
      </c>
      <c r="B163" s="72" t="n">
        <v>29.41</v>
      </c>
      <c r="C163" s="71" t="n">
        <v>25538</v>
      </c>
      <c r="D163" s="72" t="n">
        <v>39.4</v>
      </c>
      <c r="E163" s="71" t="n">
        <v>29190</v>
      </c>
      <c r="F163" s="72" t="n">
        <v>82.8</v>
      </c>
      <c r="G163" s="71" t="n">
        <v>25538</v>
      </c>
      <c r="H163" s="72" t="n">
        <v>25.1</v>
      </c>
    </row>
    <row r="164">
      <c r="A164" s="71" t="n">
        <v>21916</v>
      </c>
      <c r="B164" s="72" t="n">
        <v>29.37</v>
      </c>
      <c r="C164" s="71" t="n">
        <v>25569</v>
      </c>
      <c r="D164" s="72" t="n">
        <v>39.6</v>
      </c>
      <c r="E164" s="71" t="n">
        <v>29221</v>
      </c>
      <c r="F164" s="72" t="n">
        <v>83.3</v>
      </c>
      <c r="G164" s="71" t="n">
        <v>25569</v>
      </c>
      <c r="H164" s="72" t="n">
        <v>25.1</v>
      </c>
    </row>
    <row r="165">
      <c r="A165" s="71" t="n">
        <v>21947</v>
      </c>
      <c r="B165" s="72" t="n">
        <v>29.41</v>
      </c>
      <c r="C165" s="71" t="n">
        <v>25600</v>
      </c>
      <c r="D165" s="72" t="n">
        <v>39.8</v>
      </c>
      <c r="E165" s="71" t="n">
        <v>29252</v>
      </c>
      <c r="F165" s="72" t="n">
        <v>83.40000000000001</v>
      </c>
      <c r="G165" s="71" t="n">
        <v>25600</v>
      </c>
      <c r="H165" s="72" t="n">
        <v>25.1</v>
      </c>
    </row>
    <row r="166">
      <c r="A166" s="71" t="n">
        <v>21976</v>
      </c>
      <c r="B166" s="72" t="n">
        <v>29.41</v>
      </c>
      <c r="C166" s="71" t="n">
        <v>25628</v>
      </c>
      <c r="D166" s="72" t="n">
        <v>40.1</v>
      </c>
      <c r="E166" s="71" t="n">
        <v>29281</v>
      </c>
      <c r="F166" s="72" t="n">
        <v>84.09999999999999</v>
      </c>
      <c r="G166" s="71" t="n">
        <v>25628</v>
      </c>
      <c r="H166" s="72" t="n">
        <v>25</v>
      </c>
    </row>
    <row r="167">
      <c r="A167" s="71" t="n">
        <v>22007</v>
      </c>
      <c r="B167" s="72" t="n">
        <v>29.54</v>
      </c>
      <c r="C167" s="71" t="n">
        <v>25659</v>
      </c>
      <c r="D167" s="72" t="n">
        <v>40.4</v>
      </c>
      <c r="E167" s="71" t="n">
        <v>29312</v>
      </c>
      <c r="F167" s="72" t="n">
        <v>84.59999999999999</v>
      </c>
      <c r="G167" s="71" t="n">
        <v>25659</v>
      </c>
      <c r="H167" s="72" t="n">
        <v>25.5</v>
      </c>
    </row>
    <row r="168">
      <c r="A168" s="71" t="n">
        <v>22037</v>
      </c>
      <c r="B168" s="72" t="n">
        <v>29.57</v>
      </c>
      <c r="C168" s="71" t="n">
        <v>25689</v>
      </c>
      <c r="D168" s="72" t="n">
        <v>40.5</v>
      </c>
      <c r="E168" s="71" t="n">
        <v>29342</v>
      </c>
      <c r="F168" s="72" t="n">
        <v>85.2</v>
      </c>
      <c r="G168" s="71" t="n">
        <v>25689</v>
      </c>
      <c r="H168" s="72" t="n">
        <v>25.4</v>
      </c>
    </row>
    <row r="169">
      <c r="A169" s="71" t="n">
        <v>22068</v>
      </c>
      <c r="B169" s="72" t="n">
        <v>29.61</v>
      </c>
      <c r="C169" s="71" t="n">
        <v>25720</v>
      </c>
      <c r="D169" s="72" t="n">
        <v>40.8</v>
      </c>
      <c r="E169" s="71" t="n">
        <v>29373</v>
      </c>
      <c r="F169" s="72" t="n">
        <v>85.7</v>
      </c>
      <c r="G169" s="71" t="n">
        <v>25720</v>
      </c>
      <c r="H169" s="72" t="n">
        <v>25.3</v>
      </c>
    </row>
    <row r="170">
      <c r="A170" s="71" t="n">
        <v>22098</v>
      </c>
      <c r="B170" s="72" t="n">
        <v>29.55</v>
      </c>
      <c r="C170" s="71" t="n">
        <v>25750</v>
      </c>
      <c r="D170" s="72" t="n">
        <v>40.9</v>
      </c>
      <c r="E170" s="71" t="n">
        <v>29403</v>
      </c>
      <c r="F170" s="72" t="n">
        <v>86.5</v>
      </c>
      <c r="G170" s="71" t="n">
        <v>25750</v>
      </c>
      <c r="H170" s="72" t="n">
        <v>25.5</v>
      </c>
    </row>
    <row r="171">
      <c r="A171" s="71" t="n">
        <v>22129</v>
      </c>
      <c r="B171" s="72" t="n">
        <v>29.61</v>
      </c>
      <c r="C171" s="71" t="n">
        <v>25781</v>
      </c>
      <c r="D171" s="72" t="n">
        <v>41.1</v>
      </c>
      <c r="E171" s="71" t="n">
        <v>29434</v>
      </c>
      <c r="F171" s="72" t="n">
        <v>87.90000000000001</v>
      </c>
      <c r="G171" s="71" t="n">
        <v>25781</v>
      </c>
      <c r="H171" s="72" t="n">
        <v>25.4</v>
      </c>
    </row>
    <row r="172">
      <c r="A172" s="71" t="n">
        <v>22160</v>
      </c>
      <c r="B172" s="72" t="n">
        <v>29.61</v>
      </c>
      <c r="C172" s="71" t="n">
        <v>25812</v>
      </c>
      <c r="D172" s="72" t="n">
        <v>41.3</v>
      </c>
      <c r="E172" s="71" t="n">
        <v>29465</v>
      </c>
      <c r="F172" s="72" t="n">
        <v>88.90000000000001</v>
      </c>
      <c r="G172" s="71" t="n">
        <v>25812</v>
      </c>
      <c r="H172" s="72" t="n">
        <v>25.6</v>
      </c>
    </row>
    <row r="173">
      <c r="A173" s="71" t="n">
        <v>22190</v>
      </c>
      <c r="B173" s="72" t="n">
        <v>29.75</v>
      </c>
      <c r="C173" s="71" t="n">
        <v>25842</v>
      </c>
      <c r="D173" s="72" t="n">
        <v>41.5</v>
      </c>
      <c r="E173" s="71" t="n">
        <v>29495</v>
      </c>
      <c r="F173" s="72" t="n">
        <v>89.59999999999999</v>
      </c>
      <c r="G173" s="71" t="n">
        <v>25842</v>
      </c>
      <c r="H173" s="72" t="n">
        <v>25.9</v>
      </c>
    </row>
    <row r="174">
      <c r="A174" s="71" t="n">
        <v>22221</v>
      </c>
      <c r="B174" s="72" t="n">
        <v>29.78</v>
      </c>
      <c r="C174" s="71" t="n">
        <v>25873</v>
      </c>
      <c r="D174" s="72" t="n">
        <v>41.8</v>
      </c>
      <c r="E174" s="71" t="n">
        <v>29526</v>
      </c>
      <c r="F174" s="72" t="n">
        <v>90.59999999999999</v>
      </c>
      <c r="G174" s="71" t="n">
        <v>25873</v>
      </c>
      <c r="H174" s="72" t="n">
        <v>26</v>
      </c>
    </row>
    <row r="175">
      <c r="A175" s="71" t="n">
        <v>22251</v>
      </c>
      <c r="B175" s="72" t="n">
        <v>29.81</v>
      </c>
      <c r="C175" s="71" t="n">
        <v>25903</v>
      </c>
      <c r="D175" s="72" t="n">
        <v>42</v>
      </c>
      <c r="E175" s="71" t="n">
        <v>29556</v>
      </c>
      <c r="F175" s="72" t="n">
        <v>91.2</v>
      </c>
      <c r="G175" s="71" t="n">
        <v>25903</v>
      </c>
      <c r="H175" s="72" t="n">
        <v>26.2</v>
      </c>
    </row>
    <row r="176">
      <c r="A176" s="71" t="n">
        <v>22282</v>
      </c>
      <c r="B176" s="72" t="n">
        <v>29.84</v>
      </c>
      <c r="C176" s="71" t="n">
        <v>25934</v>
      </c>
      <c r="D176" s="72" t="n">
        <v>42.1</v>
      </c>
      <c r="E176" s="71" t="n">
        <v>29587</v>
      </c>
      <c r="F176" s="72" t="n">
        <v>91.5</v>
      </c>
      <c r="G176" s="71" t="n">
        <v>25934</v>
      </c>
      <c r="H176" s="72" t="n">
        <v>26.3</v>
      </c>
    </row>
    <row r="177">
      <c r="A177" s="71" t="n">
        <v>22313</v>
      </c>
      <c r="B177" s="72" t="n">
        <v>29.84</v>
      </c>
      <c r="C177" s="71" t="n">
        <v>25965</v>
      </c>
      <c r="D177" s="72" t="n">
        <v>42.2</v>
      </c>
      <c r="E177" s="71" t="n">
        <v>29618</v>
      </c>
      <c r="F177" s="72" t="n">
        <v>92</v>
      </c>
      <c r="G177" s="71" t="n">
        <v>25965</v>
      </c>
      <c r="H177" s="72" t="n">
        <v>26.2</v>
      </c>
    </row>
    <row r="178">
      <c r="A178" s="71" t="n">
        <v>22341</v>
      </c>
      <c r="B178" s="72" t="n">
        <v>29.84</v>
      </c>
      <c r="C178" s="71" t="n">
        <v>25993</v>
      </c>
      <c r="D178" s="72" t="n">
        <v>42.2</v>
      </c>
      <c r="E178" s="71" t="n">
        <v>29646</v>
      </c>
      <c r="F178" s="72" t="n">
        <v>92.5</v>
      </c>
      <c r="G178" s="71" t="n">
        <v>25993</v>
      </c>
      <c r="H178" s="72" t="n">
        <v>26.2</v>
      </c>
    </row>
    <row r="179">
      <c r="A179" s="71" t="n">
        <v>22372</v>
      </c>
      <c r="B179" s="72" t="n">
        <v>29.81</v>
      </c>
      <c r="C179" s="71" t="n">
        <v>26024</v>
      </c>
      <c r="D179" s="72" t="n">
        <v>42.4</v>
      </c>
      <c r="E179" s="71" t="n">
        <v>29677</v>
      </c>
      <c r="F179" s="72" t="n">
        <v>92.59999999999999</v>
      </c>
      <c r="G179" s="71" t="n">
        <v>26024</v>
      </c>
      <c r="H179" s="72" t="n">
        <v>26.1</v>
      </c>
    </row>
    <row r="180">
      <c r="A180" s="71" t="n">
        <v>22402</v>
      </c>
      <c r="B180" s="72" t="n">
        <v>29.84</v>
      </c>
      <c r="C180" s="71" t="n">
        <v>26054</v>
      </c>
      <c r="D180" s="72" t="n">
        <v>42.6</v>
      </c>
      <c r="E180" s="71" t="n">
        <v>29707</v>
      </c>
      <c r="F180" s="72" t="n">
        <v>92.7</v>
      </c>
      <c r="G180" s="71" t="n">
        <v>26054</v>
      </c>
      <c r="H180" s="72" t="n">
        <v>26.2</v>
      </c>
    </row>
    <row r="181">
      <c r="A181" s="71" t="n">
        <v>22433</v>
      </c>
      <c r="B181" s="72" t="n">
        <v>29.84</v>
      </c>
      <c r="C181" s="71" t="n">
        <v>26085</v>
      </c>
      <c r="D181" s="72" t="n">
        <v>42.8</v>
      </c>
      <c r="E181" s="71" t="n">
        <v>29738</v>
      </c>
      <c r="F181" s="72" t="n">
        <v>93.09999999999999</v>
      </c>
      <c r="G181" s="71" t="n">
        <v>26085</v>
      </c>
      <c r="H181" s="72" t="n">
        <v>26.3</v>
      </c>
    </row>
    <row r="182">
      <c r="A182" s="71" t="n">
        <v>22463</v>
      </c>
      <c r="B182" s="72" t="n">
        <v>29.92</v>
      </c>
      <c r="C182" s="71" t="n">
        <v>26115</v>
      </c>
      <c r="D182" s="72" t="n">
        <v>42.9</v>
      </c>
      <c r="E182" s="71" t="n">
        <v>29768</v>
      </c>
      <c r="F182" s="72" t="n">
        <v>93.8</v>
      </c>
      <c r="G182" s="71" t="n">
        <v>26115</v>
      </c>
      <c r="H182" s="72" t="n">
        <v>26.3</v>
      </c>
    </row>
    <row r="183">
      <c r="A183" s="71" t="n">
        <v>22494</v>
      </c>
      <c r="B183" s="72" t="n">
        <v>29.94</v>
      </c>
      <c r="C183" s="71" t="n">
        <v>26146</v>
      </c>
      <c r="D183" s="72" t="n">
        <v>43</v>
      </c>
      <c r="E183" s="71" t="n">
        <v>29799</v>
      </c>
      <c r="F183" s="72" t="n">
        <v>94.3</v>
      </c>
      <c r="G183" s="71" t="n">
        <v>26146</v>
      </c>
      <c r="H183" s="72" t="n">
        <v>26.8</v>
      </c>
    </row>
    <row r="184">
      <c r="A184" s="71" t="n">
        <v>22525</v>
      </c>
      <c r="B184" s="72" t="n">
        <v>29.98</v>
      </c>
      <c r="C184" s="71" t="n">
        <v>26177</v>
      </c>
      <c r="D184" s="72" t="n">
        <v>43</v>
      </c>
      <c r="E184" s="71" t="n">
        <v>29830</v>
      </c>
      <c r="F184" s="72" t="n">
        <v>94.7</v>
      </c>
      <c r="G184" s="71" t="n">
        <v>26177</v>
      </c>
      <c r="H184" s="72" t="n">
        <v>26.9</v>
      </c>
    </row>
    <row r="185">
      <c r="A185" s="71" t="n">
        <v>22555</v>
      </c>
      <c r="B185" s="72" t="n">
        <v>29.98</v>
      </c>
      <c r="C185" s="71" t="n">
        <v>26207</v>
      </c>
      <c r="D185" s="72" t="n">
        <v>43.1</v>
      </c>
      <c r="E185" s="71" t="n">
        <v>29860</v>
      </c>
      <c r="F185" s="72" t="n">
        <v>94.8</v>
      </c>
      <c r="G185" s="71" t="n">
        <v>26207</v>
      </c>
      <c r="H185" s="72" t="n">
        <v>27</v>
      </c>
    </row>
    <row r="186">
      <c r="A186" s="71" t="n">
        <v>22586</v>
      </c>
      <c r="B186" s="72" t="n">
        <v>29.98</v>
      </c>
      <c r="C186" s="71" t="n">
        <v>26238</v>
      </c>
      <c r="D186" s="72" t="n">
        <v>43.2</v>
      </c>
      <c r="E186" s="71" t="n">
        <v>29891</v>
      </c>
      <c r="F186" s="72" t="n">
        <v>95</v>
      </c>
      <c r="G186" s="71" t="n">
        <v>26238</v>
      </c>
      <c r="H186" s="72" t="n">
        <v>26.9</v>
      </c>
    </row>
    <row r="187">
      <c r="A187" s="71" t="n">
        <v>22616</v>
      </c>
      <c r="B187" s="72" t="n">
        <v>30.01</v>
      </c>
      <c r="C187" s="71" t="n">
        <v>26268</v>
      </c>
      <c r="D187" s="72" t="n">
        <v>43.3</v>
      </c>
      <c r="E187" s="71" t="n">
        <v>29921</v>
      </c>
      <c r="F187" s="72" t="n">
        <v>95.2</v>
      </c>
      <c r="G187" s="71" t="n">
        <v>26268</v>
      </c>
      <c r="H187" s="72" t="n">
        <v>27</v>
      </c>
    </row>
    <row r="188">
      <c r="A188" s="71" t="n">
        <v>22647</v>
      </c>
      <c r="B188" s="72" t="n">
        <v>30.04</v>
      </c>
      <c r="C188" s="71" t="n">
        <v>26299</v>
      </c>
      <c r="D188" s="72" t="n">
        <v>43.5</v>
      </c>
      <c r="E188" s="71" t="n">
        <v>29952</v>
      </c>
      <c r="F188" s="72" t="n">
        <v>95.5</v>
      </c>
      <c r="G188" s="71" t="n">
        <v>26299</v>
      </c>
      <c r="H188" s="72" t="n">
        <v>27</v>
      </c>
    </row>
    <row r="189">
      <c r="A189" s="71" t="n">
        <v>22678</v>
      </c>
      <c r="B189" s="72" t="n">
        <v>30.11</v>
      </c>
      <c r="C189" s="71" t="n">
        <v>26330</v>
      </c>
      <c r="D189" s="72" t="n">
        <v>43.6</v>
      </c>
      <c r="E189" s="71" t="n">
        <v>29983</v>
      </c>
      <c r="F189" s="72" t="n">
        <v>96.2</v>
      </c>
      <c r="G189" s="71" t="n">
        <v>26330</v>
      </c>
      <c r="H189" s="72" t="n">
        <v>26.8</v>
      </c>
    </row>
    <row r="190">
      <c r="A190" s="71" t="n">
        <v>22706</v>
      </c>
      <c r="B190" s="72" t="n">
        <v>30.17</v>
      </c>
      <c r="C190" s="71" t="n">
        <v>26359</v>
      </c>
      <c r="D190" s="72" t="n">
        <v>43.6</v>
      </c>
      <c r="E190" s="71" t="n">
        <v>30011</v>
      </c>
      <c r="F190" s="72" t="n">
        <v>96.09999999999999</v>
      </c>
      <c r="G190" s="71" t="n">
        <v>26359</v>
      </c>
      <c r="H190" s="72" t="n">
        <v>26.9</v>
      </c>
    </row>
    <row r="191">
      <c r="A191" s="71" t="n">
        <v>22737</v>
      </c>
      <c r="B191" s="72" t="n">
        <v>30.21</v>
      </c>
      <c r="C191" s="71" t="n">
        <v>26390</v>
      </c>
      <c r="D191" s="72" t="n">
        <v>43.8</v>
      </c>
      <c r="E191" s="71" t="n">
        <v>30042</v>
      </c>
      <c r="F191" s="72" t="n">
        <v>96.3</v>
      </c>
      <c r="G191" s="71" t="n">
        <v>26390</v>
      </c>
      <c r="H191" s="72" t="n">
        <v>26.9</v>
      </c>
    </row>
    <row r="192">
      <c r="A192" s="71" t="n">
        <v>22767</v>
      </c>
      <c r="B192" s="72" t="n">
        <v>30.24</v>
      </c>
      <c r="C192" s="71" t="n">
        <v>26420</v>
      </c>
      <c r="D192" s="72" t="n">
        <v>43.9</v>
      </c>
      <c r="E192" s="71" t="n">
        <v>30072</v>
      </c>
      <c r="F192" s="72" t="n">
        <v>97.09999999999999</v>
      </c>
      <c r="G192" s="71" t="n">
        <v>26420</v>
      </c>
      <c r="H192" s="72" t="n">
        <v>27</v>
      </c>
    </row>
    <row r="193">
      <c r="A193" s="71" t="n">
        <v>22798</v>
      </c>
      <c r="B193" s="72" t="n">
        <v>30.21</v>
      </c>
      <c r="C193" s="71" t="n">
        <v>26451</v>
      </c>
      <c r="D193" s="72" t="n">
        <v>44</v>
      </c>
      <c r="E193" s="71" t="n">
        <v>30103</v>
      </c>
      <c r="F193" s="72" t="n">
        <v>98</v>
      </c>
      <c r="G193" s="71" t="n">
        <v>26451</v>
      </c>
      <c r="H193" s="72" t="n">
        <v>27</v>
      </c>
    </row>
    <row r="194">
      <c r="A194" s="71" t="n">
        <v>22828</v>
      </c>
      <c r="B194" s="72" t="n">
        <v>30.22</v>
      </c>
      <c r="C194" s="71" t="n">
        <v>26481</v>
      </c>
      <c r="D194" s="72" t="n">
        <v>44.1</v>
      </c>
      <c r="E194" s="71" t="n">
        <v>30133</v>
      </c>
      <c r="F194" s="72" t="n">
        <v>98.09999999999999</v>
      </c>
      <c r="G194" s="71" t="n">
        <v>26481</v>
      </c>
      <c r="H194" s="72" t="n">
        <v>27.1</v>
      </c>
    </row>
    <row r="195">
      <c r="A195" s="71" t="n">
        <v>22859</v>
      </c>
      <c r="B195" s="72" t="n">
        <v>30.28</v>
      </c>
      <c r="C195" s="71" t="n">
        <v>26512</v>
      </c>
      <c r="D195" s="72" t="n">
        <v>44.3</v>
      </c>
      <c r="E195" s="71" t="n">
        <v>30164</v>
      </c>
      <c r="F195" s="72" t="n">
        <v>97.90000000000001</v>
      </c>
      <c r="G195" s="71" t="n">
        <v>26512</v>
      </c>
      <c r="H195" s="72" t="n">
        <v>27.3</v>
      </c>
    </row>
    <row r="196">
      <c r="A196" s="71" t="n">
        <v>22890</v>
      </c>
      <c r="B196" s="72" t="n">
        <v>30.42</v>
      </c>
      <c r="C196" s="71" t="n">
        <v>26543</v>
      </c>
      <c r="D196" s="72" t="n">
        <v>44.3</v>
      </c>
      <c r="E196" s="71" t="n">
        <v>30195</v>
      </c>
      <c r="F196" s="72" t="n">
        <v>98</v>
      </c>
      <c r="G196" s="71" t="n">
        <v>26543</v>
      </c>
      <c r="H196" s="72" t="n">
        <v>27.6</v>
      </c>
    </row>
    <row r="197">
      <c r="A197" s="71" t="n">
        <v>22920</v>
      </c>
      <c r="B197" s="72" t="n">
        <v>30.38</v>
      </c>
      <c r="C197" s="71" t="n">
        <v>26573</v>
      </c>
      <c r="D197" s="72" t="n">
        <v>44.4</v>
      </c>
      <c r="E197" s="71" t="n">
        <v>30225</v>
      </c>
      <c r="F197" s="72" t="n">
        <v>98.09999999999999</v>
      </c>
      <c r="G197" s="71" t="n">
        <v>26573</v>
      </c>
      <c r="H197" s="72" t="n">
        <v>27.7</v>
      </c>
    </row>
    <row r="198">
      <c r="A198" s="71" t="n">
        <v>22951</v>
      </c>
      <c r="B198" s="72" t="n">
        <v>30.38</v>
      </c>
      <c r="C198" s="71" t="n">
        <v>26604</v>
      </c>
      <c r="D198" s="72" t="n">
        <v>44.4</v>
      </c>
      <c r="E198" s="71" t="n">
        <v>30256</v>
      </c>
      <c r="F198" s="72" t="n">
        <v>98.2</v>
      </c>
      <c r="G198" s="71" t="n">
        <v>26604</v>
      </c>
      <c r="H198" s="72" t="n">
        <v>27.9</v>
      </c>
    </row>
    <row r="199">
      <c r="A199" s="71" t="n">
        <v>22981</v>
      </c>
      <c r="B199" s="72" t="n">
        <v>30.38</v>
      </c>
      <c r="C199" s="71" t="n">
        <v>26634</v>
      </c>
      <c r="D199" s="72" t="n">
        <v>44.6</v>
      </c>
      <c r="E199" s="71" t="n">
        <v>30286</v>
      </c>
      <c r="F199" s="72" t="n">
        <v>98.09999999999999</v>
      </c>
      <c r="G199" s="71" t="n">
        <v>26634</v>
      </c>
      <c r="H199" s="72" t="n">
        <v>27.8</v>
      </c>
    </row>
    <row r="200">
      <c r="A200" s="71" t="n">
        <v>23012</v>
      </c>
      <c r="B200" s="72" t="n">
        <v>30.44</v>
      </c>
      <c r="C200" s="71" t="n">
        <v>26665</v>
      </c>
      <c r="D200" s="72" t="n">
        <v>44.6</v>
      </c>
      <c r="E200" s="71" t="n">
        <v>30317</v>
      </c>
      <c r="F200" s="72" t="n">
        <v>98</v>
      </c>
      <c r="G200" s="71" t="n">
        <v>26665</v>
      </c>
      <c r="H200" s="72" t="n">
        <v>27.9</v>
      </c>
    </row>
    <row r="201">
      <c r="A201" s="71" t="n">
        <v>23043</v>
      </c>
      <c r="B201" s="72" t="n">
        <v>30.48</v>
      </c>
      <c r="C201" s="71" t="n">
        <v>26696</v>
      </c>
      <c r="D201" s="72" t="n">
        <v>44.8</v>
      </c>
      <c r="E201" s="71" t="n">
        <v>30348</v>
      </c>
      <c r="F201" s="72" t="n">
        <v>98.2</v>
      </c>
      <c r="G201" s="71" t="n">
        <v>26696</v>
      </c>
      <c r="H201" s="72" t="n">
        <v>28.2</v>
      </c>
    </row>
    <row r="202">
      <c r="A202" s="71" t="n">
        <v>23071</v>
      </c>
      <c r="B202" s="72" t="n">
        <v>30.51</v>
      </c>
      <c r="C202" s="71" t="n">
        <v>26724</v>
      </c>
      <c r="D202" s="72" t="n">
        <v>45</v>
      </c>
      <c r="E202" s="71" t="n">
        <v>30376</v>
      </c>
      <c r="F202" s="72" t="n">
        <v>98.8</v>
      </c>
      <c r="G202" s="71" t="n">
        <v>26724</v>
      </c>
      <c r="H202" s="72" t="n">
        <v>28.3</v>
      </c>
    </row>
    <row r="203">
      <c r="A203" s="71" t="n">
        <v>23102</v>
      </c>
      <c r="B203" s="72" t="n">
        <v>30.48</v>
      </c>
      <c r="C203" s="71" t="n">
        <v>26755</v>
      </c>
      <c r="D203" s="72" t="n">
        <v>45.1</v>
      </c>
      <c r="E203" s="71" t="n">
        <v>30407</v>
      </c>
      <c r="F203" s="72" t="n">
        <v>99.2</v>
      </c>
      <c r="G203" s="71" t="n">
        <v>26755</v>
      </c>
      <c r="H203" s="72" t="n">
        <v>28.6</v>
      </c>
    </row>
    <row r="204">
      <c r="A204" s="71" t="n">
        <v>23132</v>
      </c>
      <c r="B204" s="72" t="n">
        <v>30.51</v>
      </c>
      <c r="C204" s="71" t="n">
        <v>26785</v>
      </c>
      <c r="D204" s="72" t="n">
        <v>45.3</v>
      </c>
      <c r="E204" s="71" t="n">
        <v>30437</v>
      </c>
      <c r="F204" s="72" t="n">
        <v>99.5</v>
      </c>
      <c r="G204" s="71" t="n">
        <v>26785</v>
      </c>
      <c r="H204" s="72" t="n">
        <v>28.8</v>
      </c>
    </row>
    <row r="205">
      <c r="A205" s="71" t="n">
        <v>23163</v>
      </c>
      <c r="B205" s="72" t="n">
        <v>30.61</v>
      </c>
      <c r="C205" s="71" t="n">
        <v>26816</v>
      </c>
      <c r="D205" s="72" t="n">
        <v>45.4</v>
      </c>
      <c r="E205" s="71" t="n">
        <v>30468</v>
      </c>
      <c r="F205" s="72" t="n">
        <v>99.59999999999999</v>
      </c>
      <c r="G205" s="71" t="n">
        <v>26816</v>
      </c>
      <c r="H205" s="72" t="n">
        <v>29.2</v>
      </c>
    </row>
    <row r="206">
      <c r="A206" s="71" t="n">
        <v>23193</v>
      </c>
      <c r="B206" s="72" t="n">
        <v>30.69</v>
      </c>
      <c r="C206" s="71" t="n">
        <v>26846</v>
      </c>
      <c r="D206" s="72" t="n">
        <v>45.5</v>
      </c>
      <c r="E206" s="71" t="n">
        <v>30498</v>
      </c>
      <c r="F206" s="72" t="n">
        <v>99.59999999999999</v>
      </c>
      <c r="G206" s="71" t="n">
        <v>26846</v>
      </c>
      <c r="H206" s="72" t="n">
        <v>29.2</v>
      </c>
    </row>
    <row r="207">
      <c r="A207" s="71" t="n">
        <v>23224</v>
      </c>
      <c r="B207" s="72" t="n">
        <v>30.75</v>
      </c>
      <c r="C207" s="71" t="n">
        <v>26877</v>
      </c>
      <c r="D207" s="72" t="n">
        <v>45.7</v>
      </c>
      <c r="E207" s="71" t="n">
        <v>30529</v>
      </c>
      <c r="F207" s="72" t="n">
        <v>99.59999999999999</v>
      </c>
      <c r="G207" s="71" t="n">
        <v>26877</v>
      </c>
      <c r="H207" s="72" t="n">
        <v>29.4</v>
      </c>
    </row>
    <row r="208">
      <c r="A208" s="71" t="n">
        <v>23255</v>
      </c>
      <c r="B208" s="72" t="n">
        <v>30.72</v>
      </c>
      <c r="C208" s="71" t="n">
        <v>26908</v>
      </c>
      <c r="D208" s="72" t="n">
        <v>46</v>
      </c>
      <c r="E208" s="71" t="n">
        <v>30560</v>
      </c>
      <c r="F208" s="72" t="n">
        <v>100</v>
      </c>
      <c r="G208" s="71" t="n">
        <v>26908</v>
      </c>
      <c r="H208" s="72" t="n">
        <v>29.4</v>
      </c>
    </row>
    <row r="209">
      <c r="A209" s="71" t="n">
        <v>23285</v>
      </c>
      <c r="B209" s="72" t="n">
        <v>30.75</v>
      </c>
      <c r="C209" s="71" t="n">
        <v>26938</v>
      </c>
      <c r="D209" s="72" t="n">
        <v>46.3</v>
      </c>
      <c r="E209" s="71" t="n">
        <v>30590</v>
      </c>
      <c r="F209" s="72" t="n">
        <v>100.3</v>
      </c>
      <c r="G209" s="71" t="n">
        <v>26938</v>
      </c>
      <c r="H209" s="72" t="n">
        <v>30.3</v>
      </c>
    </row>
    <row r="210">
      <c r="A210" s="71" t="n">
        <v>23316</v>
      </c>
      <c r="B210" s="72" t="n">
        <v>30.78</v>
      </c>
      <c r="C210" s="71" t="n">
        <v>26969</v>
      </c>
      <c r="D210" s="72" t="n">
        <v>46.5</v>
      </c>
      <c r="E210" s="71" t="n">
        <v>30621</v>
      </c>
      <c r="F210" s="72" t="n">
        <v>100.3</v>
      </c>
      <c r="G210" s="71" t="n">
        <v>26969</v>
      </c>
      <c r="H210" s="72" t="n">
        <v>31.5</v>
      </c>
    </row>
    <row r="211">
      <c r="A211" s="71" t="n">
        <v>23346</v>
      </c>
      <c r="B211" s="72" t="n">
        <v>30.88</v>
      </c>
      <c r="C211" s="71" t="n">
        <v>26999</v>
      </c>
      <c r="D211" s="72" t="n">
        <v>46.7</v>
      </c>
      <c r="E211" s="71" t="n">
        <v>30651</v>
      </c>
      <c r="F211" s="72" t="n">
        <v>100.6</v>
      </c>
      <c r="G211" s="71" t="n">
        <v>26999</v>
      </c>
      <c r="H211" s="72" t="n">
        <v>32.5</v>
      </c>
    </row>
    <row r="212">
      <c r="A212" s="71" t="n">
        <v>23377</v>
      </c>
      <c r="B212" s="72" t="n">
        <v>30.94</v>
      </c>
      <c r="C212" s="71" t="n">
        <v>27030</v>
      </c>
      <c r="D212" s="72" t="n">
        <v>46.9</v>
      </c>
      <c r="E212" s="71" t="n">
        <v>30682</v>
      </c>
      <c r="F212" s="72" t="n">
        <v>101.9</v>
      </c>
      <c r="G212" s="71" t="n">
        <v>27030</v>
      </c>
      <c r="H212" s="72" t="n">
        <v>34.1</v>
      </c>
    </row>
    <row r="213">
      <c r="A213" s="71" t="n">
        <v>23408</v>
      </c>
      <c r="B213" s="72" t="n">
        <v>30.91</v>
      </c>
      <c r="C213" s="71" t="n">
        <v>27061</v>
      </c>
      <c r="D213" s="72" t="n">
        <v>47.2</v>
      </c>
      <c r="E213" s="71" t="n">
        <v>30713</v>
      </c>
      <c r="F213" s="72" t="n">
        <v>102.5</v>
      </c>
      <c r="G213" s="71" t="n">
        <v>27061</v>
      </c>
      <c r="H213" s="72" t="n">
        <v>35.4</v>
      </c>
    </row>
    <row r="214">
      <c r="A214" s="71" t="n">
        <v>23437</v>
      </c>
      <c r="B214" s="72" t="n">
        <v>30.94</v>
      </c>
      <c r="C214" s="71" t="n">
        <v>27089</v>
      </c>
      <c r="D214" s="72" t="n">
        <v>47.6</v>
      </c>
      <c r="E214" s="71" t="n">
        <v>30742</v>
      </c>
      <c r="F214" s="72" t="n">
        <v>102.8</v>
      </c>
      <c r="G214" s="71" t="n">
        <v>27089</v>
      </c>
      <c r="H214" s="72" t="n">
        <v>36.9</v>
      </c>
    </row>
    <row r="215">
      <c r="A215" s="71" t="n">
        <v>23468</v>
      </c>
      <c r="B215" s="72" t="n">
        <v>30.95</v>
      </c>
      <c r="C215" s="71" t="n">
        <v>27120</v>
      </c>
      <c r="D215" s="72" t="n">
        <v>47.9</v>
      </c>
      <c r="E215" s="71" t="n">
        <v>30773</v>
      </c>
      <c r="F215" s="72" t="n">
        <v>102.8</v>
      </c>
      <c r="G215" s="71" t="n">
        <v>27120</v>
      </c>
      <c r="H215" s="72" t="n">
        <v>37.6</v>
      </c>
    </row>
    <row r="216">
      <c r="A216" s="71" t="n">
        <v>23498</v>
      </c>
      <c r="B216" s="72" t="n">
        <v>30.98</v>
      </c>
      <c r="C216" s="71" t="n">
        <v>27150</v>
      </c>
      <c r="D216" s="72" t="n">
        <v>48.5</v>
      </c>
      <c r="E216" s="71" t="n">
        <v>30803</v>
      </c>
      <c r="F216" s="72" t="n">
        <v>102.6</v>
      </c>
      <c r="G216" s="71" t="n">
        <v>27150</v>
      </c>
      <c r="H216" s="72" t="n">
        <v>38.3</v>
      </c>
    </row>
    <row r="217">
      <c r="A217" s="71" t="n">
        <v>23529</v>
      </c>
      <c r="B217" s="72" t="n">
        <v>31.01</v>
      </c>
      <c r="C217" s="71" t="n">
        <v>27181</v>
      </c>
      <c r="D217" s="72" t="n">
        <v>49</v>
      </c>
      <c r="E217" s="71" t="n">
        <v>30834</v>
      </c>
      <c r="F217" s="72" t="n">
        <v>103</v>
      </c>
      <c r="G217" s="71" t="n">
        <v>27181</v>
      </c>
      <c r="H217" s="72" t="n">
        <v>38.6</v>
      </c>
    </row>
    <row r="218">
      <c r="A218" s="71" t="n">
        <v>23559</v>
      </c>
      <c r="B218" s="72" t="n">
        <v>31.02</v>
      </c>
      <c r="C218" s="71" t="n">
        <v>27211</v>
      </c>
      <c r="D218" s="72" t="n">
        <v>49.5</v>
      </c>
      <c r="E218" s="71" t="n">
        <v>30864</v>
      </c>
      <c r="F218" s="72" t="n">
        <v>103.2</v>
      </c>
      <c r="G218" s="71" t="n">
        <v>27211</v>
      </c>
      <c r="H218" s="72" t="n">
        <v>38.9</v>
      </c>
    </row>
    <row r="219">
      <c r="A219" s="71" t="n">
        <v>23590</v>
      </c>
      <c r="B219" s="72" t="n">
        <v>31.05</v>
      </c>
      <c r="C219" s="71" t="n">
        <v>27242</v>
      </c>
      <c r="D219" s="72" t="n">
        <v>50.2</v>
      </c>
      <c r="E219" s="71" t="n">
        <v>30895</v>
      </c>
      <c r="F219" s="72" t="n">
        <v>103.8</v>
      </c>
      <c r="G219" s="71" t="n">
        <v>27242</v>
      </c>
      <c r="H219" s="72" t="n">
        <v>39.2</v>
      </c>
    </row>
    <row r="220">
      <c r="A220" s="71" t="n">
        <v>23621</v>
      </c>
      <c r="B220" s="72" t="n">
        <v>31.08</v>
      </c>
      <c r="C220" s="71" t="n">
        <v>27273</v>
      </c>
      <c r="D220" s="72" t="n">
        <v>50.7</v>
      </c>
      <c r="E220" s="71" t="n">
        <v>30926</v>
      </c>
      <c r="F220" s="72" t="n">
        <v>103.7</v>
      </c>
      <c r="G220" s="71" t="n">
        <v>27273</v>
      </c>
      <c r="H220" s="72" t="n">
        <v>39.3</v>
      </c>
    </row>
    <row r="221">
      <c r="A221" s="71" t="n">
        <v>23651</v>
      </c>
      <c r="B221" s="72" t="n">
        <v>31.12</v>
      </c>
      <c r="C221" s="71" t="n">
        <v>27303</v>
      </c>
      <c r="D221" s="72" t="n">
        <v>51.2</v>
      </c>
      <c r="E221" s="71" t="n">
        <v>30956</v>
      </c>
      <c r="F221" s="72" t="n">
        <v>103.9</v>
      </c>
      <c r="G221" s="71" t="n">
        <v>27303</v>
      </c>
      <c r="H221" s="72" t="n">
        <v>39.2</v>
      </c>
    </row>
    <row r="222">
      <c r="A222" s="71" t="n">
        <v>23682</v>
      </c>
      <c r="B222" s="72" t="n">
        <v>31.21</v>
      </c>
      <c r="C222" s="71" t="n">
        <v>27334</v>
      </c>
      <c r="D222" s="72" t="n">
        <v>51.6</v>
      </c>
      <c r="E222" s="71" t="n">
        <v>30987</v>
      </c>
      <c r="F222" s="72" t="n">
        <v>104</v>
      </c>
      <c r="G222" s="71" t="n">
        <v>27334</v>
      </c>
      <c r="H222" s="72" t="n">
        <v>39.4</v>
      </c>
    </row>
    <row r="223">
      <c r="A223" s="71" t="n">
        <v>23712</v>
      </c>
      <c r="B223" s="72" t="n">
        <v>31.25</v>
      </c>
      <c r="C223" s="71" t="n">
        <v>27364</v>
      </c>
      <c r="D223" s="72" t="n">
        <v>52</v>
      </c>
      <c r="E223" s="71" t="n">
        <v>31017</v>
      </c>
      <c r="F223" s="72" t="n">
        <v>104.4</v>
      </c>
      <c r="G223" s="71" t="n">
        <v>27364</v>
      </c>
      <c r="H223" s="72" t="n">
        <v>39.6</v>
      </c>
    </row>
    <row r="224">
      <c r="A224" s="71" t="n">
        <v>23743</v>
      </c>
      <c r="B224" s="72" t="n">
        <v>31.28</v>
      </c>
      <c r="C224" s="71" t="n">
        <v>27395</v>
      </c>
      <c r="D224" s="72" t="n">
        <v>52.3</v>
      </c>
      <c r="E224" s="71" t="n">
        <v>31048</v>
      </c>
      <c r="F224" s="72" t="n">
        <v>104.5</v>
      </c>
      <c r="G224" s="71" t="n">
        <v>27395</v>
      </c>
      <c r="H224" s="72" t="n">
        <v>40</v>
      </c>
    </row>
    <row r="225">
      <c r="A225" s="71" t="n">
        <v>23774</v>
      </c>
      <c r="B225" s="72" t="n">
        <v>31.28</v>
      </c>
      <c r="C225" s="71" t="n">
        <v>27426</v>
      </c>
      <c r="D225" s="72" t="n">
        <v>52.8</v>
      </c>
      <c r="E225" s="71" t="n">
        <v>31079</v>
      </c>
      <c r="F225" s="72" t="n">
        <v>105</v>
      </c>
      <c r="G225" s="71" t="n">
        <v>27426</v>
      </c>
      <c r="H225" s="72" t="n">
        <v>40.3</v>
      </c>
    </row>
    <row r="226">
      <c r="A226" s="71" t="n">
        <v>23802</v>
      </c>
      <c r="B226" s="72" t="n">
        <v>31.31</v>
      </c>
      <c r="C226" s="71" t="n">
        <v>27454</v>
      </c>
      <c r="D226" s="72" t="n">
        <v>53</v>
      </c>
      <c r="E226" s="71" t="n">
        <v>31107</v>
      </c>
      <c r="F226" s="72" t="n">
        <v>105.4</v>
      </c>
      <c r="G226" s="71" t="n">
        <v>27454</v>
      </c>
      <c r="H226" s="72" t="n">
        <v>40.6</v>
      </c>
    </row>
    <row r="227">
      <c r="A227" s="71" t="n">
        <v>23833</v>
      </c>
      <c r="B227" s="72" t="n">
        <v>31.38</v>
      </c>
      <c r="C227" s="71" t="n">
        <v>27485</v>
      </c>
      <c r="D227" s="72" t="n">
        <v>53.3</v>
      </c>
      <c r="E227" s="71" t="n">
        <v>31138</v>
      </c>
      <c r="F227" s="72" t="n">
        <v>105.3</v>
      </c>
      <c r="G227" s="71" t="n">
        <v>27485</v>
      </c>
      <c r="H227" s="72" t="n">
        <v>41</v>
      </c>
    </row>
    <row r="228">
      <c r="A228" s="71" t="n">
        <v>23863</v>
      </c>
      <c r="B228" s="72" t="n">
        <v>31.48</v>
      </c>
      <c r="C228" s="71" t="n">
        <v>27515</v>
      </c>
      <c r="D228" s="72" t="n">
        <v>53.5</v>
      </c>
      <c r="E228" s="71" t="n">
        <v>31168</v>
      </c>
      <c r="F228" s="72" t="n">
        <v>105.1</v>
      </c>
      <c r="G228" s="71" t="n">
        <v>27515</v>
      </c>
      <c r="H228" s="72" t="n">
        <v>41.3</v>
      </c>
    </row>
    <row r="229">
      <c r="A229" s="71" t="n">
        <v>23894</v>
      </c>
      <c r="B229" s="72" t="n">
        <v>31.61</v>
      </c>
      <c r="C229" s="71" t="n">
        <v>27546</v>
      </c>
      <c r="D229" s="72" t="n">
        <v>53.8</v>
      </c>
      <c r="E229" s="71" t="n">
        <v>31199</v>
      </c>
      <c r="F229" s="72" t="n">
        <v>105.4</v>
      </c>
      <c r="G229" s="71" t="n">
        <v>27546</v>
      </c>
      <c r="H229" s="72" t="n">
        <v>41.7</v>
      </c>
    </row>
    <row r="230">
      <c r="A230" s="71" t="n">
        <v>23924</v>
      </c>
      <c r="B230" s="72" t="n">
        <v>31.58</v>
      </c>
      <c r="C230" s="71" t="n">
        <v>27576</v>
      </c>
      <c r="D230" s="72" t="n">
        <v>54</v>
      </c>
      <c r="E230" s="71" t="n">
        <v>31229</v>
      </c>
      <c r="F230" s="72" t="n">
        <v>105.4</v>
      </c>
      <c r="G230" s="71" t="n">
        <v>27576</v>
      </c>
      <c r="H230" s="72" t="n">
        <v>42.5</v>
      </c>
    </row>
    <row r="231">
      <c r="A231" s="71" t="n">
        <v>23955</v>
      </c>
      <c r="B231" s="72" t="n">
        <v>31.55</v>
      </c>
      <c r="C231" s="71" t="n">
        <v>27607</v>
      </c>
      <c r="D231" s="72" t="n">
        <v>54.2</v>
      </c>
      <c r="E231" s="71" t="n">
        <v>31260</v>
      </c>
      <c r="F231" s="72" t="n">
        <v>105.5</v>
      </c>
      <c r="G231" s="71" t="n">
        <v>27607</v>
      </c>
      <c r="H231" s="72" t="n">
        <v>42.8</v>
      </c>
    </row>
    <row r="232">
      <c r="A232" s="71" t="n">
        <v>23986</v>
      </c>
      <c r="B232" s="72" t="n">
        <v>31.62</v>
      </c>
      <c r="C232" s="71" t="n">
        <v>27638</v>
      </c>
      <c r="D232" s="72" t="n">
        <v>54.5</v>
      </c>
      <c r="E232" s="71" t="n">
        <v>31291</v>
      </c>
      <c r="F232" s="72" t="n">
        <v>105.7</v>
      </c>
      <c r="G232" s="71" t="n">
        <v>27638</v>
      </c>
      <c r="H232" s="72" t="n">
        <v>43.2</v>
      </c>
    </row>
    <row r="233">
      <c r="A233" s="71" t="n">
        <v>24016</v>
      </c>
      <c r="B233" s="72" t="n">
        <v>31.65</v>
      </c>
      <c r="C233" s="71" t="n">
        <v>27668</v>
      </c>
      <c r="D233" s="72" t="n">
        <v>54.8</v>
      </c>
      <c r="E233" s="71" t="n">
        <v>31321</v>
      </c>
      <c r="F233" s="72" t="n">
        <v>105.9</v>
      </c>
      <c r="G233" s="71" t="n">
        <v>27668</v>
      </c>
      <c r="H233" s="72" t="n">
        <v>43.5</v>
      </c>
    </row>
    <row r="234">
      <c r="A234" s="71" t="n">
        <v>24047</v>
      </c>
      <c r="B234" s="72" t="n">
        <v>31.75</v>
      </c>
      <c r="C234" s="71" t="n">
        <v>27699</v>
      </c>
      <c r="D234" s="72" t="n">
        <v>55.2</v>
      </c>
      <c r="E234" s="71" t="n">
        <v>31352</v>
      </c>
      <c r="F234" s="72" t="n">
        <v>106.5</v>
      </c>
      <c r="G234" s="71" t="n">
        <v>27699</v>
      </c>
      <c r="H234" s="72" t="n">
        <v>43.9</v>
      </c>
    </row>
    <row r="235">
      <c r="A235" s="71" t="n">
        <v>24077</v>
      </c>
      <c r="B235" s="72" t="n">
        <v>31.85</v>
      </c>
      <c r="C235" s="71" t="n">
        <v>27729</v>
      </c>
      <c r="D235" s="72" t="n">
        <v>55.5</v>
      </c>
      <c r="E235" s="71" t="n">
        <v>31382</v>
      </c>
      <c r="F235" s="72" t="n">
        <v>107.3</v>
      </c>
      <c r="G235" s="71" t="n">
        <v>27729</v>
      </c>
      <c r="H235" s="72" t="n">
        <v>44.1</v>
      </c>
    </row>
    <row r="236">
      <c r="A236" s="71" t="n">
        <v>24108</v>
      </c>
      <c r="B236" s="72" t="n">
        <v>31.88</v>
      </c>
      <c r="C236" s="71" t="n">
        <v>27760</v>
      </c>
      <c r="D236" s="72" t="n">
        <v>55.9</v>
      </c>
      <c r="E236" s="71" t="n">
        <v>31413</v>
      </c>
      <c r="F236" s="72" t="n">
        <v>107.5</v>
      </c>
      <c r="G236" s="71" t="n">
        <v>27760</v>
      </c>
      <c r="H236" s="72" t="n">
        <v>44.5</v>
      </c>
    </row>
    <row r="237">
      <c r="A237" s="71" t="n">
        <v>24139</v>
      </c>
      <c r="B237" s="72" t="n">
        <v>32.08</v>
      </c>
      <c r="C237" s="71" t="n">
        <v>27791</v>
      </c>
      <c r="D237" s="72" t="n">
        <v>56.2</v>
      </c>
      <c r="E237" s="71" t="n">
        <v>31444</v>
      </c>
      <c r="F237" s="72" t="n">
        <v>107.4</v>
      </c>
      <c r="G237" s="71" t="n">
        <v>27791</v>
      </c>
      <c r="H237" s="72" t="n">
        <v>44.4</v>
      </c>
    </row>
    <row r="238">
      <c r="A238" s="71" t="n">
        <v>24167</v>
      </c>
      <c r="B238" s="72" t="n">
        <v>32.18</v>
      </c>
      <c r="C238" s="71" t="n">
        <v>27820</v>
      </c>
      <c r="D238" s="72" t="n">
        <v>56.5</v>
      </c>
      <c r="E238" s="71" t="n">
        <v>31472</v>
      </c>
      <c r="F238" s="72" t="n">
        <v>107.6</v>
      </c>
      <c r="G238" s="71" t="n">
        <v>27820</v>
      </c>
      <c r="H238" s="72" t="n">
        <v>44.1</v>
      </c>
    </row>
    <row r="239">
      <c r="A239" s="71" t="n">
        <v>24198</v>
      </c>
      <c r="B239" s="72" t="n">
        <v>32.28</v>
      </c>
      <c r="C239" s="71" t="n">
        <v>27851</v>
      </c>
      <c r="D239" s="72" t="n">
        <v>56.7</v>
      </c>
      <c r="E239" s="71" t="n">
        <v>31503</v>
      </c>
      <c r="F239" s="72" t="n">
        <v>107.8</v>
      </c>
      <c r="G239" s="71" t="n">
        <v>27851</v>
      </c>
      <c r="H239" s="72" t="n">
        <v>43.9</v>
      </c>
    </row>
    <row r="240">
      <c r="A240" s="71" t="n">
        <v>24228</v>
      </c>
      <c r="B240" s="72" t="n">
        <v>32.35</v>
      </c>
      <c r="C240" s="71" t="n">
        <v>27881</v>
      </c>
      <c r="D240" s="72" t="n">
        <v>57</v>
      </c>
      <c r="E240" s="71" t="n">
        <v>31533</v>
      </c>
      <c r="F240" s="72" t="n">
        <v>108.2</v>
      </c>
      <c r="G240" s="71" t="n">
        <v>27881</v>
      </c>
      <c r="H240" s="72" t="n">
        <v>44.1</v>
      </c>
    </row>
    <row r="241">
      <c r="A241" s="71" t="n">
        <v>24259</v>
      </c>
      <c r="B241" s="72" t="n">
        <v>32.38</v>
      </c>
      <c r="C241" s="71" t="n">
        <v>27912</v>
      </c>
      <c r="D241" s="72" t="n">
        <v>57.2</v>
      </c>
      <c r="E241" s="71" t="n">
        <v>31564</v>
      </c>
      <c r="F241" s="72" t="n">
        <v>108.3</v>
      </c>
      <c r="G241" s="71" t="n">
        <v>27912</v>
      </c>
      <c r="H241" s="72" t="n">
        <v>44.4</v>
      </c>
    </row>
    <row r="242">
      <c r="A242" s="71" t="n">
        <v>24289</v>
      </c>
      <c r="B242" s="72" t="n">
        <v>32.45</v>
      </c>
      <c r="C242" s="71" t="n">
        <v>27942</v>
      </c>
      <c r="D242" s="72" t="n">
        <v>57.6</v>
      </c>
      <c r="E242" s="71" t="n">
        <v>31594</v>
      </c>
      <c r="F242" s="72" t="n">
        <v>109.1</v>
      </c>
      <c r="G242" s="71" t="n">
        <v>27942</v>
      </c>
      <c r="H242" s="72" t="n">
        <v>44.8</v>
      </c>
    </row>
    <row r="243">
      <c r="A243" s="71" t="n">
        <v>24320</v>
      </c>
      <c r="B243" s="72" t="n">
        <v>32.65</v>
      </c>
      <c r="C243" s="71" t="n">
        <v>27973</v>
      </c>
      <c r="D243" s="72" t="n">
        <v>57.9</v>
      </c>
      <c r="E243" s="71" t="n">
        <v>31625</v>
      </c>
      <c r="F243" s="72" t="n">
        <v>110</v>
      </c>
      <c r="G243" s="71" t="n">
        <v>27973</v>
      </c>
      <c r="H243" s="72" t="n">
        <v>45.2</v>
      </c>
    </row>
    <row r="244">
      <c r="A244" s="71" t="n">
        <v>24351</v>
      </c>
      <c r="B244" s="72" t="n">
        <v>32.75</v>
      </c>
      <c r="C244" s="71" t="n">
        <v>28004</v>
      </c>
      <c r="D244" s="72" t="n">
        <v>58.2</v>
      </c>
      <c r="E244" s="71" t="n">
        <v>31656</v>
      </c>
      <c r="F244" s="72" t="n">
        <v>110.1</v>
      </c>
      <c r="G244" s="71" t="n">
        <v>28004</v>
      </c>
      <c r="H244" s="72" t="n">
        <v>45.7</v>
      </c>
    </row>
    <row r="245">
      <c r="A245" s="71" t="n">
        <v>24381</v>
      </c>
      <c r="B245" s="72" t="n">
        <v>32.85</v>
      </c>
      <c r="C245" s="71" t="n">
        <v>28034</v>
      </c>
      <c r="D245" s="72" t="n">
        <v>58.5</v>
      </c>
      <c r="E245" s="71" t="n">
        <v>31686</v>
      </c>
      <c r="F245" s="72" t="n">
        <v>110.4</v>
      </c>
      <c r="G245" s="71" t="n">
        <v>28034</v>
      </c>
      <c r="H245" s="72" t="n">
        <v>46.1</v>
      </c>
    </row>
    <row r="246">
      <c r="A246" s="71" t="n">
        <v>24412</v>
      </c>
      <c r="B246" s="72" t="n">
        <v>32.88</v>
      </c>
      <c r="C246" s="71" t="n">
        <v>28065</v>
      </c>
      <c r="D246" s="72" t="n">
        <v>58.7</v>
      </c>
      <c r="E246" s="71" t="n">
        <v>31717</v>
      </c>
      <c r="F246" s="72" t="n">
        <v>111</v>
      </c>
      <c r="G246" s="71" t="n">
        <v>28065</v>
      </c>
      <c r="H246" s="72" t="n">
        <v>46.8</v>
      </c>
    </row>
    <row r="247">
      <c r="A247" s="71" t="n">
        <v>24442</v>
      </c>
      <c r="B247" s="72" t="n">
        <v>32.92</v>
      </c>
      <c r="C247" s="71" t="n">
        <v>28095</v>
      </c>
      <c r="D247" s="72" t="n">
        <v>58.9</v>
      </c>
      <c r="E247" s="71" t="n">
        <v>31747</v>
      </c>
      <c r="F247" s="72" t="n">
        <v>111.3</v>
      </c>
      <c r="G247" s="71" t="n">
        <v>28095</v>
      </c>
      <c r="H247" s="72" t="n">
        <v>47.5</v>
      </c>
    </row>
    <row r="248">
      <c r="A248" s="71" t="n">
        <v>24473</v>
      </c>
      <c r="B248" s="72" t="n">
        <v>32.9</v>
      </c>
      <c r="C248" s="71" t="n">
        <v>28126</v>
      </c>
      <c r="D248" s="72" t="n">
        <v>59.3</v>
      </c>
      <c r="E248" s="71" t="n">
        <v>31778</v>
      </c>
      <c r="F248" s="72" t="n">
        <v>111.9</v>
      </c>
      <c r="G248" s="71" t="n">
        <v>28126</v>
      </c>
      <c r="H248" s="72" t="n">
        <v>48.1</v>
      </c>
    </row>
    <row r="249">
      <c r="A249" s="71" t="n">
        <v>24504</v>
      </c>
      <c r="B249" s="72" t="n">
        <v>33</v>
      </c>
      <c r="C249" s="71" t="n">
        <v>28157</v>
      </c>
      <c r="D249" s="72" t="n">
        <v>59.7</v>
      </c>
      <c r="E249" s="71" t="n">
        <v>31809</v>
      </c>
      <c r="F249" s="72" t="n">
        <v>112.2</v>
      </c>
      <c r="G249" s="71" t="n">
        <v>28157</v>
      </c>
      <c r="H249" s="72" t="n">
        <v>48.1</v>
      </c>
    </row>
    <row r="250">
      <c r="A250" s="71" t="n">
        <v>24532</v>
      </c>
      <c r="B250" s="72" t="n">
        <v>33</v>
      </c>
      <c r="C250" s="71" t="n">
        <v>28185</v>
      </c>
      <c r="D250" s="72" t="n">
        <v>60</v>
      </c>
      <c r="E250" s="71" t="n">
        <v>31837</v>
      </c>
      <c r="F250" s="72" t="n">
        <v>112.4</v>
      </c>
      <c r="G250" s="71" t="n">
        <v>28185</v>
      </c>
      <c r="H250" s="72" t="n">
        <v>48.4</v>
      </c>
    </row>
    <row r="251">
      <c r="A251" s="71" t="n">
        <v>24563</v>
      </c>
      <c r="B251" s="72" t="n">
        <v>33.1</v>
      </c>
      <c r="C251" s="71" t="n">
        <v>28216</v>
      </c>
      <c r="D251" s="72" t="n">
        <v>60.3</v>
      </c>
      <c r="E251" s="71" t="n">
        <v>31868</v>
      </c>
      <c r="F251" s="72" t="n">
        <v>112.6</v>
      </c>
      <c r="G251" s="71" t="n">
        <v>28216</v>
      </c>
      <c r="H251" s="72" t="n">
        <v>48.6</v>
      </c>
    </row>
    <row r="252">
      <c r="A252" s="71" t="n">
        <v>24593</v>
      </c>
      <c r="B252" s="72" t="n">
        <v>33.1</v>
      </c>
      <c r="C252" s="71" t="n">
        <v>28246</v>
      </c>
      <c r="D252" s="72" t="n">
        <v>60.6</v>
      </c>
      <c r="E252" s="71" t="n">
        <v>31898</v>
      </c>
      <c r="F252" s="72" t="n">
        <v>113.2</v>
      </c>
      <c r="G252" s="71" t="n">
        <v>28246</v>
      </c>
      <c r="H252" s="72" t="n">
        <v>48.9</v>
      </c>
    </row>
    <row r="253">
      <c r="A253" s="71" t="n">
        <v>24624</v>
      </c>
      <c r="B253" s="72" t="n">
        <v>33.3</v>
      </c>
      <c r="C253" s="71" t="n">
        <v>28277</v>
      </c>
      <c r="D253" s="72" t="n">
        <v>61</v>
      </c>
      <c r="E253" s="71" t="n">
        <v>31929</v>
      </c>
      <c r="F253" s="72" t="n">
        <v>113.8</v>
      </c>
      <c r="G253" s="71" t="n">
        <v>28277</v>
      </c>
      <c r="H253" s="72" t="n">
        <v>48.9</v>
      </c>
    </row>
    <row r="254">
      <c r="A254" s="71" t="n">
        <v>24654</v>
      </c>
      <c r="B254" s="72" t="n">
        <v>33.4</v>
      </c>
      <c r="C254" s="71" t="n">
        <v>28307</v>
      </c>
      <c r="D254" s="72" t="n">
        <v>61.2</v>
      </c>
      <c r="E254" s="71" t="n">
        <v>31959</v>
      </c>
      <c r="F254" s="72" t="n">
        <v>113.7</v>
      </c>
      <c r="G254" s="71" t="n">
        <v>28307</v>
      </c>
      <c r="H254" s="72" t="n">
        <v>49.1</v>
      </c>
    </row>
    <row r="255">
      <c r="A255" s="71" t="n">
        <v>24685</v>
      </c>
      <c r="B255" s="72" t="n">
        <v>33.5</v>
      </c>
      <c r="C255" s="71" t="n">
        <v>28338</v>
      </c>
      <c r="D255" s="72" t="n">
        <v>61.5</v>
      </c>
      <c r="E255" s="71" t="n">
        <v>31990</v>
      </c>
      <c r="F255" s="72" t="n">
        <v>113.9</v>
      </c>
      <c r="G255" s="71" t="n">
        <v>28338</v>
      </c>
      <c r="H255" s="72" t="n">
        <v>49.5</v>
      </c>
    </row>
    <row r="256">
      <c r="A256" s="71" t="n">
        <v>24716</v>
      </c>
      <c r="B256" s="72" t="n">
        <v>33.6</v>
      </c>
      <c r="C256" s="71" t="n">
        <v>28369</v>
      </c>
      <c r="D256" s="72" t="n">
        <v>61.8</v>
      </c>
      <c r="E256" s="71" t="n">
        <v>32021</v>
      </c>
      <c r="F256" s="72" t="n">
        <v>114.4</v>
      </c>
      <c r="G256" s="71" t="n">
        <v>28369</v>
      </c>
      <c r="H256" s="72" t="n">
        <v>49.8</v>
      </c>
    </row>
    <row r="257">
      <c r="A257" s="71" t="n">
        <v>24746</v>
      </c>
      <c r="B257" s="72" t="n">
        <v>33.7</v>
      </c>
      <c r="C257" s="71" t="n">
        <v>28399</v>
      </c>
      <c r="D257" s="72" t="n">
        <v>62</v>
      </c>
      <c r="E257" s="71" t="n">
        <v>32051</v>
      </c>
      <c r="F257" s="72" t="n">
        <v>114.6</v>
      </c>
      <c r="G257" s="71" t="n">
        <v>28399</v>
      </c>
      <c r="H257" s="72" t="n">
        <v>50.5</v>
      </c>
    </row>
    <row r="258">
      <c r="A258" s="71" t="n">
        <v>24777</v>
      </c>
      <c r="B258" s="72" t="n">
        <v>33.9</v>
      </c>
      <c r="C258" s="71" t="n">
        <v>28430</v>
      </c>
      <c r="D258" s="72" t="n">
        <v>62.3</v>
      </c>
      <c r="E258" s="71" t="n">
        <v>32082</v>
      </c>
      <c r="F258" s="72" t="n">
        <v>114.7</v>
      </c>
      <c r="G258" s="71" t="n">
        <v>28430</v>
      </c>
      <c r="H258" s="72" t="n">
        <v>51.3</v>
      </c>
    </row>
    <row r="259">
      <c r="A259" s="71" t="n">
        <v>24807</v>
      </c>
      <c r="B259" s="72" t="n">
        <v>34</v>
      </c>
      <c r="C259" s="71" t="n">
        <v>28460</v>
      </c>
      <c r="D259" s="72" t="n">
        <v>62.7</v>
      </c>
      <c r="E259" s="71" t="n">
        <v>32112</v>
      </c>
      <c r="F259" s="72" t="n">
        <v>115.2</v>
      </c>
      <c r="G259" s="71" t="n">
        <v>28460</v>
      </c>
      <c r="H259" s="72" t="n">
        <v>51.6</v>
      </c>
    </row>
    <row r="260">
      <c r="A260" s="71" t="n">
        <v>24838</v>
      </c>
      <c r="B260" s="72" t="n">
        <v>34.1</v>
      </c>
      <c r="C260" s="71" t="n">
        <v>28491</v>
      </c>
      <c r="D260" s="72" t="n">
        <v>63.1</v>
      </c>
      <c r="E260" s="71" t="n">
        <v>32143</v>
      </c>
      <c r="F260" s="72" t="n">
        <v>115.6</v>
      </c>
      <c r="G260" s="71" t="n">
        <v>28491</v>
      </c>
      <c r="H260" s="72" t="n">
        <v>51.1</v>
      </c>
    </row>
    <row r="261">
      <c r="A261" s="71" t="n">
        <v>24869</v>
      </c>
      <c r="B261" s="72" t="n">
        <v>34.2</v>
      </c>
      <c r="C261" s="71" t="n">
        <v>28522</v>
      </c>
      <c r="D261" s="72" t="n">
        <v>63.4</v>
      </c>
      <c r="E261" s="71" t="n">
        <v>32174</v>
      </c>
      <c r="F261" s="72" t="n">
        <v>115.7</v>
      </c>
      <c r="G261" s="71" t="n">
        <v>28522</v>
      </c>
      <c r="H261" s="72" t="n">
        <v>50.6</v>
      </c>
    </row>
    <row r="262">
      <c r="A262" s="71" t="n">
        <v>24898</v>
      </c>
      <c r="B262" s="72" t="n">
        <v>34.3</v>
      </c>
      <c r="C262" s="71" t="n">
        <v>28550</v>
      </c>
      <c r="D262" s="72" t="n">
        <v>63.8</v>
      </c>
      <c r="E262" s="71" t="n">
        <v>32203</v>
      </c>
      <c r="F262" s="72" t="n">
        <v>115.9</v>
      </c>
      <c r="G262" s="71" t="n">
        <v>28550</v>
      </c>
      <c r="H262" s="72" t="n">
        <v>51</v>
      </c>
    </row>
    <row r="263">
      <c r="A263" s="71" t="n">
        <v>24929</v>
      </c>
      <c r="B263" s="72" t="n">
        <v>34.4</v>
      </c>
      <c r="C263" s="71" t="n">
        <v>28581</v>
      </c>
      <c r="D263" s="72" t="n">
        <v>64.3</v>
      </c>
      <c r="E263" s="71" t="n">
        <v>32234</v>
      </c>
      <c r="F263" s="72" t="n">
        <v>116.5</v>
      </c>
      <c r="G263" s="71" t="n">
        <v>28581</v>
      </c>
      <c r="H263" s="72" t="n">
        <v>51.4</v>
      </c>
    </row>
    <row r="264">
      <c r="A264" s="71" t="n">
        <v>24959</v>
      </c>
      <c r="B264" s="72" t="n">
        <v>34.5</v>
      </c>
      <c r="C264" s="71" t="n">
        <v>28611</v>
      </c>
      <c r="D264" s="72" t="n">
        <v>64.7</v>
      </c>
      <c r="E264" s="71" t="n">
        <v>32264</v>
      </c>
      <c r="F264" s="72" t="n">
        <v>116.9</v>
      </c>
      <c r="G264" s="71" t="n">
        <v>28611</v>
      </c>
      <c r="H264" s="72" t="n">
        <v>51.7</v>
      </c>
    </row>
    <row r="265">
      <c r="A265" s="71" t="n">
        <v>24990</v>
      </c>
      <c r="B265" s="72" t="n">
        <v>34.7</v>
      </c>
      <c r="C265" s="71" t="n">
        <v>28642</v>
      </c>
      <c r="D265" s="72" t="n">
        <v>65.2</v>
      </c>
      <c r="E265" s="71" t="n">
        <v>32295</v>
      </c>
      <c r="F265" s="72" t="n">
        <v>117.6</v>
      </c>
      <c r="G265" s="71" t="n">
        <v>28642</v>
      </c>
      <c r="H265" s="72" t="n">
        <v>51.9</v>
      </c>
    </row>
    <row r="266">
      <c r="A266" s="71" t="n">
        <v>25020</v>
      </c>
      <c r="B266" s="72" t="n">
        <v>34.9</v>
      </c>
      <c r="C266" s="71" t="n">
        <v>28672</v>
      </c>
      <c r="D266" s="72" t="n">
        <v>65.59999999999999</v>
      </c>
      <c r="E266" s="71" t="n">
        <v>32325</v>
      </c>
      <c r="F266" s="72" t="n">
        <v>118.8</v>
      </c>
      <c r="G266" s="71" t="n">
        <v>28672</v>
      </c>
      <c r="H266" s="72" t="n">
        <v>52.1</v>
      </c>
    </row>
    <row r="267">
      <c r="A267" s="71" t="n">
        <v>25051</v>
      </c>
      <c r="B267" s="72" t="n">
        <v>35</v>
      </c>
      <c r="C267" s="71" t="n">
        <v>28703</v>
      </c>
      <c r="D267" s="72" t="n">
        <v>66.09999999999999</v>
      </c>
      <c r="E267" s="71" t="n">
        <v>32356</v>
      </c>
      <c r="F267" s="72" t="n">
        <v>119.4</v>
      </c>
      <c r="G267" s="71" t="n">
        <v>28703</v>
      </c>
      <c r="H267" s="72" t="n">
        <v>52.6</v>
      </c>
    </row>
    <row r="268">
      <c r="A268" s="71" t="n">
        <v>25082</v>
      </c>
      <c r="B268" s="72" t="n">
        <v>35.1</v>
      </c>
      <c r="C268" s="71" t="n">
        <v>28734</v>
      </c>
      <c r="D268" s="72" t="n">
        <v>66.7</v>
      </c>
      <c r="E268" s="71" t="n">
        <v>32387</v>
      </c>
      <c r="F268" s="72" t="n">
        <v>120</v>
      </c>
      <c r="G268" s="71" t="n">
        <v>28734</v>
      </c>
      <c r="H268" s="72" t="n">
        <v>53.2</v>
      </c>
    </row>
    <row r="269">
      <c r="A269" s="71" t="n">
        <v>25112</v>
      </c>
      <c r="B269" s="72" t="n">
        <v>35.3</v>
      </c>
      <c r="C269" s="71" t="n">
        <v>28764</v>
      </c>
      <c r="D269" s="72" t="n">
        <v>67.2</v>
      </c>
      <c r="E269" s="71" t="n">
        <v>32417</v>
      </c>
      <c r="F269" s="72" t="n">
        <v>120.3</v>
      </c>
      <c r="G269" s="71" t="n">
        <v>28764</v>
      </c>
      <c r="H269" s="72" t="n">
        <v>54.1</v>
      </c>
    </row>
    <row r="270">
      <c r="A270" s="71" t="n">
        <v>25143</v>
      </c>
      <c r="B270" s="72" t="n">
        <v>35.4</v>
      </c>
      <c r="C270" s="71" t="n">
        <v>28795</v>
      </c>
      <c r="D270" s="72" t="n">
        <v>67.59999999999999</v>
      </c>
      <c r="E270" s="71" t="n">
        <v>32448</v>
      </c>
      <c r="F270" s="72" t="n">
        <v>120.5</v>
      </c>
      <c r="G270" s="71" t="n">
        <v>28795</v>
      </c>
      <c r="H270" s="72" t="n">
        <v>54.9</v>
      </c>
    </row>
    <row r="271">
      <c r="A271" s="71" t="n">
        <v>25173</v>
      </c>
      <c r="B271" s="72" t="n">
        <v>35.6</v>
      </c>
      <c r="C271" s="71" t="n">
        <v>28825</v>
      </c>
      <c r="D271" s="72" t="n">
        <v>68</v>
      </c>
      <c r="E271" s="71" t="n">
        <v>32478</v>
      </c>
      <c r="F271" s="72" t="n">
        <v>121</v>
      </c>
      <c r="G271" s="71" t="n">
        <v>28825</v>
      </c>
      <c r="H271" s="72" t="n">
        <v>55.9</v>
      </c>
    </row>
    <row r="272">
      <c r="A272" s="71" t="n">
        <v>25204</v>
      </c>
      <c r="B272" s="72" t="n">
        <v>35.7</v>
      </c>
      <c r="C272" s="71" t="n">
        <v>28856</v>
      </c>
      <c r="D272" s="72" t="n">
        <v>68.5</v>
      </c>
      <c r="E272" s="71" t="n">
        <v>32509</v>
      </c>
      <c r="F272" s="72" t="n">
        <v>121.5</v>
      </c>
      <c r="G272" s="71" t="n">
        <v>28856</v>
      </c>
      <c r="H272" s="72" t="n">
        <v>55.8</v>
      </c>
    </row>
    <row r="273">
      <c r="A273" s="71" t="n">
        <v>25235</v>
      </c>
      <c r="B273" s="72" t="n">
        <v>35.8</v>
      </c>
      <c r="C273" s="71" t="n">
        <v>28887</v>
      </c>
      <c r="D273" s="72" t="n">
        <v>69.2</v>
      </c>
      <c r="E273" s="71" t="n">
        <v>32540</v>
      </c>
      <c r="F273" s="72" t="n">
        <v>122.3</v>
      </c>
      <c r="G273" s="71" t="n">
        <v>28887</v>
      </c>
      <c r="H273" s="72" t="n">
        <v>55.9</v>
      </c>
    </row>
    <row r="274">
      <c r="A274" s="71" t="n">
        <v>25263</v>
      </c>
      <c r="B274" s="72" t="n">
        <v>36.1</v>
      </c>
      <c r="C274" s="71" t="n">
        <v>28915</v>
      </c>
      <c r="D274" s="72" t="n">
        <v>69.8</v>
      </c>
      <c r="E274" s="71" t="n">
        <v>32568</v>
      </c>
      <c r="F274" s="72" t="n">
        <v>123.1</v>
      </c>
      <c r="G274" s="71" t="n">
        <v>28915</v>
      </c>
      <c r="H274" s="72" t="n">
        <v>57.4</v>
      </c>
    </row>
    <row r="275">
      <c r="A275" s="71" t="n">
        <v>25294</v>
      </c>
      <c r="B275" s="72" t="n">
        <v>36.3</v>
      </c>
      <c r="C275" s="71" t="n">
        <v>28946</v>
      </c>
      <c r="D275" s="72" t="n">
        <v>70.3</v>
      </c>
      <c r="E275" s="71" t="n">
        <v>32599</v>
      </c>
      <c r="F275" s="72" t="n">
        <v>123.7</v>
      </c>
      <c r="G275" s="71" t="n">
        <v>28946</v>
      </c>
      <c r="H275" s="72" t="n">
        <v>59.5</v>
      </c>
    </row>
    <row r="276">
      <c r="A276" s="71" t="n">
        <v>25324</v>
      </c>
      <c r="B276" s="72" t="n">
        <v>36.4</v>
      </c>
      <c r="C276" s="71" t="n">
        <v>28976</v>
      </c>
      <c r="D276" s="72" t="n">
        <v>70.8</v>
      </c>
      <c r="E276" s="71" t="n">
        <v>32629</v>
      </c>
      <c r="F276" s="72" t="n">
        <v>124.6</v>
      </c>
      <c r="G276" s="71" t="n">
        <v>28976</v>
      </c>
      <c r="H276" s="72" t="n">
        <v>62</v>
      </c>
    </row>
    <row r="277">
      <c r="A277" s="71" t="n">
        <v>25355</v>
      </c>
      <c r="B277" s="72" t="n">
        <v>36.6</v>
      </c>
      <c r="C277" s="71" t="n">
        <v>29007</v>
      </c>
      <c r="D277" s="72" t="n">
        <v>71.3</v>
      </c>
      <c r="E277" s="71" t="n">
        <v>32660</v>
      </c>
      <c r="F277" s="72" t="n">
        <v>124.9</v>
      </c>
      <c r="G277" s="71" t="n">
        <v>29007</v>
      </c>
      <c r="H277" s="72" t="n">
        <v>64.7</v>
      </c>
    </row>
    <row r="278">
      <c r="A278" s="71" t="n">
        <v>25385</v>
      </c>
      <c r="B278" s="72" t="n">
        <v>36.8</v>
      </c>
      <c r="C278" s="71" t="n">
        <v>29037</v>
      </c>
      <c r="D278" s="72" t="n">
        <v>71.90000000000001</v>
      </c>
      <c r="E278" s="71" t="n">
        <v>32690</v>
      </c>
      <c r="F278" s="72" t="n">
        <v>125.4</v>
      </c>
      <c r="G278" s="71" t="n">
        <v>29037</v>
      </c>
      <c r="H278" s="72" t="n">
        <v>67.3</v>
      </c>
    </row>
    <row r="279">
      <c r="A279" s="71" t="n">
        <v>25416</v>
      </c>
      <c r="B279" s="72" t="n">
        <v>36.9</v>
      </c>
      <c r="C279" s="71" t="n">
        <v>29068</v>
      </c>
      <c r="D279" s="72" t="n">
        <v>72.7</v>
      </c>
      <c r="E279" s="71" t="n">
        <v>32721</v>
      </c>
      <c r="F279" s="72" t="n">
        <v>125.7</v>
      </c>
      <c r="G279" s="71" t="n">
        <v>29068</v>
      </c>
      <c r="H279" s="72" t="n">
        <v>69.7</v>
      </c>
    </row>
    <row r="280">
      <c r="A280" s="71" t="n">
        <v>25447</v>
      </c>
      <c r="B280" s="72" t="n">
        <v>37.1</v>
      </c>
      <c r="C280" s="71" t="n">
        <v>29099</v>
      </c>
      <c r="D280" s="72" t="n">
        <v>73.3</v>
      </c>
      <c r="E280" s="71" t="n">
        <v>32752</v>
      </c>
      <c r="F280" s="72" t="n">
        <v>126.1</v>
      </c>
      <c r="G280" s="71" t="n">
        <v>29099</v>
      </c>
      <c r="H280" s="72" t="n">
        <v>71.90000000000001</v>
      </c>
    </row>
    <row r="281">
      <c r="A281" s="71" t="n">
        <v>25477</v>
      </c>
      <c r="B281" s="72" t="n">
        <v>37.3</v>
      </c>
      <c r="C281" s="71" t="n">
        <v>29129</v>
      </c>
      <c r="D281" s="72" t="n">
        <v>74</v>
      </c>
      <c r="E281" s="71" t="n">
        <v>32782</v>
      </c>
      <c r="F281" s="72" t="n">
        <v>126.7</v>
      </c>
      <c r="G281" s="71" t="n">
        <v>29129</v>
      </c>
      <c r="H281" s="72" t="n">
        <v>73.5</v>
      </c>
    </row>
    <row r="282">
      <c r="A282" s="71" t="n">
        <v>25508</v>
      </c>
      <c r="B282" s="72" t="n">
        <v>37.5</v>
      </c>
      <c r="C282" s="71" t="n">
        <v>29160</v>
      </c>
      <c r="D282" s="72" t="n">
        <v>74.8</v>
      </c>
      <c r="E282" s="71" t="n">
        <v>32813</v>
      </c>
      <c r="F282" s="72" t="n">
        <v>127.2</v>
      </c>
      <c r="G282" s="71" t="n">
        <v>29160</v>
      </c>
      <c r="H282" s="72" t="n">
        <v>74.8</v>
      </c>
    </row>
    <row r="283">
      <c r="A283" s="71" t="n">
        <v>25538</v>
      </c>
      <c r="B283" s="72" t="n">
        <v>37.7</v>
      </c>
      <c r="C283" s="71" t="n">
        <v>29190</v>
      </c>
      <c r="D283" s="72" t="n">
        <v>75.7</v>
      </c>
      <c r="E283" s="71" t="n">
        <v>32843</v>
      </c>
      <c r="F283" s="72" t="n">
        <v>127.7</v>
      </c>
      <c r="G283" s="71" t="n">
        <v>29190</v>
      </c>
      <c r="H283" s="72" t="n">
        <v>76.8</v>
      </c>
    </row>
    <row r="284">
      <c r="A284" s="71" t="n">
        <v>25569</v>
      </c>
      <c r="B284" s="72" t="n">
        <v>37.9</v>
      </c>
      <c r="C284" s="71" t="n">
        <v>29221</v>
      </c>
      <c r="D284" s="72" t="n">
        <v>76.7</v>
      </c>
      <c r="E284" s="71" t="n">
        <v>32874</v>
      </c>
      <c r="F284" s="72" t="n">
        <v>129.4</v>
      </c>
      <c r="G284" s="71" t="n">
        <v>29221</v>
      </c>
      <c r="H284" s="72" t="n">
        <v>79.09999999999999</v>
      </c>
    </row>
    <row r="285">
      <c r="A285" s="71" t="n">
        <v>25600</v>
      </c>
      <c r="B285" s="72" t="n">
        <v>38.1</v>
      </c>
      <c r="C285" s="71" t="n">
        <v>29252</v>
      </c>
      <c r="D285" s="72" t="n">
        <v>77.5</v>
      </c>
      <c r="E285" s="71" t="n">
        <v>32905</v>
      </c>
      <c r="F285" s="72" t="n">
        <v>130.5</v>
      </c>
      <c r="G285" s="71" t="n">
        <v>29252</v>
      </c>
      <c r="H285" s="72" t="n">
        <v>81.90000000000001</v>
      </c>
    </row>
    <row r="286">
      <c r="A286" s="71" t="n">
        <v>25628</v>
      </c>
      <c r="B286" s="72" t="n">
        <v>38.3</v>
      </c>
      <c r="C286" s="71" t="n">
        <v>29281</v>
      </c>
      <c r="D286" s="72" t="n">
        <v>78.59999999999999</v>
      </c>
      <c r="E286" s="71" t="n">
        <v>32933</v>
      </c>
      <c r="F286" s="72" t="n">
        <v>130.7</v>
      </c>
      <c r="G286" s="71" t="n">
        <v>29281</v>
      </c>
      <c r="H286" s="72" t="n">
        <v>84.5</v>
      </c>
    </row>
    <row r="287">
      <c r="A287" s="71" t="n">
        <v>25659</v>
      </c>
      <c r="B287" s="72" t="n">
        <v>38.5</v>
      </c>
      <c r="C287" s="71" t="n">
        <v>29312</v>
      </c>
      <c r="D287" s="72" t="n">
        <v>79.5</v>
      </c>
      <c r="E287" s="71" t="n">
        <v>32964</v>
      </c>
      <c r="F287" s="72" t="n">
        <v>130.6</v>
      </c>
      <c r="G287" s="71" t="n">
        <v>29312</v>
      </c>
      <c r="H287" s="72" t="n">
        <v>85.40000000000001</v>
      </c>
    </row>
    <row r="288">
      <c r="A288" s="71" t="n">
        <v>25689</v>
      </c>
      <c r="B288" s="72" t="n">
        <v>38.6</v>
      </c>
      <c r="C288" s="71" t="n">
        <v>29342</v>
      </c>
      <c r="D288" s="72" t="n">
        <v>80.09999999999999</v>
      </c>
      <c r="E288" s="71" t="n">
        <v>32994</v>
      </c>
      <c r="F288" s="72" t="n">
        <v>130.9</v>
      </c>
      <c r="G288" s="71" t="n">
        <v>29342</v>
      </c>
      <c r="H288" s="72" t="n">
        <v>86.40000000000001</v>
      </c>
    </row>
    <row r="289">
      <c r="A289" s="71" t="n">
        <v>25720</v>
      </c>
      <c r="B289" s="72" t="n">
        <v>38.8</v>
      </c>
      <c r="C289" s="71" t="n">
        <v>29373</v>
      </c>
      <c r="D289" s="72" t="n">
        <v>81</v>
      </c>
      <c r="E289" s="71" t="n">
        <v>33025</v>
      </c>
      <c r="F289" s="72" t="n">
        <v>131.8</v>
      </c>
      <c r="G289" s="71" t="n">
        <v>29373</v>
      </c>
      <c r="H289" s="72" t="n">
        <v>86.5</v>
      </c>
    </row>
    <row r="290">
      <c r="A290" s="71" t="n">
        <v>25750</v>
      </c>
      <c r="B290" s="72" t="n">
        <v>38.9</v>
      </c>
      <c r="C290" s="71" t="n">
        <v>29403</v>
      </c>
      <c r="D290" s="72" t="n">
        <v>80.8</v>
      </c>
      <c r="E290" s="71" t="n">
        <v>33055</v>
      </c>
      <c r="F290" s="72" t="n">
        <v>132.5</v>
      </c>
      <c r="G290" s="71" t="n">
        <v>29403</v>
      </c>
      <c r="H290" s="72" t="n">
        <v>86.7</v>
      </c>
    </row>
    <row r="291">
      <c r="A291" s="71" t="n">
        <v>25781</v>
      </c>
      <c r="B291" s="72" t="n">
        <v>39</v>
      </c>
      <c r="C291" s="71" t="n">
        <v>29434</v>
      </c>
      <c r="D291" s="72" t="n">
        <v>81.3</v>
      </c>
      <c r="E291" s="71" t="n">
        <v>33086</v>
      </c>
      <c r="F291" s="72" t="n">
        <v>132.9</v>
      </c>
      <c r="G291" s="71" t="n">
        <v>29434</v>
      </c>
      <c r="H291" s="72" t="n">
        <v>87.2</v>
      </c>
    </row>
    <row r="292">
      <c r="A292" s="71" t="n">
        <v>25812</v>
      </c>
      <c r="B292" s="72" t="n">
        <v>39.2</v>
      </c>
      <c r="C292" s="71" t="n">
        <v>29465</v>
      </c>
      <c r="D292" s="72" t="n">
        <v>82.09999999999999</v>
      </c>
      <c r="E292" s="71" t="n">
        <v>33117</v>
      </c>
      <c r="F292" s="72" t="n">
        <v>133.3</v>
      </c>
      <c r="G292" s="71" t="n">
        <v>29465</v>
      </c>
      <c r="H292" s="72" t="n">
        <v>87.5</v>
      </c>
    </row>
    <row r="293">
      <c r="A293" s="71" t="n">
        <v>25842</v>
      </c>
      <c r="B293" s="72" t="n">
        <v>39.4</v>
      </c>
      <c r="C293" s="71" t="n">
        <v>29495</v>
      </c>
      <c r="D293" s="72" t="n">
        <v>83</v>
      </c>
      <c r="E293" s="71" t="n">
        <v>33147</v>
      </c>
      <c r="F293" s="72" t="n">
        <v>133.8</v>
      </c>
      <c r="G293" s="71" t="n">
        <v>29495</v>
      </c>
      <c r="H293" s="72" t="n">
        <v>88</v>
      </c>
    </row>
    <row r="294">
      <c r="A294" s="71" t="n">
        <v>25873</v>
      </c>
      <c r="B294" s="72" t="n">
        <v>39.6</v>
      </c>
      <c r="C294" s="71" t="n">
        <v>29526</v>
      </c>
      <c r="D294" s="72" t="n">
        <v>83.90000000000001</v>
      </c>
      <c r="E294" s="71" t="n">
        <v>33178</v>
      </c>
      <c r="F294" s="72" t="n">
        <v>134.2</v>
      </c>
      <c r="G294" s="71" t="n">
        <v>29526</v>
      </c>
      <c r="H294" s="72" t="n">
        <v>88.8</v>
      </c>
    </row>
    <row r="295">
      <c r="A295" s="71" t="n">
        <v>25903</v>
      </c>
      <c r="B295" s="72" t="n">
        <v>39.8</v>
      </c>
      <c r="C295" s="71" t="n">
        <v>29556</v>
      </c>
      <c r="D295" s="72" t="n">
        <v>84.90000000000001</v>
      </c>
      <c r="E295" s="71" t="n">
        <v>33208</v>
      </c>
      <c r="F295" s="72" t="n">
        <v>134.3</v>
      </c>
      <c r="G295" s="71" t="n">
        <v>29556</v>
      </c>
      <c r="H295" s="72" t="n">
        <v>90.7</v>
      </c>
    </row>
    <row r="296">
      <c r="A296" s="71" t="n">
        <v>25934</v>
      </c>
      <c r="B296" s="72" t="n">
        <v>39.9</v>
      </c>
      <c r="C296" s="71" t="n">
        <v>29587</v>
      </c>
      <c r="D296" s="72" t="n">
        <v>85.40000000000001</v>
      </c>
      <c r="E296" s="71" t="n">
        <v>33239</v>
      </c>
      <c r="F296" s="72" t="n">
        <v>135.2</v>
      </c>
      <c r="G296" s="71" t="n">
        <v>29587</v>
      </c>
      <c r="H296" s="72" t="n">
        <v>92.09999999999999</v>
      </c>
    </row>
    <row r="297">
      <c r="A297" s="71" t="n">
        <v>25965</v>
      </c>
      <c r="B297" s="72" t="n">
        <v>39.9</v>
      </c>
      <c r="C297" s="71" t="n">
        <v>29618</v>
      </c>
      <c r="D297" s="72" t="n">
        <v>85.90000000000001</v>
      </c>
      <c r="E297" s="71" t="n">
        <v>33270</v>
      </c>
      <c r="F297" s="72" t="n">
        <v>135.7</v>
      </c>
      <c r="G297" s="71" t="n">
        <v>29618</v>
      </c>
      <c r="H297" s="72" t="n">
        <v>95.2</v>
      </c>
    </row>
    <row r="298">
      <c r="A298" s="71" t="n">
        <v>25993</v>
      </c>
      <c r="B298" s="72" t="n">
        <v>40</v>
      </c>
      <c r="C298" s="71" t="n">
        <v>29646</v>
      </c>
      <c r="D298" s="72" t="n">
        <v>86.40000000000001</v>
      </c>
      <c r="E298" s="71" t="n">
        <v>33298</v>
      </c>
      <c r="F298" s="72" t="n">
        <v>135.9</v>
      </c>
      <c r="G298" s="71" t="n">
        <v>29646</v>
      </c>
      <c r="H298" s="72" t="n">
        <v>97.40000000000001</v>
      </c>
    </row>
    <row r="299">
      <c r="A299" s="71" t="n">
        <v>26024</v>
      </c>
      <c r="B299" s="72" t="n">
        <v>40.1</v>
      </c>
      <c r="C299" s="71" t="n">
        <v>29677</v>
      </c>
      <c r="D299" s="72" t="n">
        <v>87</v>
      </c>
      <c r="E299" s="71" t="n">
        <v>33329</v>
      </c>
      <c r="F299" s="72" t="n">
        <v>136.6</v>
      </c>
      <c r="G299" s="71" t="n">
        <v>29677</v>
      </c>
      <c r="H299" s="72" t="n">
        <v>97.59999999999999</v>
      </c>
    </row>
    <row r="300">
      <c r="A300" s="71" t="n">
        <v>26054</v>
      </c>
      <c r="B300" s="72" t="n">
        <v>40.3</v>
      </c>
      <c r="C300" s="71" t="n">
        <v>29707</v>
      </c>
      <c r="D300" s="72" t="n">
        <v>87.8</v>
      </c>
      <c r="E300" s="71" t="n">
        <v>33359</v>
      </c>
      <c r="F300" s="72" t="n">
        <v>137.1</v>
      </c>
      <c r="G300" s="71" t="n">
        <v>29707</v>
      </c>
      <c r="H300" s="72" t="n">
        <v>97.90000000000001</v>
      </c>
    </row>
    <row r="301">
      <c r="A301" s="71" t="n">
        <v>26085</v>
      </c>
      <c r="B301" s="72" t="n">
        <v>40.5</v>
      </c>
      <c r="C301" s="71" t="n">
        <v>29738</v>
      </c>
      <c r="D301" s="72" t="n">
        <v>88.59999999999999</v>
      </c>
      <c r="E301" s="71" t="n">
        <v>33390</v>
      </c>
      <c r="F301" s="72" t="n">
        <v>137.8</v>
      </c>
      <c r="G301" s="71" t="n">
        <v>29738</v>
      </c>
      <c r="H301" s="72" t="n">
        <v>97.3</v>
      </c>
    </row>
    <row r="302">
      <c r="A302" s="71" t="n">
        <v>26115</v>
      </c>
      <c r="B302" s="72" t="n">
        <v>40.6</v>
      </c>
      <c r="C302" s="71" t="n">
        <v>29768</v>
      </c>
      <c r="D302" s="72" t="n">
        <v>89.8</v>
      </c>
      <c r="E302" s="71" t="n">
        <v>33420</v>
      </c>
      <c r="F302" s="72" t="n">
        <v>137.2</v>
      </c>
      <c r="G302" s="71" t="n">
        <v>29768</v>
      </c>
      <c r="H302" s="72" t="n">
        <v>97.3</v>
      </c>
    </row>
    <row r="303">
      <c r="A303" s="71" t="n">
        <v>26146</v>
      </c>
      <c r="B303" s="72" t="n">
        <v>40.7</v>
      </c>
      <c r="C303" s="71" t="n">
        <v>29799</v>
      </c>
      <c r="D303" s="72" t="n">
        <v>90.7</v>
      </c>
      <c r="E303" s="71" t="n">
        <v>33451</v>
      </c>
      <c r="F303" s="72" t="n">
        <v>136.8</v>
      </c>
      <c r="G303" s="71" t="n">
        <v>29799</v>
      </c>
      <c r="H303" s="72" t="n">
        <v>97.8</v>
      </c>
    </row>
    <row r="304">
      <c r="A304" s="71" t="n">
        <v>26177</v>
      </c>
      <c r="B304" s="72" t="n">
        <v>40.8</v>
      </c>
      <c r="C304" s="71" t="n">
        <v>29830</v>
      </c>
      <c r="D304" s="72" t="n">
        <v>91.8</v>
      </c>
      <c r="E304" s="71" t="n">
        <v>33482</v>
      </c>
      <c r="F304" s="72" t="n">
        <v>137</v>
      </c>
      <c r="G304" s="71" t="n">
        <v>29830</v>
      </c>
      <c r="H304" s="72" t="n">
        <v>98.59999999999999</v>
      </c>
    </row>
    <row r="305">
      <c r="A305" s="71" t="n">
        <v>26207</v>
      </c>
      <c r="B305" s="72" t="n">
        <v>40.9</v>
      </c>
      <c r="C305" s="71" t="n">
        <v>29860</v>
      </c>
      <c r="D305" s="72" t="n">
        <v>92.09999999999999</v>
      </c>
      <c r="E305" s="71" t="n">
        <v>33512</v>
      </c>
      <c r="F305" s="72" t="n">
        <v>136.9</v>
      </c>
      <c r="G305" s="71" t="n">
        <v>29860</v>
      </c>
      <c r="H305" s="72" t="n">
        <v>99.2</v>
      </c>
    </row>
    <row r="306">
      <c r="A306" s="71" t="n">
        <v>26238</v>
      </c>
      <c r="B306" s="72" t="n">
        <v>41</v>
      </c>
      <c r="C306" s="71" t="n">
        <v>29891</v>
      </c>
      <c r="D306" s="72" t="n">
        <v>92.5</v>
      </c>
      <c r="E306" s="71" t="n">
        <v>33543</v>
      </c>
      <c r="F306" s="72" t="n">
        <v>137.4</v>
      </c>
      <c r="G306" s="71" t="n">
        <v>29891</v>
      </c>
      <c r="H306" s="72" t="n">
        <v>100.5</v>
      </c>
    </row>
    <row r="307">
      <c r="A307" s="71" t="n">
        <v>26268</v>
      </c>
      <c r="B307" s="72" t="n">
        <v>41.1</v>
      </c>
      <c r="C307" s="71" t="n">
        <v>29921</v>
      </c>
      <c r="D307" s="72" t="n">
        <v>93</v>
      </c>
      <c r="E307" s="71" t="n">
        <v>33573</v>
      </c>
      <c r="F307" s="72" t="n">
        <v>137.6</v>
      </c>
      <c r="G307" s="71" t="n">
        <v>29921</v>
      </c>
      <c r="H307" s="72" t="n">
        <v>101.5</v>
      </c>
    </row>
    <row r="308">
      <c r="A308" s="71" t="n">
        <v>26299</v>
      </c>
      <c r="B308" s="72" t="n">
        <v>41.2</v>
      </c>
      <c r="C308" s="71" t="n">
        <v>29952</v>
      </c>
      <c r="D308" s="72" t="n">
        <v>93.3</v>
      </c>
      <c r="E308" s="71" t="n">
        <v>33604</v>
      </c>
      <c r="F308" s="72" t="n">
        <v>137.3</v>
      </c>
      <c r="G308" s="71" t="n">
        <v>29952</v>
      </c>
      <c r="H308" s="72" t="n">
        <v>100.6</v>
      </c>
    </row>
    <row r="309">
      <c r="A309" s="71" t="n">
        <v>26330</v>
      </c>
      <c r="B309" s="72" t="n">
        <v>41.4</v>
      </c>
      <c r="C309" s="71" t="n">
        <v>29983</v>
      </c>
      <c r="D309" s="72" t="n">
        <v>93.8</v>
      </c>
      <c r="E309" s="71" t="n">
        <v>33635</v>
      </c>
      <c r="F309" s="72" t="n">
        <v>137.8</v>
      </c>
      <c r="G309" s="71" t="n">
        <v>29983</v>
      </c>
      <c r="H309" s="72" t="n">
        <v>98</v>
      </c>
    </row>
    <row r="310">
      <c r="A310" s="71" t="n">
        <v>26359</v>
      </c>
      <c r="B310" s="72" t="n">
        <v>41.4</v>
      </c>
      <c r="C310" s="71" t="n">
        <v>30011</v>
      </c>
      <c r="D310" s="72" t="n">
        <v>93.90000000000001</v>
      </c>
      <c r="E310" s="71" t="n">
        <v>33664</v>
      </c>
      <c r="F310" s="72" t="n">
        <v>138.3</v>
      </c>
      <c r="G310" s="71" t="n">
        <v>30011</v>
      </c>
      <c r="H310" s="72" t="n">
        <v>96.59999999999999</v>
      </c>
    </row>
    <row r="311">
      <c r="A311" s="71" t="n">
        <v>26390</v>
      </c>
      <c r="B311" s="72" t="n">
        <v>41.5</v>
      </c>
      <c r="C311" s="71" t="n">
        <v>30042</v>
      </c>
      <c r="D311" s="72" t="n">
        <v>94.7</v>
      </c>
      <c r="E311" s="71" t="n">
        <v>33695</v>
      </c>
      <c r="F311" s="72" t="n">
        <v>138.2</v>
      </c>
      <c r="G311" s="71" t="n">
        <v>30042</v>
      </c>
      <c r="H311" s="72" t="n">
        <v>94.2</v>
      </c>
    </row>
    <row r="312">
      <c r="A312" s="71" t="n">
        <v>26420</v>
      </c>
      <c r="B312" s="72" t="n">
        <v>41.6</v>
      </c>
      <c r="C312" s="71" t="n">
        <v>30072</v>
      </c>
      <c r="D312" s="72" t="n">
        <v>95.40000000000001</v>
      </c>
      <c r="E312" s="71" t="n">
        <v>33725</v>
      </c>
      <c r="F312" s="72" t="n">
        <v>138.1</v>
      </c>
      <c r="G312" s="71" t="n">
        <v>30072</v>
      </c>
      <c r="H312" s="72" t="n">
        <v>95.7</v>
      </c>
    </row>
    <row r="313">
      <c r="A313" s="71" t="n">
        <v>26451</v>
      </c>
      <c r="B313" s="72" t="n">
        <v>41.7</v>
      </c>
      <c r="C313" s="71" t="n">
        <v>30103</v>
      </c>
      <c r="D313" s="72" t="n">
        <v>96.09999999999999</v>
      </c>
      <c r="E313" s="71" t="n">
        <v>33756</v>
      </c>
      <c r="F313" s="72" t="n">
        <v>138.4</v>
      </c>
      <c r="G313" s="71" t="n">
        <v>30103</v>
      </c>
      <c r="H313" s="72" t="n">
        <v>98.40000000000001</v>
      </c>
    </row>
    <row r="314">
      <c r="A314" s="71" t="n">
        <v>26481</v>
      </c>
      <c r="B314" s="72" t="n">
        <v>41.8</v>
      </c>
      <c r="C314" s="71" t="n">
        <v>30133</v>
      </c>
      <c r="D314" s="72" t="n">
        <v>96.7</v>
      </c>
      <c r="E314" s="71" t="n">
        <v>33786</v>
      </c>
      <c r="F314" s="72" t="n">
        <v>138.3</v>
      </c>
      <c r="G314" s="71" t="n">
        <v>30133</v>
      </c>
      <c r="H314" s="72" t="n">
        <v>99.3</v>
      </c>
    </row>
    <row r="315">
      <c r="A315" s="71" t="n">
        <v>26512</v>
      </c>
      <c r="B315" s="72" t="n">
        <v>41.9</v>
      </c>
      <c r="C315" s="71" t="n">
        <v>30164</v>
      </c>
      <c r="D315" s="72" t="n">
        <v>97.09999999999999</v>
      </c>
      <c r="E315" s="71" t="n">
        <v>33817</v>
      </c>
      <c r="F315" s="72" t="n">
        <v>139.1</v>
      </c>
      <c r="G315" s="71" t="n">
        <v>30164</v>
      </c>
      <c r="H315" s="72" t="n">
        <v>99.8</v>
      </c>
    </row>
    <row r="316">
      <c r="A316" s="71" t="n">
        <v>26543</v>
      </c>
      <c r="B316" s="72" t="n">
        <v>42.1</v>
      </c>
      <c r="C316" s="71" t="n">
        <v>30195</v>
      </c>
      <c r="D316" s="72" t="n">
        <v>97.2</v>
      </c>
      <c r="E316" s="71" t="n">
        <v>33848</v>
      </c>
      <c r="F316" s="72" t="n">
        <v>139.7</v>
      </c>
      <c r="G316" s="71" t="n">
        <v>30195</v>
      </c>
      <c r="H316" s="72" t="n">
        <v>100.3</v>
      </c>
    </row>
    <row r="317">
      <c r="A317" s="71" t="n">
        <v>26573</v>
      </c>
      <c r="B317" s="72" t="n">
        <v>42.2</v>
      </c>
      <c r="C317" s="71" t="n">
        <v>30225</v>
      </c>
      <c r="D317" s="72" t="n">
        <v>97.5</v>
      </c>
      <c r="E317" s="71" t="n">
        <v>33878</v>
      </c>
      <c r="F317" s="72" t="n">
        <v>139.7</v>
      </c>
      <c r="G317" s="71" t="n">
        <v>30225</v>
      </c>
      <c r="H317" s="72" t="n">
        <v>101.7</v>
      </c>
    </row>
    <row r="318">
      <c r="A318" s="71" t="n">
        <v>26604</v>
      </c>
      <c r="B318" s="72" t="n">
        <v>42.4</v>
      </c>
      <c r="C318" s="71" t="n">
        <v>30256</v>
      </c>
      <c r="D318" s="72" t="n">
        <v>97.3</v>
      </c>
      <c r="E318" s="71" t="n">
        <v>33909</v>
      </c>
      <c r="F318" s="72" t="n">
        <v>139.6</v>
      </c>
      <c r="G318" s="71" t="n">
        <v>30256</v>
      </c>
      <c r="H318" s="72" t="n">
        <v>102.5</v>
      </c>
    </row>
    <row r="319">
      <c r="A319" s="71" t="n">
        <v>26634</v>
      </c>
      <c r="B319" s="72" t="n">
        <v>42.5</v>
      </c>
      <c r="C319" s="71" t="n">
        <v>30286</v>
      </c>
      <c r="D319" s="72" t="n">
        <v>97.2</v>
      </c>
      <c r="E319" s="71" t="n">
        <v>33939</v>
      </c>
      <c r="F319" s="72" t="n">
        <v>139.6</v>
      </c>
      <c r="G319" s="71" t="n">
        <v>30286</v>
      </c>
      <c r="H319" s="72" t="n">
        <v>102.8</v>
      </c>
    </row>
    <row r="320">
      <c r="A320" s="71" t="n">
        <v>26665</v>
      </c>
      <c r="B320" s="72" t="n">
        <v>42.7</v>
      </c>
      <c r="C320" s="71" t="n">
        <v>30317</v>
      </c>
      <c r="D320" s="72" t="n">
        <v>97.59999999999999</v>
      </c>
      <c r="E320" s="71" t="n">
        <v>33970</v>
      </c>
      <c r="F320" s="72" t="n">
        <v>140</v>
      </c>
      <c r="G320" s="71" t="n">
        <v>30317</v>
      </c>
      <c r="H320" s="72" t="n">
        <v>99.59999999999999</v>
      </c>
    </row>
    <row r="321">
      <c r="A321" s="71" t="n">
        <v>26696</v>
      </c>
      <c r="B321" s="72" t="n">
        <v>43</v>
      </c>
      <c r="C321" s="71" t="n">
        <v>30348</v>
      </c>
      <c r="D321" s="72" t="n">
        <v>98</v>
      </c>
      <c r="E321" s="71" t="n">
        <v>34001</v>
      </c>
      <c r="F321" s="72" t="n">
        <v>140.4</v>
      </c>
      <c r="G321" s="71" t="n">
        <v>30348</v>
      </c>
      <c r="H321" s="72" t="n">
        <v>97.7</v>
      </c>
    </row>
    <row r="322">
      <c r="A322" s="71" t="n">
        <v>26724</v>
      </c>
      <c r="B322" s="72" t="n">
        <v>43.4</v>
      </c>
      <c r="C322" s="71" t="n">
        <v>30376</v>
      </c>
      <c r="D322" s="72" t="n">
        <v>98.2</v>
      </c>
      <c r="E322" s="71" t="n">
        <v>34029</v>
      </c>
      <c r="F322" s="72" t="n">
        <v>140.4</v>
      </c>
      <c r="G322" s="71" t="n">
        <v>30376</v>
      </c>
      <c r="H322" s="72" t="n">
        <v>96.8</v>
      </c>
    </row>
    <row r="323">
      <c r="A323" s="71" t="n">
        <v>26755</v>
      </c>
      <c r="B323" s="72" t="n">
        <v>43.7</v>
      </c>
      <c r="C323" s="71" t="n">
        <v>30407</v>
      </c>
      <c r="D323" s="72" t="n">
        <v>98.59999999999999</v>
      </c>
      <c r="E323" s="71" t="n">
        <v>34060</v>
      </c>
      <c r="F323" s="72" t="n">
        <v>140.8</v>
      </c>
      <c r="G323" s="71" t="n">
        <v>30407</v>
      </c>
      <c r="H323" s="72" t="n">
        <v>98.90000000000001</v>
      </c>
    </row>
    <row r="324">
      <c r="A324" s="71" t="n">
        <v>26785</v>
      </c>
      <c r="B324" s="72" t="n">
        <v>43.9</v>
      </c>
      <c r="C324" s="71" t="n">
        <v>30437</v>
      </c>
      <c r="D324" s="72" t="n">
        <v>98.90000000000001</v>
      </c>
      <c r="E324" s="71" t="n">
        <v>34090</v>
      </c>
      <c r="F324" s="72" t="n">
        <v>141.7</v>
      </c>
      <c r="G324" s="71" t="n">
        <v>30437</v>
      </c>
      <c r="H324" s="72" t="n">
        <v>100.4</v>
      </c>
    </row>
    <row r="325">
      <c r="A325" s="71" t="n">
        <v>26816</v>
      </c>
      <c r="B325" s="72" t="n">
        <v>44.2</v>
      </c>
      <c r="C325" s="71" t="n">
        <v>30468</v>
      </c>
      <c r="D325" s="72" t="n">
        <v>99.2</v>
      </c>
      <c r="E325" s="71" t="n">
        <v>34121</v>
      </c>
      <c r="F325" s="72" t="n">
        <v>141.4</v>
      </c>
      <c r="G325" s="71" t="n">
        <v>30468</v>
      </c>
      <c r="H325" s="72" t="n">
        <v>100.6</v>
      </c>
    </row>
    <row r="326">
      <c r="A326" s="71" t="n">
        <v>26846</v>
      </c>
      <c r="B326" s="72" t="n">
        <v>44.2</v>
      </c>
      <c r="C326" s="71" t="n">
        <v>30498</v>
      </c>
      <c r="D326" s="72" t="n">
        <v>99.8</v>
      </c>
      <c r="E326" s="71" t="n">
        <v>34151</v>
      </c>
      <c r="F326" s="72" t="n">
        <v>141.4</v>
      </c>
      <c r="G326" s="71" t="n">
        <v>30498</v>
      </c>
      <c r="H326" s="72" t="n">
        <v>100.9</v>
      </c>
    </row>
    <row r="327">
      <c r="A327" s="71" t="n">
        <v>26877</v>
      </c>
      <c r="B327" s="72" t="n">
        <v>45</v>
      </c>
      <c r="C327" s="71" t="n">
        <v>30529</v>
      </c>
      <c r="D327" s="72" t="n">
        <v>100.1</v>
      </c>
      <c r="E327" s="71" t="n">
        <v>34182</v>
      </c>
      <c r="F327" s="72" t="n">
        <v>141.9</v>
      </c>
      <c r="G327" s="71" t="n">
        <v>30529</v>
      </c>
      <c r="H327" s="72" t="n">
        <v>101.2</v>
      </c>
    </row>
    <row r="328">
      <c r="A328" s="71" t="n">
        <v>26908</v>
      </c>
      <c r="B328" s="72" t="n">
        <v>45.2</v>
      </c>
      <c r="C328" s="71" t="n">
        <v>30560</v>
      </c>
      <c r="D328" s="72" t="n">
        <v>100.5</v>
      </c>
      <c r="E328" s="71" t="n">
        <v>34213</v>
      </c>
      <c r="F328" s="72" t="n">
        <v>142.1</v>
      </c>
      <c r="G328" s="71" t="n">
        <v>30560</v>
      </c>
      <c r="H328" s="72" t="n">
        <v>101</v>
      </c>
    </row>
    <row r="329">
      <c r="A329" s="71" t="n">
        <v>26938</v>
      </c>
      <c r="B329" s="72" t="n">
        <v>45.6</v>
      </c>
      <c r="C329" s="71" t="n">
        <v>30590</v>
      </c>
      <c r="D329" s="72" t="n">
        <v>101</v>
      </c>
      <c r="E329" s="71" t="n">
        <v>34243</v>
      </c>
      <c r="F329" s="72" t="n">
        <v>142.7</v>
      </c>
      <c r="G329" s="71" t="n">
        <v>30590</v>
      </c>
      <c r="H329" s="72" t="n">
        <v>100.8</v>
      </c>
    </row>
    <row r="330">
      <c r="A330" s="71" t="n">
        <v>26969</v>
      </c>
      <c r="B330" s="72" t="n">
        <v>45.9</v>
      </c>
      <c r="C330" s="71" t="n">
        <v>30621</v>
      </c>
      <c r="D330" s="72" t="n">
        <v>101.5</v>
      </c>
      <c r="E330" s="71" t="n">
        <v>34274</v>
      </c>
      <c r="F330" s="72" t="n">
        <v>143</v>
      </c>
      <c r="G330" s="71" t="n">
        <v>30621</v>
      </c>
      <c r="H330" s="72" t="n">
        <v>100.5</v>
      </c>
    </row>
    <row r="331">
      <c r="A331" s="71" t="n">
        <v>26999</v>
      </c>
      <c r="B331" s="72" t="n">
        <v>46.3</v>
      </c>
      <c r="C331" s="71" t="n">
        <v>30651</v>
      </c>
      <c r="D331" s="72" t="n">
        <v>101.8</v>
      </c>
      <c r="E331" s="71" t="n">
        <v>34304</v>
      </c>
      <c r="F331" s="72" t="n">
        <v>143.5</v>
      </c>
      <c r="G331" s="71" t="n">
        <v>30651</v>
      </c>
      <c r="H331" s="72" t="n">
        <v>100</v>
      </c>
    </row>
    <row r="332">
      <c r="A332" s="71" t="n">
        <v>27030</v>
      </c>
      <c r="B332" s="72" t="n">
        <v>46.8</v>
      </c>
      <c r="C332" s="71" t="n">
        <v>30682</v>
      </c>
      <c r="D332" s="72" t="n">
        <v>102.5</v>
      </c>
      <c r="E332" s="71" t="n">
        <v>34335</v>
      </c>
      <c r="F332" s="72" t="n">
        <v>143.6</v>
      </c>
      <c r="G332" s="71" t="n">
        <v>30682</v>
      </c>
      <c r="H332" s="72" t="n">
        <v>100.2</v>
      </c>
    </row>
    <row r="333">
      <c r="A333" s="71" t="n">
        <v>27061</v>
      </c>
      <c r="B333" s="72" t="n">
        <v>47.3</v>
      </c>
      <c r="C333" s="71" t="n">
        <v>30713</v>
      </c>
      <c r="D333" s="72" t="n">
        <v>102.8</v>
      </c>
      <c r="E333" s="71" t="n">
        <v>34366</v>
      </c>
      <c r="F333" s="72" t="n">
        <v>143.4</v>
      </c>
      <c r="G333" s="71" t="n">
        <v>30713</v>
      </c>
      <c r="H333" s="72" t="n">
        <v>101.4</v>
      </c>
    </row>
    <row r="334">
      <c r="A334" s="71" t="n">
        <v>27089</v>
      </c>
      <c r="B334" s="72" t="n">
        <v>47.8</v>
      </c>
      <c r="C334" s="71" t="n">
        <v>30742</v>
      </c>
      <c r="D334" s="72" t="n">
        <v>103.2</v>
      </c>
      <c r="E334" s="71" t="n">
        <v>34394</v>
      </c>
      <c r="F334" s="72" t="n">
        <v>143.4</v>
      </c>
      <c r="G334" s="71" t="n">
        <v>30742</v>
      </c>
      <c r="H334" s="72" t="n">
        <v>101.4</v>
      </c>
    </row>
    <row r="335">
      <c r="A335" s="71" t="n">
        <v>27120</v>
      </c>
      <c r="B335" s="72" t="n">
        <v>48.1</v>
      </c>
      <c r="C335" s="71" t="n">
        <v>30773</v>
      </c>
      <c r="D335" s="72" t="n">
        <v>103.7</v>
      </c>
      <c r="E335" s="71" t="n">
        <v>34425</v>
      </c>
      <c r="F335" s="72" t="n">
        <v>143.7</v>
      </c>
      <c r="G335" s="71" t="n">
        <v>30773</v>
      </c>
      <c r="H335" s="72" t="n">
        <v>101.7</v>
      </c>
    </row>
    <row r="336">
      <c r="A336" s="71" t="n">
        <v>27150</v>
      </c>
      <c r="B336" s="72" t="n">
        <v>48.6</v>
      </c>
      <c r="C336" s="71" t="n">
        <v>30803</v>
      </c>
      <c r="D336" s="72" t="n">
        <v>104.1</v>
      </c>
      <c r="E336" s="71" t="n">
        <v>34455</v>
      </c>
      <c r="F336" s="72" t="n">
        <v>144</v>
      </c>
      <c r="G336" s="71" t="n">
        <v>30803</v>
      </c>
      <c r="H336" s="72" t="n">
        <v>101.6</v>
      </c>
    </row>
    <row r="337">
      <c r="A337" s="71" t="n">
        <v>27181</v>
      </c>
      <c r="B337" s="72" t="n">
        <v>49</v>
      </c>
      <c r="C337" s="71" t="n">
        <v>30834</v>
      </c>
      <c r="D337" s="72" t="n">
        <v>104.5</v>
      </c>
      <c r="E337" s="71" t="n">
        <v>34486</v>
      </c>
      <c r="F337" s="72" t="n">
        <v>144.4</v>
      </c>
      <c r="G337" s="71" t="n">
        <v>30834</v>
      </c>
      <c r="H337" s="72" t="n">
        <v>100.8</v>
      </c>
    </row>
    <row r="338">
      <c r="A338" s="71" t="n">
        <v>27211</v>
      </c>
      <c r="B338" s="72" t="n">
        <v>49.3</v>
      </c>
      <c r="C338" s="71" t="n">
        <v>30864</v>
      </c>
      <c r="D338" s="72" t="n">
        <v>105</v>
      </c>
      <c r="E338" s="71" t="n">
        <v>34516</v>
      </c>
      <c r="F338" s="72" t="n">
        <v>145.2</v>
      </c>
      <c r="G338" s="71" t="n">
        <v>30864</v>
      </c>
      <c r="H338" s="72" t="n">
        <v>100.5</v>
      </c>
    </row>
    <row r="339">
      <c r="A339" s="71" t="n">
        <v>27242</v>
      </c>
      <c r="B339" s="72" t="n">
        <v>49.9</v>
      </c>
      <c r="C339" s="71" t="n">
        <v>30895</v>
      </c>
      <c r="D339" s="72" t="n">
        <v>105.4</v>
      </c>
      <c r="E339" s="71" t="n">
        <v>34547</v>
      </c>
      <c r="F339" s="72" t="n">
        <v>145.6</v>
      </c>
      <c r="G339" s="71" t="n">
        <v>30895</v>
      </c>
      <c r="H339" s="72" t="n">
        <v>100.1</v>
      </c>
    </row>
    <row r="340">
      <c r="A340" s="71" t="n">
        <v>27273</v>
      </c>
      <c r="B340" s="72" t="n">
        <v>50.6</v>
      </c>
      <c r="C340" s="71" t="n">
        <v>30926</v>
      </c>
      <c r="D340" s="72" t="n">
        <v>105.8</v>
      </c>
      <c r="E340" s="71" t="n">
        <v>34578</v>
      </c>
      <c r="F340" s="72" t="n">
        <v>145.8</v>
      </c>
      <c r="G340" s="71" t="n">
        <v>30926</v>
      </c>
      <c r="H340" s="72" t="n">
        <v>100.6</v>
      </c>
    </row>
    <row r="341">
      <c r="A341" s="71" t="n">
        <v>27303</v>
      </c>
      <c r="B341" s="72" t="n">
        <v>51</v>
      </c>
      <c r="C341" s="71" t="n">
        <v>30956</v>
      </c>
      <c r="D341" s="72" t="n">
        <v>106.2</v>
      </c>
      <c r="E341" s="71" t="n">
        <v>34608</v>
      </c>
      <c r="F341" s="72" t="n">
        <v>145.8</v>
      </c>
      <c r="G341" s="71" t="n">
        <v>30956</v>
      </c>
      <c r="H341" s="72" t="n">
        <v>101.1</v>
      </c>
    </row>
    <row r="342">
      <c r="A342" s="71" t="n">
        <v>27334</v>
      </c>
      <c r="B342" s="72" t="n">
        <v>51.5</v>
      </c>
      <c r="C342" s="71" t="n">
        <v>30987</v>
      </c>
      <c r="D342" s="72" t="n">
        <v>106.4</v>
      </c>
      <c r="E342" s="71" t="n">
        <v>34639</v>
      </c>
      <c r="F342" s="72" t="n">
        <v>146.2</v>
      </c>
      <c r="G342" s="71" t="n">
        <v>30987</v>
      </c>
      <c r="H342" s="72" t="n">
        <v>100.8</v>
      </c>
    </row>
    <row r="343">
      <c r="A343" s="71" t="n">
        <v>27364</v>
      </c>
      <c r="B343" s="72" t="n">
        <v>51.9</v>
      </c>
      <c r="C343" s="71" t="n">
        <v>31017</v>
      </c>
      <c r="D343" s="72" t="n">
        <v>106.8</v>
      </c>
      <c r="E343" s="71" t="n">
        <v>34669</v>
      </c>
      <c r="F343" s="72" t="n">
        <v>147.2</v>
      </c>
      <c r="G343" s="71" t="n">
        <v>31017</v>
      </c>
      <c r="H343" s="72" t="n">
        <v>100.1</v>
      </c>
    </row>
    <row r="344">
      <c r="A344" s="71" t="n">
        <v>27395</v>
      </c>
      <c r="B344" s="72" t="n">
        <v>52.3</v>
      </c>
      <c r="C344" s="71" t="n">
        <v>31048</v>
      </c>
      <c r="D344" s="72" t="n">
        <v>107.1</v>
      </c>
      <c r="E344" s="71" t="n">
        <v>34700</v>
      </c>
      <c r="F344" s="72" t="n">
        <v>147.2</v>
      </c>
      <c r="G344" s="71" t="n">
        <v>31048</v>
      </c>
      <c r="H344" s="72" t="n">
        <v>100.3</v>
      </c>
    </row>
    <row r="345">
      <c r="A345" s="71" t="n">
        <v>27426</v>
      </c>
      <c r="B345" s="72" t="n">
        <v>52.6</v>
      </c>
      <c r="C345" s="71" t="n">
        <v>31079</v>
      </c>
      <c r="D345" s="72" t="n">
        <v>107.7</v>
      </c>
      <c r="E345" s="71" t="n">
        <v>34731</v>
      </c>
      <c r="F345" s="72" t="n">
        <v>147.7</v>
      </c>
      <c r="G345" s="71" t="n">
        <v>31079</v>
      </c>
      <c r="H345" s="72" t="n">
        <v>100.3</v>
      </c>
    </row>
    <row r="346">
      <c r="A346" s="71" t="n">
        <v>27454</v>
      </c>
      <c r="B346" s="72" t="n">
        <v>52.8</v>
      </c>
      <c r="C346" s="71" t="n">
        <v>31107</v>
      </c>
      <c r="D346" s="72" t="n">
        <v>108.1</v>
      </c>
      <c r="E346" s="71" t="n">
        <v>34759</v>
      </c>
      <c r="F346" s="72" t="n">
        <v>147.5</v>
      </c>
      <c r="G346" s="71" t="n">
        <v>31107</v>
      </c>
      <c r="H346" s="72" t="n">
        <v>101.3</v>
      </c>
    </row>
    <row r="347">
      <c r="A347" s="71" t="n">
        <v>27485</v>
      </c>
      <c r="B347" s="72" t="n">
        <v>53</v>
      </c>
      <c r="C347" s="71" t="n">
        <v>31138</v>
      </c>
      <c r="D347" s="72" t="n">
        <v>108.4</v>
      </c>
      <c r="E347" s="71" t="n">
        <v>34790</v>
      </c>
      <c r="F347" s="72" t="n">
        <v>148.5</v>
      </c>
      <c r="G347" s="71" t="n">
        <v>31138</v>
      </c>
      <c r="H347" s="72" t="n">
        <v>102.3</v>
      </c>
    </row>
    <row r="348">
      <c r="A348" s="71" t="n">
        <v>27515</v>
      </c>
      <c r="B348" s="72" t="n">
        <v>53.1</v>
      </c>
      <c r="C348" s="71" t="n">
        <v>31168</v>
      </c>
      <c r="D348" s="72" t="n">
        <v>108.8</v>
      </c>
      <c r="E348" s="71" t="n">
        <v>34820</v>
      </c>
      <c r="F348" s="72" t="n">
        <v>148.7</v>
      </c>
      <c r="G348" s="71" t="n">
        <v>31168</v>
      </c>
      <c r="H348" s="72" t="n">
        <v>102.2</v>
      </c>
    </row>
    <row r="349">
      <c r="A349" s="71" t="n">
        <v>27546</v>
      </c>
      <c r="B349" s="72" t="n">
        <v>53.5</v>
      </c>
      <c r="C349" s="71" t="n">
        <v>31199</v>
      </c>
      <c r="D349" s="72" t="n">
        <v>109.1</v>
      </c>
      <c r="E349" s="71" t="n">
        <v>34851</v>
      </c>
      <c r="F349" s="72" t="n">
        <v>148.8</v>
      </c>
      <c r="G349" s="71" t="n">
        <v>31199</v>
      </c>
      <c r="H349" s="72" t="n">
        <v>102.2</v>
      </c>
    </row>
    <row r="350">
      <c r="A350" s="71" t="n">
        <v>27576</v>
      </c>
      <c r="B350" s="72" t="n">
        <v>54</v>
      </c>
      <c r="C350" s="71" t="n">
        <v>31229</v>
      </c>
      <c r="D350" s="72" t="n">
        <v>109.4</v>
      </c>
      <c r="E350" s="71" t="n">
        <v>34881</v>
      </c>
      <c r="F350" s="72" t="n">
        <v>149</v>
      </c>
      <c r="G350" s="71" t="n">
        <v>31229</v>
      </c>
      <c r="H350" s="72" t="n">
        <v>102.2</v>
      </c>
    </row>
    <row r="351">
      <c r="A351" s="71" t="n">
        <v>27607</v>
      </c>
      <c r="B351" s="72" t="n">
        <v>54.2</v>
      </c>
      <c r="C351" s="71" t="n">
        <v>31260</v>
      </c>
      <c r="D351" s="72" t="n">
        <v>109.8</v>
      </c>
      <c r="E351" s="71" t="n">
        <v>34912</v>
      </c>
      <c r="F351" s="72" t="n">
        <v>149.1</v>
      </c>
      <c r="G351" s="71" t="n">
        <v>31260</v>
      </c>
      <c r="H351" s="72" t="n">
        <v>101.2</v>
      </c>
    </row>
    <row r="352">
      <c r="A352" s="71" t="n">
        <v>27638</v>
      </c>
      <c r="B352" s="72" t="n">
        <v>54.6</v>
      </c>
      <c r="C352" s="71" t="n">
        <v>31291</v>
      </c>
      <c r="D352" s="72" t="n">
        <v>110</v>
      </c>
      <c r="E352" s="71" t="n">
        <v>34943</v>
      </c>
      <c r="F352" s="72" t="n">
        <v>149.6</v>
      </c>
      <c r="G352" s="71" t="n">
        <v>31291</v>
      </c>
      <c r="H352" s="72" t="n">
        <v>101.2</v>
      </c>
    </row>
    <row r="353">
      <c r="A353" s="71" t="n">
        <v>27668</v>
      </c>
      <c r="B353" s="72" t="n">
        <v>54.9</v>
      </c>
      <c r="C353" s="71" t="n">
        <v>31321</v>
      </c>
      <c r="D353" s="72" t="n">
        <v>110.5</v>
      </c>
      <c r="E353" s="71" t="n">
        <v>34973</v>
      </c>
      <c r="F353" s="72" t="n">
        <v>150</v>
      </c>
      <c r="G353" s="71" t="n">
        <v>31321</v>
      </c>
      <c r="H353" s="72" t="n">
        <v>101.2</v>
      </c>
    </row>
    <row r="354">
      <c r="A354" s="71" t="n">
        <v>27699</v>
      </c>
      <c r="B354" s="72" t="n">
        <v>55.3</v>
      </c>
      <c r="C354" s="71" t="n">
        <v>31352</v>
      </c>
      <c r="D354" s="72" t="n">
        <v>111.1</v>
      </c>
      <c r="E354" s="71" t="n">
        <v>35004</v>
      </c>
      <c r="F354" s="72" t="n">
        <v>150</v>
      </c>
      <c r="G354" s="71" t="n">
        <v>31352</v>
      </c>
      <c r="H354" s="72" t="n">
        <v>101.8</v>
      </c>
    </row>
    <row r="355">
      <c r="A355" s="71" t="n">
        <v>27729</v>
      </c>
      <c r="B355" s="72" t="n">
        <v>55.6</v>
      </c>
      <c r="C355" s="71" t="n">
        <v>31382</v>
      </c>
      <c r="D355" s="72" t="n">
        <v>111.4</v>
      </c>
      <c r="E355" s="71" t="n">
        <v>35034</v>
      </c>
      <c r="F355" s="72" t="n">
        <v>150.3</v>
      </c>
      <c r="G355" s="71" t="n">
        <v>31382</v>
      </c>
      <c r="H355" s="72" t="n">
        <v>102.4</v>
      </c>
    </row>
    <row r="356">
      <c r="A356" s="71" t="n">
        <v>27760</v>
      </c>
      <c r="B356" s="72" t="n">
        <v>55.8</v>
      </c>
      <c r="C356" s="71" t="n">
        <v>31413</v>
      </c>
      <c r="D356" s="72" t="n">
        <v>111.9</v>
      </c>
      <c r="E356" s="71" t="n">
        <v>35065</v>
      </c>
      <c r="F356" s="72" t="n">
        <v>150.8</v>
      </c>
      <c r="G356" s="71" t="n">
        <v>31413</v>
      </c>
      <c r="H356" s="72" t="n">
        <v>102.6</v>
      </c>
    </row>
    <row r="357">
      <c r="A357" s="71" t="n">
        <v>27791</v>
      </c>
      <c r="B357" s="72" t="n">
        <v>55.9</v>
      </c>
      <c r="C357" s="71" t="n">
        <v>31444</v>
      </c>
      <c r="D357" s="72" t="n">
        <v>112.2</v>
      </c>
      <c r="E357" s="71" t="n">
        <v>35096</v>
      </c>
      <c r="F357" s="72" t="n">
        <v>151.2</v>
      </c>
      <c r="G357" s="71" t="n">
        <v>31444</v>
      </c>
      <c r="H357" s="72" t="n">
        <v>99.5</v>
      </c>
    </row>
    <row r="358">
      <c r="A358" s="71" t="n">
        <v>27820</v>
      </c>
      <c r="B358" s="72" t="n">
        <v>56</v>
      </c>
      <c r="C358" s="71" t="n">
        <v>31472</v>
      </c>
      <c r="D358" s="72" t="n">
        <v>112.5</v>
      </c>
      <c r="E358" s="71" t="n">
        <v>35125</v>
      </c>
      <c r="F358" s="72" t="n">
        <v>151.9</v>
      </c>
      <c r="G358" s="71" t="n">
        <v>31472</v>
      </c>
      <c r="H358" s="72" t="n">
        <v>92.59999999999999</v>
      </c>
    </row>
    <row r="359">
      <c r="A359" s="71" t="n">
        <v>27851</v>
      </c>
      <c r="B359" s="72" t="n">
        <v>56.1</v>
      </c>
      <c r="C359" s="71" t="n">
        <v>31503</v>
      </c>
      <c r="D359" s="72" t="n">
        <v>112.9</v>
      </c>
      <c r="E359" s="71" t="n">
        <v>35156</v>
      </c>
      <c r="F359" s="72" t="n">
        <v>152.5</v>
      </c>
      <c r="G359" s="71" t="n">
        <v>31503</v>
      </c>
      <c r="H359" s="72" t="n">
        <v>87.2</v>
      </c>
    </row>
    <row r="360">
      <c r="A360" s="71" t="n">
        <v>27881</v>
      </c>
      <c r="B360" s="72" t="n">
        <v>56.4</v>
      </c>
      <c r="C360" s="71" t="n">
        <v>31533</v>
      </c>
      <c r="D360" s="72" t="n">
        <v>113.1</v>
      </c>
      <c r="E360" s="71" t="n">
        <v>35186</v>
      </c>
      <c r="F360" s="72" t="n">
        <v>152.4</v>
      </c>
      <c r="G360" s="71" t="n">
        <v>31533</v>
      </c>
      <c r="H360" s="72" t="n">
        <v>87.2</v>
      </c>
    </row>
    <row r="361">
      <c r="A361" s="71" t="n">
        <v>27912</v>
      </c>
      <c r="B361" s="72" t="n">
        <v>56.7</v>
      </c>
      <c r="C361" s="71" t="n">
        <v>31564</v>
      </c>
      <c r="D361" s="72" t="n">
        <v>113.4</v>
      </c>
      <c r="E361" s="71" t="n">
        <v>35217</v>
      </c>
      <c r="F361" s="72" t="n">
        <v>153.3</v>
      </c>
      <c r="G361" s="71" t="n">
        <v>31564</v>
      </c>
      <c r="H361" s="72" t="n">
        <v>88.8</v>
      </c>
    </row>
    <row r="362">
      <c r="A362" s="71" t="n">
        <v>27942</v>
      </c>
      <c r="B362" s="72" t="n">
        <v>57</v>
      </c>
      <c r="C362" s="71" t="n">
        <v>31594</v>
      </c>
      <c r="D362" s="72" t="n">
        <v>113.8</v>
      </c>
      <c r="E362" s="71" t="n">
        <v>35247</v>
      </c>
      <c r="F362" s="72" t="n">
        <v>153.8</v>
      </c>
      <c r="G362" s="71" t="n">
        <v>31594</v>
      </c>
      <c r="H362" s="72" t="n">
        <v>85.59999999999999</v>
      </c>
    </row>
    <row r="363">
      <c r="A363" s="71" t="n">
        <v>27973</v>
      </c>
      <c r="B363" s="72" t="n">
        <v>57.3</v>
      </c>
      <c r="C363" s="71" t="n">
        <v>31625</v>
      </c>
      <c r="D363" s="72" t="n">
        <v>114.2</v>
      </c>
      <c r="E363" s="71" t="n">
        <v>35278</v>
      </c>
      <c r="F363" s="72" t="n">
        <v>154.3</v>
      </c>
      <c r="G363" s="71" t="n">
        <v>31625</v>
      </c>
      <c r="H363" s="72" t="n">
        <v>83.59999999999999</v>
      </c>
    </row>
    <row r="364">
      <c r="A364" s="71" t="n">
        <v>28004</v>
      </c>
      <c r="B364" s="72" t="n">
        <v>57.6</v>
      </c>
      <c r="C364" s="71" t="n">
        <v>31656</v>
      </c>
      <c r="D364" s="72" t="n">
        <v>114.6</v>
      </c>
      <c r="E364" s="71" t="n">
        <v>35309</v>
      </c>
      <c r="F364" s="72" t="n">
        <v>155</v>
      </c>
      <c r="G364" s="71" t="n">
        <v>31656</v>
      </c>
      <c r="H364" s="72" t="n">
        <v>84.40000000000001</v>
      </c>
    </row>
    <row r="365">
      <c r="A365" s="71" t="n">
        <v>28034</v>
      </c>
      <c r="B365" s="72" t="n">
        <v>57.9</v>
      </c>
      <c r="C365" s="71" t="n">
        <v>31686</v>
      </c>
      <c r="D365" s="72" t="n">
        <v>115</v>
      </c>
      <c r="E365" s="71" t="n">
        <v>35339</v>
      </c>
      <c r="F365" s="72" t="n">
        <v>155.9</v>
      </c>
      <c r="G365" s="71" t="n">
        <v>31686</v>
      </c>
      <c r="H365" s="72" t="n">
        <v>82.8</v>
      </c>
    </row>
    <row r="366">
      <c r="A366" s="71" t="n">
        <v>28065</v>
      </c>
      <c r="B366" s="72" t="n">
        <v>58.1</v>
      </c>
      <c r="C366" s="71" t="n">
        <v>31717</v>
      </c>
      <c r="D366" s="72" t="n">
        <v>115.3</v>
      </c>
      <c r="E366" s="71" t="n">
        <v>35370</v>
      </c>
      <c r="F366" s="72" t="n">
        <v>156.4</v>
      </c>
      <c r="G366" s="71" t="n">
        <v>31717</v>
      </c>
      <c r="H366" s="72" t="n">
        <v>82.09999999999999</v>
      </c>
    </row>
    <row r="367">
      <c r="A367" s="71" t="n">
        <v>28095</v>
      </c>
      <c r="B367" s="72" t="n">
        <v>58.4</v>
      </c>
      <c r="C367" s="71" t="n">
        <v>31747</v>
      </c>
      <c r="D367" s="72" t="n">
        <v>115.6</v>
      </c>
      <c r="E367" s="71" t="n">
        <v>35400</v>
      </c>
      <c r="F367" s="72" t="n">
        <v>156.6</v>
      </c>
      <c r="G367" s="71" t="n">
        <v>31747</v>
      </c>
      <c r="H367" s="72" t="n">
        <v>82.5</v>
      </c>
    </row>
    <row r="368">
      <c r="A368" s="71" t="n">
        <v>28126</v>
      </c>
      <c r="B368" s="72" t="n">
        <v>58.7</v>
      </c>
      <c r="C368" s="71" t="n">
        <v>31778</v>
      </c>
      <c r="D368" s="72" t="n">
        <v>115.9</v>
      </c>
      <c r="E368" s="71" t="n">
        <v>35431</v>
      </c>
      <c r="F368" s="72" t="n">
        <v>156.3</v>
      </c>
      <c r="G368" s="71" t="n">
        <v>31778</v>
      </c>
      <c r="H368" s="72" t="n">
        <v>85.40000000000001</v>
      </c>
    </row>
    <row r="369">
      <c r="A369" s="71" t="n">
        <v>28157</v>
      </c>
      <c r="B369" s="72" t="n">
        <v>59.3</v>
      </c>
      <c r="C369" s="71" t="n">
        <v>31809</v>
      </c>
      <c r="D369" s="72" t="n">
        <v>116.2</v>
      </c>
      <c r="E369" s="71" t="n">
        <v>35462</v>
      </c>
      <c r="F369" s="72" t="n">
        <v>156.9</v>
      </c>
      <c r="G369" s="71" t="n">
        <v>31809</v>
      </c>
      <c r="H369" s="72" t="n">
        <v>87.40000000000001</v>
      </c>
    </row>
    <row r="370">
      <c r="A370" s="71" t="n">
        <v>28185</v>
      </c>
      <c r="B370" s="72" t="n">
        <v>59.6</v>
      </c>
      <c r="C370" s="71" t="n">
        <v>31837</v>
      </c>
      <c r="D370" s="72" t="n">
        <v>116.6</v>
      </c>
      <c r="E370" s="71" t="n">
        <v>35490</v>
      </c>
      <c r="F370" s="72" t="n">
        <v>157</v>
      </c>
      <c r="G370" s="71" t="n">
        <v>31837</v>
      </c>
      <c r="H370" s="72" t="n">
        <v>87.59999999999999</v>
      </c>
    </row>
    <row r="371">
      <c r="A371" s="71" t="n">
        <v>28216</v>
      </c>
      <c r="B371" s="72" t="n">
        <v>60</v>
      </c>
      <c r="C371" s="71" t="n">
        <v>31868</v>
      </c>
      <c r="D371" s="72" t="n">
        <v>117.3</v>
      </c>
      <c r="E371" s="71" t="n">
        <v>35521</v>
      </c>
      <c r="F371" s="72" t="n">
        <v>157</v>
      </c>
      <c r="G371" s="71" t="n">
        <v>31868</v>
      </c>
      <c r="H371" s="72" t="n">
        <v>87.59999999999999</v>
      </c>
    </row>
    <row r="372">
      <c r="A372" s="71" t="n">
        <v>28246</v>
      </c>
      <c r="B372" s="72" t="n">
        <v>60.2</v>
      </c>
      <c r="C372" s="71" t="n">
        <v>31898</v>
      </c>
      <c r="D372" s="72" t="n">
        <v>117.7</v>
      </c>
      <c r="E372" s="71" t="n">
        <v>35551</v>
      </c>
      <c r="F372" s="72" t="n">
        <v>157.1</v>
      </c>
      <c r="G372" s="71" t="n">
        <v>31898</v>
      </c>
      <c r="H372" s="72" t="n">
        <v>87.09999999999999</v>
      </c>
    </row>
    <row r="373">
      <c r="A373" s="71" t="n">
        <v>28277</v>
      </c>
      <c r="B373" s="72" t="n">
        <v>60.5</v>
      </c>
      <c r="C373" s="71" t="n">
        <v>31929</v>
      </c>
      <c r="D373" s="72" t="n">
        <v>117.9</v>
      </c>
      <c r="E373" s="71" t="n">
        <v>35582</v>
      </c>
      <c r="F373" s="72" t="n">
        <v>157.4</v>
      </c>
      <c r="G373" s="71" t="n">
        <v>31929</v>
      </c>
      <c r="H373" s="72" t="n">
        <v>88.5</v>
      </c>
    </row>
    <row r="374">
      <c r="A374" s="71" t="n">
        <v>28307</v>
      </c>
      <c r="B374" s="72" t="n">
        <v>60.8</v>
      </c>
      <c r="C374" s="71" t="n">
        <v>31959</v>
      </c>
      <c r="D374" s="72" t="n">
        <v>118.3</v>
      </c>
      <c r="E374" s="71" t="n">
        <v>35612</v>
      </c>
      <c r="F374" s="72" t="n">
        <v>157.7</v>
      </c>
      <c r="G374" s="71" t="n">
        <v>31959</v>
      </c>
      <c r="H374" s="72" t="n">
        <v>89.2</v>
      </c>
    </row>
    <row r="375">
      <c r="A375" s="71" t="n">
        <v>28338</v>
      </c>
      <c r="B375" s="72" t="n">
        <v>61.1</v>
      </c>
      <c r="C375" s="71" t="n">
        <v>31990</v>
      </c>
      <c r="D375" s="72" t="n">
        <v>118.7</v>
      </c>
      <c r="E375" s="71" t="n">
        <v>35643</v>
      </c>
      <c r="F375" s="72" t="n">
        <v>158.2</v>
      </c>
      <c r="G375" s="71" t="n">
        <v>31990</v>
      </c>
      <c r="H375" s="72" t="n">
        <v>90.5</v>
      </c>
    </row>
    <row r="376">
      <c r="A376" s="71" t="n">
        <v>28369</v>
      </c>
      <c r="B376" s="72" t="n">
        <v>61.3</v>
      </c>
      <c r="C376" s="71" t="n">
        <v>32021</v>
      </c>
      <c r="D376" s="72" t="n">
        <v>119.2</v>
      </c>
      <c r="E376" s="71" t="n">
        <v>35674</v>
      </c>
      <c r="F376" s="72" t="n">
        <v>158.4</v>
      </c>
      <c r="G376" s="71" t="n">
        <v>32021</v>
      </c>
      <c r="H376" s="72" t="n">
        <v>90.3</v>
      </c>
    </row>
    <row r="377">
      <c r="A377" s="71" t="n">
        <v>28399</v>
      </c>
      <c r="B377" s="72" t="n">
        <v>61.6</v>
      </c>
      <c r="C377" s="71" t="n">
        <v>32051</v>
      </c>
      <c r="D377" s="72" t="n">
        <v>119.8</v>
      </c>
      <c r="E377" s="71" t="n">
        <v>35704</v>
      </c>
      <c r="F377" s="72" t="n">
        <v>158.7</v>
      </c>
      <c r="G377" s="71" t="n">
        <v>32051</v>
      </c>
      <c r="H377" s="72" t="n">
        <v>89.59999999999999</v>
      </c>
    </row>
    <row r="378">
      <c r="A378" s="71" t="n">
        <v>28430</v>
      </c>
      <c r="B378" s="72" t="n">
        <v>62</v>
      </c>
      <c r="C378" s="71" t="n">
        <v>32082</v>
      </c>
      <c r="D378" s="72" t="n">
        <v>120.1</v>
      </c>
      <c r="E378" s="71" t="n">
        <v>35735</v>
      </c>
      <c r="F378" s="72" t="n">
        <v>159</v>
      </c>
      <c r="G378" s="71" t="n">
        <v>32082</v>
      </c>
      <c r="H378" s="72" t="n">
        <v>90</v>
      </c>
    </row>
    <row r="379">
      <c r="A379" s="71" t="n">
        <v>28460</v>
      </c>
      <c r="B379" s="72" t="n">
        <v>62.3</v>
      </c>
      <c r="C379" s="71" t="n">
        <v>32112</v>
      </c>
      <c r="D379" s="72" t="n">
        <v>120.4</v>
      </c>
      <c r="E379" s="71" t="n">
        <v>35765</v>
      </c>
      <c r="F379" s="72" t="n">
        <v>159.2</v>
      </c>
      <c r="G379" s="71" t="n">
        <v>32112</v>
      </c>
      <c r="H379" s="72" t="n">
        <v>89.5</v>
      </c>
    </row>
    <row r="380">
      <c r="A380" s="71" t="n">
        <v>28491</v>
      </c>
      <c r="B380" s="72" t="n">
        <v>62.7</v>
      </c>
      <c r="C380" s="71" t="n">
        <v>32143</v>
      </c>
      <c r="D380" s="72" t="n">
        <v>120.9</v>
      </c>
      <c r="E380" s="71" t="n">
        <v>35796</v>
      </c>
      <c r="F380" s="72" t="n">
        <v>159.9</v>
      </c>
      <c r="G380" s="71" t="n">
        <v>32143</v>
      </c>
      <c r="H380" s="72" t="n">
        <v>88.8</v>
      </c>
    </row>
    <row r="381">
      <c r="A381" s="71" t="n">
        <v>28522</v>
      </c>
      <c r="B381" s="72" t="n">
        <v>63</v>
      </c>
      <c r="C381" s="71" t="n">
        <v>32174</v>
      </c>
      <c r="D381" s="72" t="n">
        <v>121.2</v>
      </c>
      <c r="E381" s="71" t="n">
        <v>35827</v>
      </c>
      <c r="F381" s="72" t="n">
        <v>159.9</v>
      </c>
      <c r="G381" s="71" t="n">
        <v>32174</v>
      </c>
      <c r="H381" s="72" t="n">
        <v>88.7</v>
      </c>
    </row>
    <row r="382">
      <c r="A382" s="71" t="n">
        <v>28550</v>
      </c>
      <c r="B382" s="72" t="n">
        <v>63.4</v>
      </c>
      <c r="C382" s="71" t="n">
        <v>32203</v>
      </c>
      <c r="D382" s="72" t="n">
        <v>121.7</v>
      </c>
      <c r="E382" s="71" t="n">
        <v>35855</v>
      </c>
      <c r="F382" s="72" t="n">
        <v>160.1</v>
      </c>
      <c r="G382" s="71" t="n">
        <v>32203</v>
      </c>
      <c r="H382" s="72" t="n">
        <v>88.40000000000001</v>
      </c>
    </row>
    <row r="383">
      <c r="A383" s="71" t="n">
        <v>28581</v>
      </c>
      <c r="B383" s="72" t="n">
        <v>63.9</v>
      </c>
      <c r="C383" s="71" t="n">
        <v>32234</v>
      </c>
      <c r="D383" s="72" t="n">
        <v>122.3</v>
      </c>
      <c r="E383" s="71" t="n">
        <v>35886</v>
      </c>
      <c r="F383" s="72" t="n">
        <v>160.2</v>
      </c>
      <c r="G383" s="71" t="n">
        <v>32234</v>
      </c>
      <c r="H383" s="72" t="n">
        <v>88.8</v>
      </c>
    </row>
    <row r="384">
      <c r="A384" s="71" t="n">
        <v>28611</v>
      </c>
      <c r="B384" s="72" t="n">
        <v>64.5</v>
      </c>
      <c r="C384" s="71" t="n">
        <v>32264</v>
      </c>
      <c r="D384" s="72" t="n">
        <v>122.7</v>
      </c>
      <c r="E384" s="71" t="n">
        <v>35916</v>
      </c>
      <c r="F384" s="72" t="n">
        <v>160.7</v>
      </c>
      <c r="G384" s="71" t="n">
        <v>32264</v>
      </c>
      <c r="H384" s="72" t="n">
        <v>88.5</v>
      </c>
    </row>
    <row r="385">
      <c r="A385" s="71" t="n">
        <v>28642</v>
      </c>
      <c r="B385" s="72" t="n">
        <v>65</v>
      </c>
      <c r="C385" s="71" t="n">
        <v>32295</v>
      </c>
      <c r="D385" s="72" t="n">
        <v>123.2</v>
      </c>
      <c r="E385" s="71" t="n">
        <v>35947</v>
      </c>
      <c r="F385" s="72" t="n">
        <v>160.6</v>
      </c>
      <c r="G385" s="71" t="n">
        <v>32295</v>
      </c>
      <c r="H385" s="72" t="n">
        <v>88.90000000000001</v>
      </c>
    </row>
    <row r="386">
      <c r="A386" s="71" t="n">
        <v>28672</v>
      </c>
      <c r="B386" s="72" t="n">
        <v>65.5</v>
      </c>
      <c r="C386" s="71" t="n">
        <v>32325</v>
      </c>
      <c r="D386" s="72" t="n">
        <v>123.6</v>
      </c>
      <c r="E386" s="71" t="n">
        <v>35977</v>
      </c>
      <c r="F386" s="72" t="n">
        <v>161</v>
      </c>
      <c r="G386" s="71" t="n">
        <v>32325</v>
      </c>
      <c r="H386" s="72" t="n">
        <v>89.40000000000001</v>
      </c>
    </row>
    <row r="387">
      <c r="A387" s="71" t="n">
        <v>28703</v>
      </c>
      <c r="B387" s="72" t="n">
        <v>65.90000000000001</v>
      </c>
      <c r="C387" s="71" t="n">
        <v>32356</v>
      </c>
      <c r="D387" s="72" t="n">
        <v>124</v>
      </c>
      <c r="E387" s="71" t="n">
        <v>36008</v>
      </c>
      <c r="F387" s="72" t="n">
        <v>161.4</v>
      </c>
      <c r="G387" s="71" t="n">
        <v>32356</v>
      </c>
      <c r="H387" s="72" t="n">
        <v>90.09999999999999</v>
      </c>
    </row>
    <row r="388">
      <c r="A388" s="71" t="n">
        <v>28734</v>
      </c>
      <c r="B388" s="72" t="n">
        <v>66.5</v>
      </c>
      <c r="C388" s="71" t="n">
        <v>32387</v>
      </c>
      <c r="D388" s="72" t="n">
        <v>124.7</v>
      </c>
      <c r="E388" s="71" t="n">
        <v>36039</v>
      </c>
      <c r="F388" s="72" t="n">
        <v>161.5</v>
      </c>
      <c r="G388" s="71" t="n">
        <v>32387</v>
      </c>
      <c r="H388" s="72" t="n">
        <v>89.8</v>
      </c>
    </row>
    <row r="389">
      <c r="A389" s="71" t="n">
        <v>28764</v>
      </c>
      <c r="B389" s="72" t="n">
        <v>67.09999999999999</v>
      </c>
      <c r="C389" s="71" t="n">
        <v>32417</v>
      </c>
      <c r="D389" s="72" t="n">
        <v>125.2</v>
      </c>
      <c r="E389" s="71" t="n">
        <v>36069</v>
      </c>
      <c r="F389" s="72" t="n">
        <v>162.4</v>
      </c>
      <c r="G389" s="71" t="n">
        <v>32417</v>
      </c>
      <c r="H389" s="72" t="n">
        <v>89.8</v>
      </c>
    </row>
    <row r="390">
      <c r="A390" s="71" t="n">
        <v>28795</v>
      </c>
      <c r="B390" s="72" t="n">
        <v>67.5</v>
      </c>
      <c r="C390" s="71" t="n">
        <v>32448</v>
      </c>
      <c r="D390" s="72" t="n">
        <v>125.6</v>
      </c>
      <c r="E390" s="71" t="n">
        <v>36100</v>
      </c>
      <c r="F390" s="72" t="n">
        <v>162.7</v>
      </c>
      <c r="G390" s="71" t="n">
        <v>32448</v>
      </c>
      <c r="H390" s="72" t="n">
        <v>89.8</v>
      </c>
    </row>
    <row r="391">
      <c r="A391" s="71" t="n">
        <v>28825</v>
      </c>
      <c r="B391" s="72" t="n">
        <v>67.90000000000001</v>
      </c>
      <c r="C391" s="71" t="n">
        <v>32478</v>
      </c>
      <c r="D391" s="72" t="n">
        <v>126</v>
      </c>
      <c r="E391" s="71" t="n">
        <v>36130</v>
      </c>
      <c r="F391" s="72" t="n">
        <v>162.8</v>
      </c>
      <c r="G391" s="71" t="n">
        <v>32478</v>
      </c>
      <c r="H391" s="72" t="n">
        <v>89.59999999999999</v>
      </c>
    </row>
    <row r="392">
      <c r="A392" s="71" t="n">
        <v>28856</v>
      </c>
      <c r="B392" s="72" t="n">
        <v>68.5</v>
      </c>
      <c r="C392" s="71" t="n">
        <v>32509</v>
      </c>
      <c r="D392" s="72" t="n">
        <v>126.5</v>
      </c>
      <c r="E392" s="71" t="n">
        <v>36161</v>
      </c>
      <c r="F392" s="72" t="n">
        <v>163.4</v>
      </c>
      <c r="G392" s="71" t="n">
        <v>32509</v>
      </c>
      <c r="H392" s="72" t="n">
        <v>90.3</v>
      </c>
    </row>
    <row r="393">
      <c r="A393" s="71" t="n">
        <v>28887</v>
      </c>
      <c r="B393" s="72" t="n">
        <v>69.2</v>
      </c>
      <c r="C393" s="71" t="n">
        <v>32540</v>
      </c>
      <c r="D393" s="72" t="n">
        <v>126.9</v>
      </c>
      <c r="E393" s="71" t="n">
        <v>36192</v>
      </c>
      <c r="F393" s="72" t="n">
        <v>163.8</v>
      </c>
      <c r="G393" s="71" t="n">
        <v>32540</v>
      </c>
      <c r="H393" s="72" t="n">
        <v>90.8</v>
      </c>
    </row>
    <row r="394">
      <c r="A394" s="71" t="n">
        <v>28915</v>
      </c>
      <c r="B394" s="72" t="n">
        <v>69.90000000000001</v>
      </c>
      <c r="C394" s="71" t="n">
        <v>32568</v>
      </c>
      <c r="D394" s="72" t="n">
        <v>127.4</v>
      </c>
      <c r="E394" s="71" t="n">
        <v>36220</v>
      </c>
      <c r="F394" s="72" t="n">
        <v>163.7</v>
      </c>
      <c r="G394" s="71" t="n">
        <v>32568</v>
      </c>
      <c r="H394" s="72" t="n">
        <v>91.8</v>
      </c>
    </row>
    <row r="395">
      <c r="A395" s="71" t="n">
        <v>28946</v>
      </c>
      <c r="B395" s="72" t="n">
        <v>70.59999999999999</v>
      </c>
      <c r="C395" s="71" t="n">
        <v>32599</v>
      </c>
      <c r="D395" s="72" t="n">
        <v>127.8</v>
      </c>
      <c r="E395" s="71" t="n">
        <v>36251</v>
      </c>
      <c r="F395" s="72" t="n">
        <v>163.9</v>
      </c>
      <c r="G395" s="71" t="n">
        <v>32599</v>
      </c>
      <c r="H395" s="72" t="n">
        <v>96.59999999999999</v>
      </c>
    </row>
    <row r="396">
      <c r="A396" s="71" t="n">
        <v>28976</v>
      </c>
      <c r="B396" s="72" t="n">
        <v>71.40000000000001</v>
      </c>
      <c r="C396" s="71" t="n">
        <v>32629</v>
      </c>
      <c r="D396" s="72" t="n">
        <v>128.3</v>
      </c>
      <c r="E396" s="71" t="n">
        <v>36281</v>
      </c>
      <c r="F396" s="72" t="n">
        <v>164.2</v>
      </c>
      <c r="G396" s="71" t="n">
        <v>32629</v>
      </c>
      <c r="H396" s="72" t="n">
        <v>97.40000000000001</v>
      </c>
    </row>
    <row r="397">
      <c r="A397" s="71" t="n">
        <v>29007</v>
      </c>
      <c r="B397" s="72" t="n">
        <v>72.2</v>
      </c>
      <c r="C397" s="71" t="n">
        <v>32660</v>
      </c>
      <c r="D397" s="72" t="n">
        <v>128.8</v>
      </c>
      <c r="E397" s="71" t="n">
        <v>36312</v>
      </c>
      <c r="F397" s="72" t="n">
        <v>164.1</v>
      </c>
      <c r="G397" s="71" t="n">
        <v>32660</v>
      </c>
      <c r="H397" s="72" t="n">
        <v>96.90000000000001</v>
      </c>
    </row>
    <row r="398">
      <c r="A398" s="71" t="n">
        <v>29037</v>
      </c>
      <c r="B398" s="72" t="n">
        <v>73</v>
      </c>
      <c r="C398" s="71" t="n">
        <v>32690</v>
      </c>
      <c r="D398" s="72" t="n">
        <v>129.2</v>
      </c>
      <c r="E398" s="71" t="n">
        <v>36342</v>
      </c>
      <c r="F398" s="72" t="n">
        <v>164.4</v>
      </c>
      <c r="G398" s="71" t="n">
        <v>32690</v>
      </c>
      <c r="H398" s="72" t="n">
        <v>96.7</v>
      </c>
    </row>
    <row r="399">
      <c r="A399" s="71" t="n">
        <v>29068</v>
      </c>
      <c r="B399" s="72" t="n">
        <v>73.7</v>
      </c>
      <c r="C399" s="71" t="n">
        <v>32721</v>
      </c>
      <c r="D399" s="72" t="n">
        <v>129.5</v>
      </c>
      <c r="E399" s="71" t="n">
        <v>36373</v>
      </c>
      <c r="F399" s="72" t="n">
        <v>164.7</v>
      </c>
      <c r="G399" s="71" t="n">
        <v>32721</v>
      </c>
      <c r="H399" s="72" t="n">
        <v>94.90000000000001</v>
      </c>
    </row>
    <row r="400">
      <c r="A400" s="71" t="n">
        <v>29099</v>
      </c>
      <c r="B400" s="72" t="n">
        <v>74.40000000000001</v>
      </c>
      <c r="C400" s="71" t="n">
        <v>32752</v>
      </c>
      <c r="D400" s="72" t="n">
        <v>129.9</v>
      </c>
      <c r="E400" s="71" t="n">
        <v>36404</v>
      </c>
      <c r="F400" s="72" t="n">
        <v>165.1</v>
      </c>
      <c r="G400" s="71" t="n">
        <v>32752</v>
      </c>
      <c r="H400" s="72" t="n">
        <v>93.8</v>
      </c>
    </row>
    <row r="401">
      <c r="A401" s="71" t="n">
        <v>29129</v>
      </c>
      <c r="B401" s="72" t="n">
        <v>75.2</v>
      </c>
      <c r="C401" s="71" t="n">
        <v>32782</v>
      </c>
      <c r="D401" s="72" t="n">
        <v>130.6</v>
      </c>
      <c r="E401" s="71" t="n">
        <v>36434</v>
      </c>
      <c r="F401" s="72" t="n">
        <v>165.5</v>
      </c>
      <c r="G401" s="71" t="n">
        <v>32782</v>
      </c>
      <c r="H401" s="72" t="n">
        <v>94.40000000000001</v>
      </c>
    </row>
    <row r="402">
      <c r="A402" s="71" t="n">
        <v>29160</v>
      </c>
      <c r="B402" s="72" t="n">
        <v>76</v>
      </c>
      <c r="C402" s="71" t="n">
        <v>32813</v>
      </c>
      <c r="D402" s="72" t="n">
        <v>131.1</v>
      </c>
      <c r="E402" s="71" t="n">
        <v>36465</v>
      </c>
      <c r="F402" s="72" t="n">
        <v>165.8</v>
      </c>
      <c r="G402" s="71" t="n">
        <v>32813</v>
      </c>
      <c r="H402" s="72" t="n">
        <v>93.90000000000001</v>
      </c>
    </row>
    <row r="403">
      <c r="A403" s="71" t="n">
        <v>29190</v>
      </c>
      <c r="B403" s="72" t="n">
        <v>76.90000000000001</v>
      </c>
      <c r="C403" s="71" t="n">
        <v>32843</v>
      </c>
      <c r="D403" s="72" t="n">
        <v>131.6</v>
      </c>
      <c r="E403" s="71" t="n">
        <v>36495</v>
      </c>
      <c r="F403" s="72" t="n">
        <v>166</v>
      </c>
      <c r="G403" s="71" t="n">
        <v>32843</v>
      </c>
      <c r="H403" s="72" t="n">
        <v>94.2</v>
      </c>
    </row>
    <row r="404">
      <c r="A404" s="71" t="n">
        <v>29221</v>
      </c>
      <c r="B404" s="72" t="n">
        <v>78</v>
      </c>
      <c r="C404" s="71" t="n">
        <v>32874</v>
      </c>
      <c r="D404" s="72" t="n">
        <v>132.1</v>
      </c>
      <c r="E404" s="71" t="n">
        <v>36526</v>
      </c>
      <c r="F404" s="72" t="n">
        <v>166.1</v>
      </c>
      <c r="G404" s="71" t="n">
        <v>32874</v>
      </c>
      <c r="H404" s="72" t="n">
        <v>98.90000000000001</v>
      </c>
    </row>
    <row r="405">
      <c r="A405" s="71" t="n">
        <v>29252</v>
      </c>
      <c r="B405" s="72" t="n">
        <v>79</v>
      </c>
      <c r="C405" s="71" t="n">
        <v>32905</v>
      </c>
      <c r="D405" s="72" t="n">
        <v>132.7</v>
      </c>
      <c r="E405" s="71" t="n">
        <v>36557</v>
      </c>
      <c r="F405" s="72" t="n">
        <v>166.7</v>
      </c>
      <c r="G405" s="71" t="n">
        <v>32905</v>
      </c>
      <c r="H405" s="72" t="n">
        <v>98.2</v>
      </c>
    </row>
    <row r="406">
      <c r="A406" s="71" t="n">
        <v>29281</v>
      </c>
      <c r="B406" s="72" t="n">
        <v>80.09999999999999</v>
      </c>
      <c r="C406" s="71" t="n">
        <v>32933</v>
      </c>
      <c r="D406" s="72" t="n">
        <v>133.5</v>
      </c>
      <c r="E406" s="71" t="n">
        <v>36586</v>
      </c>
      <c r="F406" s="72" t="n">
        <v>167.1</v>
      </c>
      <c r="G406" s="71" t="n">
        <v>32933</v>
      </c>
      <c r="H406" s="72" t="n">
        <v>97.59999999999999</v>
      </c>
    </row>
    <row r="407">
      <c r="A407" s="71" t="n">
        <v>29312</v>
      </c>
      <c r="B407" s="72" t="n">
        <v>80.90000000000001</v>
      </c>
      <c r="C407" s="71" t="n">
        <v>32964</v>
      </c>
      <c r="D407" s="72" t="n">
        <v>134</v>
      </c>
      <c r="E407" s="71" t="n">
        <v>36617</v>
      </c>
      <c r="F407" s="72" t="n">
        <v>167.2</v>
      </c>
      <c r="G407" s="71" t="n">
        <v>32964</v>
      </c>
      <c r="H407" s="72" t="n">
        <v>97.5</v>
      </c>
    </row>
    <row r="408">
      <c r="A408" s="71" t="n">
        <v>29342</v>
      </c>
      <c r="B408" s="72" t="n">
        <v>81.7</v>
      </c>
      <c r="C408" s="71" t="n">
        <v>32994</v>
      </c>
      <c r="D408" s="72" t="n">
        <v>134.4</v>
      </c>
      <c r="E408" s="71" t="n">
        <v>36647</v>
      </c>
      <c r="F408" s="72" t="n">
        <v>167.8</v>
      </c>
      <c r="G408" s="71" t="n">
        <v>32994</v>
      </c>
      <c r="H408" s="72" t="n">
        <v>96.7</v>
      </c>
    </row>
    <row r="409">
      <c r="A409" s="71" t="n">
        <v>29373</v>
      </c>
      <c r="B409" s="72" t="n">
        <v>82.5</v>
      </c>
      <c r="C409" s="71" t="n">
        <v>33025</v>
      </c>
      <c r="D409" s="72" t="n">
        <v>135.1</v>
      </c>
      <c r="E409" s="71" t="n">
        <v>36678</v>
      </c>
      <c r="F409" s="72" t="n">
        <v>168</v>
      </c>
      <c r="G409" s="71" t="n">
        <v>33025</v>
      </c>
      <c r="H409" s="72" t="n">
        <v>97.3</v>
      </c>
    </row>
    <row r="410">
      <c r="A410" s="71" t="n">
        <v>29403</v>
      </c>
      <c r="B410" s="72" t="n">
        <v>82.59999999999999</v>
      </c>
      <c r="C410" s="71" t="n">
        <v>33055</v>
      </c>
      <c r="D410" s="72" t="n">
        <v>135.8</v>
      </c>
      <c r="E410" s="71" t="n">
        <v>36708</v>
      </c>
      <c r="F410" s="72" t="n">
        <v>168.8</v>
      </c>
      <c r="G410" s="71" t="n">
        <v>33055</v>
      </c>
      <c r="H410" s="72" t="n">
        <v>97.09999999999999</v>
      </c>
    </row>
    <row r="411">
      <c r="A411" s="71" t="n">
        <v>29434</v>
      </c>
      <c r="B411" s="72" t="n">
        <v>83.2</v>
      </c>
      <c r="C411" s="71" t="n">
        <v>33086</v>
      </c>
      <c r="D411" s="72" t="n">
        <v>136.6</v>
      </c>
      <c r="E411" s="71" t="n">
        <v>36739</v>
      </c>
      <c r="F411" s="72" t="n">
        <v>169.3</v>
      </c>
      <c r="G411" s="71" t="n">
        <v>33086</v>
      </c>
      <c r="H411" s="72" t="n">
        <v>101.6</v>
      </c>
    </row>
    <row r="412">
      <c r="A412" s="71" t="n">
        <v>29465</v>
      </c>
      <c r="B412" s="72" t="n">
        <v>83.90000000000001</v>
      </c>
      <c r="C412" s="71" t="n">
        <v>33117</v>
      </c>
      <c r="D412" s="72" t="n">
        <v>137.1</v>
      </c>
      <c r="E412" s="71" t="n">
        <v>36770</v>
      </c>
      <c r="F412" s="72" t="n">
        <v>169.4</v>
      </c>
      <c r="G412" s="71" t="n">
        <v>33117</v>
      </c>
      <c r="H412" s="72" t="n">
        <v>106.5</v>
      </c>
    </row>
    <row r="413">
      <c r="A413" s="71" t="n">
        <v>29495</v>
      </c>
      <c r="B413" s="72" t="n">
        <v>84.7</v>
      </c>
      <c r="C413" s="71" t="n">
        <v>33147</v>
      </c>
      <c r="D413" s="72" t="n">
        <v>137.6</v>
      </c>
      <c r="E413" s="71" t="n">
        <v>36800</v>
      </c>
      <c r="F413" s="72" t="n">
        <v>169.6</v>
      </c>
      <c r="G413" s="71" t="n">
        <v>33147</v>
      </c>
      <c r="H413" s="72" t="n">
        <v>110.8</v>
      </c>
    </row>
    <row r="414">
      <c r="A414" s="71" t="n">
        <v>29526</v>
      </c>
      <c r="B414" s="72" t="n">
        <v>85.59999999999999</v>
      </c>
      <c r="C414" s="71" t="n">
        <v>33178</v>
      </c>
      <c r="D414" s="72" t="n">
        <v>138</v>
      </c>
      <c r="E414" s="71" t="n">
        <v>36831</v>
      </c>
      <c r="F414" s="72" t="n">
        <v>169.7</v>
      </c>
      <c r="G414" s="71" t="n">
        <v>33178</v>
      </c>
      <c r="H414" s="72" t="n">
        <v>111.2</v>
      </c>
    </row>
    <row r="415">
      <c r="A415" s="71" t="n">
        <v>29556</v>
      </c>
      <c r="B415" s="72" t="n">
        <v>86.40000000000001</v>
      </c>
      <c r="C415" s="71" t="n">
        <v>33208</v>
      </c>
      <c r="D415" s="72" t="n">
        <v>138.6</v>
      </c>
      <c r="E415" s="71" t="n">
        <v>36861</v>
      </c>
      <c r="F415" s="72" t="n">
        <v>170.5</v>
      </c>
      <c r="G415" s="71" t="n">
        <v>33208</v>
      </c>
      <c r="H415" s="72" t="n">
        <v>111</v>
      </c>
    </row>
    <row r="416">
      <c r="A416" s="71" t="n">
        <v>29587</v>
      </c>
      <c r="B416" s="72" t="n">
        <v>87.2</v>
      </c>
      <c r="C416" s="71" t="n">
        <v>33239</v>
      </c>
      <c r="D416" s="72" t="n">
        <v>139.5</v>
      </c>
      <c r="E416" s="71" t="n">
        <v>36892</v>
      </c>
      <c r="F416" s="72" t="n">
        <v>170.9</v>
      </c>
      <c r="G416" s="71" t="n">
        <v>33239</v>
      </c>
      <c r="H416" s="72" t="n">
        <v>108.5</v>
      </c>
    </row>
    <row r="417">
      <c r="A417" s="71" t="n">
        <v>29618</v>
      </c>
      <c r="B417" s="72" t="n">
        <v>88</v>
      </c>
      <c r="C417" s="71" t="n">
        <v>33270</v>
      </c>
      <c r="D417" s="72" t="n">
        <v>140.2</v>
      </c>
      <c r="E417" s="71" t="n">
        <v>36923</v>
      </c>
      <c r="F417" s="72" t="n">
        <v>171.7</v>
      </c>
      <c r="G417" s="71" t="n">
        <v>33270</v>
      </c>
      <c r="H417" s="72" t="n">
        <v>104.5</v>
      </c>
    </row>
    <row r="418">
      <c r="A418" s="71" t="n">
        <v>29646</v>
      </c>
      <c r="B418" s="72" t="n">
        <v>88.59999999999999</v>
      </c>
      <c r="C418" s="71" t="n">
        <v>33298</v>
      </c>
      <c r="D418" s="72" t="n">
        <v>140.5</v>
      </c>
      <c r="E418" s="71" t="n">
        <v>36951</v>
      </c>
      <c r="F418" s="72" t="n">
        <v>172.2</v>
      </c>
      <c r="G418" s="71" t="n">
        <v>33298</v>
      </c>
      <c r="H418" s="72" t="n">
        <v>101.9</v>
      </c>
    </row>
    <row r="419">
      <c r="A419" s="71" t="n">
        <v>29677</v>
      </c>
      <c r="B419" s="72" t="n">
        <v>89.09999999999999</v>
      </c>
      <c r="C419" s="71" t="n">
        <v>33329</v>
      </c>
      <c r="D419" s="72" t="n">
        <v>140.9</v>
      </c>
      <c r="E419" s="71" t="n">
        <v>36982</v>
      </c>
      <c r="F419" s="72" t="n">
        <v>172.6</v>
      </c>
      <c r="G419" s="71" t="n">
        <v>33329</v>
      </c>
      <c r="H419" s="72" t="n">
        <v>101.2</v>
      </c>
    </row>
    <row r="420">
      <c r="A420" s="71" t="n">
        <v>29707</v>
      </c>
      <c r="B420" s="72" t="n">
        <v>89.7</v>
      </c>
      <c r="C420" s="71" t="n">
        <v>33359</v>
      </c>
      <c r="D420" s="72" t="n">
        <v>141.3</v>
      </c>
      <c r="E420" s="71" t="n">
        <v>37012</v>
      </c>
      <c r="F420" s="72" t="n">
        <v>172.9</v>
      </c>
      <c r="G420" s="71" t="n">
        <v>33359</v>
      </c>
      <c r="H420" s="72" t="n">
        <v>102.1</v>
      </c>
    </row>
    <row r="421">
      <c r="A421" s="71" t="n">
        <v>29738</v>
      </c>
      <c r="B421" s="72" t="n">
        <v>90.5</v>
      </c>
      <c r="C421" s="71" t="n">
        <v>33390</v>
      </c>
      <c r="D421" s="72" t="n">
        <v>141.8</v>
      </c>
      <c r="E421" s="71" t="n">
        <v>37043</v>
      </c>
      <c r="F421" s="72" t="n">
        <v>173.5</v>
      </c>
      <c r="G421" s="71" t="n">
        <v>33390</v>
      </c>
      <c r="H421" s="72" t="n">
        <v>101.1</v>
      </c>
    </row>
    <row r="422">
      <c r="A422" s="71" t="n">
        <v>29768</v>
      </c>
      <c r="B422" s="72" t="n">
        <v>91.5</v>
      </c>
      <c r="C422" s="71" t="n">
        <v>33420</v>
      </c>
      <c r="D422" s="72" t="n">
        <v>142.3</v>
      </c>
      <c r="E422" s="71" t="n">
        <v>37073</v>
      </c>
      <c r="F422" s="72" t="n">
        <v>174.1</v>
      </c>
      <c r="G422" s="71" t="n">
        <v>33420</v>
      </c>
      <c r="H422" s="72" t="n">
        <v>100.7</v>
      </c>
    </row>
    <row r="423">
      <c r="A423" s="71" t="n">
        <v>29799</v>
      </c>
      <c r="B423" s="72" t="n">
        <v>92.2</v>
      </c>
      <c r="C423" s="71" t="n">
        <v>33451</v>
      </c>
      <c r="D423" s="72" t="n">
        <v>142.9</v>
      </c>
      <c r="E423" s="71" t="n">
        <v>37104</v>
      </c>
      <c r="F423" s="72" t="n">
        <v>174.5</v>
      </c>
      <c r="G423" s="71" t="n">
        <v>33451</v>
      </c>
      <c r="H423" s="72" t="n">
        <v>101.1</v>
      </c>
    </row>
    <row r="424">
      <c r="A424" s="71" t="n">
        <v>29830</v>
      </c>
      <c r="B424" s="72" t="n">
        <v>93.09999999999999</v>
      </c>
      <c r="C424" s="71" t="n">
        <v>33482</v>
      </c>
      <c r="D424" s="72" t="n">
        <v>143.4</v>
      </c>
      <c r="E424" s="71" t="n">
        <v>37135</v>
      </c>
      <c r="F424" s="72" t="n">
        <v>174.7</v>
      </c>
      <c r="G424" s="71" t="n">
        <v>33482</v>
      </c>
      <c r="H424" s="72" t="n">
        <v>101.5</v>
      </c>
    </row>
    <row r="425">
      <c r="A425" s="71" t="n">
        <v>29860</v>
      </c>
      <c r="B425" s="72" t="n">
        <v>93.40000000000001</v>
      </c>
      <c r="C425" s="71" t="n">
        <v>33512</v>
      </c>
      <c r="D425" s="72" t="n">
        <v>143.7</v>
      </c>
      <c r="E425" s="71" t="n">
        <v>37165</v>
      </c>
      <c r="F425" s="72" t="n">
        <v>175.3</v>
      </c>
      <c r="G425" s="71" t="n">
        <v>33512</v>
      </c>
      <c r="H425" s="72" t="n">
        <v>101.6</v>
      </c>
    </row>
    <row r="426">
      <c r="A426" s="71" t="n">
        <v>29891</v>
      </c>
      <c r="B426" s="72" t="n">
        <v>93.8</v>
      </c>
      <c r="C426" s="71" t="n">
        <v>33543</v>
      </c>
      <c r="D426" s="72" t="n">
        <v>144.2</v>
      </c>
      <c r="E426" s="71" t="n">
        <v>37196</v>
      </c>
      <c r="F426" s="72" t="n">
        <v>175.4</v>
      </c>
      <c r="G426" s="71" t="n">
        <v>33543</v>
      </c>
      <c r="H426" s="72" t="n">
        <v>102.4</v>
      </c>
    </row>
    <row r="427">
      <c r="A427" s="71" t="n">
        <v>29921</v>
      </c>
      <c r="B427" s="72" t="n">
        <v>94.09999999999999</v>
      </c>
      <c r="C427" s="71" t="n">
        <v>33573</v>
      </c>
      <c r="D427" s="72" t="n">
        <v>144.7</v>
      </c>
      <c r="E427" s="71" t="n">
        <v>37226</v>
      </c>
      <c r="F427" s="72" t="n">
        <v>175.2</v>
      </c>
      <c r="G427" s="71" t="n">
        <v>33573</v>
      </c>
      <c r="H427" s="72" t="n">
        <v>103.1</v>
      </c>
    </row>
    <row r="428">
      <c r="A428" s="71" t="n">
        <v>29952</v>
      </c>
      <c r="B428" s="72" t="n">
        <v>94.40000000000001</v>
      </c>
      <c r="C428" s="71" t="n">
        <v>33604</v>
      </c>
      <c r="D428" s="72" t="n">
        <v>145.1</v>
      </c>
      <c r="E428" s="71" t="n">
        <v>37257</v>
      </c>
      <c r="F428" s="72" t="n">
        <v>175.8</v>
      </c>
      <c r="G428" s="71" t="n">
        <v>33604</v>
      </c>
      <c r="H428" s="72" t="n">
        <v>101.5</v>
      </c>
    </row>
    <row r="429">
      <c r="A429" s="71" t="n">
        <v>29983</v>
      </c>
      <c r="B429" s="72" t="n">
        <v>94.7</v>
      </c>
      <c r="C429" s="71" t="n">
        <v>33635</v>
      </c>
      <c r="D429" s="72" t="n">
        <v>145.4</v>
      </c>
      <c r="E429" s="71" t="n">
        <v>37288</v>
      </c>
      <c r="F429" s="72" t="n">
        <v>176.2</v>
      </c>
      <c r="G429" s="71" t="n">
        <v>33635</v>
      </c>
      <c r="H429" s="72" t="n">
        <v>101.2</v>
      </c>
    </row>
    <row r="430">
      <c r="A430" s="71" t="n">
        <v>30011</v>
      </c>
      <c r="B430" s="72" t="n">
        <v>94.7</v>
      </c>
      <c r="C430" s="71" t="n">
        <v>33664</v>
      </c>
      <c r="D430" s="72" t="n">
        <v>145.9</v>
      </c>
      <c r="E430" s="71" t="n">
        <v>37316</v>
      </c>
      <c r="F430" s="72" t="n">
        <v>176.6</v>
      </c>
      <c r="G430" s="71" t="n">
        <v>33664</v>
      </c>
      <c r="H430" s="72" t="n">
        <v>101.2</v>
      </c>
    </row>
    <row r="431">
      <c r="A431" s="71" t="n">
        <v>30042</v>
      </c>
      <c r="B431" s="72" t="n">
        <v>95</v>
      </c>
      <c r="C431" s="71" t="n">
        <v>33695</v>
      </c>
      <c r="D431" s="72" t="n">
        <v>146.3</v>
      </c>
      <c r="E431" s="71" t="n">
        <v>37347</v>
      </c>
      <c r="F431" s="72" t="n">
        <v>176.9</v>
      </c>
      <c r="G431" s="71" t="n">
        <v>33695</v>
      </c>
      <c r="H431" s="72" t="n">
        <v>101.4</v>
      </c>
    </row>
    <row r="432">
      <c r="A432" s="71" t="n">
        <v>30072</v>
      </c>
      <c r="B432" s="72" t="n">
        <v>95.90000000000001</v>
      </c>
      <c r="C432" s="71" t="n">
        <v>33725</v>
      </c>
      <c r="D432" s="72" t="n">
        <v>146.8</v>
      </c>
      <c r="E432" s="71" t="n">
        <v>37377</v>
      </c>
      <c r="F432" s="72" t="n">
        <v>176.4</v>
      </c>
      <c r="G432" s="71" t="n">
        <v>33725</v>
      </c>
      <c r="H432" s="72" t="n">
        <v>102</v>
      </c>
    </row>
    <row r="433">
      <c r="A433" s="71" t="n">
        <v>30103</v>
      </c>
      <c r="B433" s="72" t="n">
        <v>97</v>
      </c>
      <c r="C433" s="71" t="n">
        <v>33756</v>
      </c>
      <c r="D433" s="72" t="n">
        <v>147.1</v>
      </c>
      <c r="E433" s="71" t="n">
        <v>37408</v>
      </c>
      <c r="F433" s="72" t="n">
        <v>176.5</v>
      </c>
      <c r="G433" s="71" t="n">
        <v>33756</v>
      </c>
      <c r="H433" s="72" t="n">
        <v>103.3</v>
      </c>
    </row>
    <row r="434">
      <c r="A434" s="71" t="n">
        <v>30133</v>
      </c>
      <c r="B434" s="72" t="n">
        <v>97.5</v>
      </c>
      <c r="C434" s="71" t="n">
        <v>33786</v>
      </c>
      <c r="D434" s="72" t="n">
        <v>147.6</v>
      </c>
      <c r="E434" s="71" t="n">
        <v>37438</v>
      </c>
      <c r="F434" s="72" t="n">
        <v>176.7</v>
      </c>
      <c r="G434" s="71" t="n">
        <v>33786</v>
      </c>
      <c r="H434" s="72" t="n">
        <v>103.7</v>
      </c>
    </row>
    <row r="435">
      <c r="A435" s="71" t="n">
        <v>30164</v>
      </c>
      <c r="B435" s="72" t="n">
        <v>97.7</v>
      </c>
      <c r="C435" s="71" t="n">
        <v>33817</v>
      </c>
      <c r="D435" s="72" t="n">
        <v>147.9</v>
      </c>
      <c r="E435" s="71" t="n">
        <v>37469</v>
      </c>
      <c r="F435" s="72" t="n">
        <v>176.7</v>
      </c>
      <c r="G435" s="71" t="n">
        <v>33817</v>
      </c>
      <c r="H435" s="72" t="n">
        <v>103.5</v>
      </c>
    </row>
    <row r="436">
      <c r="A436" s="71" t="n">
        <v>30195</v>
      </c>
      <c r="B436" s="72" t="n">
        <v>97.7</v>
      </c>
      <c r="C436" s="71" t="n">
        <v>33848</v>
      </c>
      <c r="D436" s="72" t="n">
        <v>148.1</v>
      </c>
      <c r="E436" s="71" t="n">
        <v>37500</v>
      </c>
      <c r="F436" s="72" t="n">
        <v>177</v>
      </c>
      <c r="G436" s="71" t="n">
        <v>33848</v>
      </c>
      <c r="H436" s="72" t="n">
        <v>103.6</v>
      </c>
    </row>
    <row r="437">
      <c r="A437" s="71" t="n">
        <v>30225</v>
      </c>
      <c r="B437" s="72" t="n">
        <v>98.09999999999999</v>
      </c>
      <c r="C437" s="71" t="n">
        <v>33878</v>
      </c>
      <c r="D437" s="72" t="n">
        <v>148.8</v>
      </c>
      <c r="E437" s="71" t="n">
        <v>37530</v>
      </c>
      <c r="F437" s="72" t="n">
        <v>177</v>
      </c>
      <c r="G437" s="71" t="n">
        <v>33878</v>
      </c>
      <c r="H437" s="72" t="n">
        <v>104.3</v>
      </c>
    </row>
    <row r="438">
      <c r="A438" s="71" t="n">
        <v>30256</v>
      </c>
      <c r="B438" s="72" t="n">
        <v>98</v>
      </c>
      <c r="C438" s="71" t="n">
        <v>33909</v>
      </c>
      <c r="D438" s="72" t="n">
        <v>149.2</v>
      </c>
      <c r="E438" s="71" t="n">
        <v>37561</v>
      </c>
      <c r="F438" s="72" t="n">
        <v>177.5</v>
      </c>
      <c r="G438" s="71" t="n">
        <v>33909</v>
      </c>
      <c r="H438" s="72" t="n">
        <v>105.1</v>
      </c>
    </row>
    <row r="439">
      <c r="A439" s="71" t="n">
        <v>30286</v>
      </c>
      <c r="B439" s="72" t="n">
        <v>97.7</v>
      </c>
      <c r="C439" s="71" t="n">
        <v>33939</v>
      </c>
      <c r="D439" s="72" t="n">
        <v>149.6</v>
      </c>
      <c r="E439" s="71" t="n">
        <v>37591</v>
      </c>
      <c r="F439" s="72" t="n">
        <v>177.7</v>
      </c>
      <c r="G439" s="71" t="n">
        <v>33939</v>
      </c>
      <c r="H439" s="72" t="n">
        <v>105.3</v>
      </c>
    </row>
    <row r="440">
      <c r="A440" s="71" t="n">
        <v>30317</v>
      </c>
      <c r="B440" s="72" t="n">
        <v>97.90000000000001</v>
      </c>
      <c r="C440" s="71" t="n">
        <v>33970</v>
      </c>
      <c r="D440" s="72" t="n">
        <v>150.1</v>
      </c>
      <c r="E440" s="71" t="n">
        <v>37622</v>
      </c>
      <c r="F440" s="72" t="n">
        <v>177.7</v>
      </c>
      <c r="G440" s="71" t="n">
        <v>33970</v>
      </c>
      <c r="H440" s="72" t="n">
        <v>105</v>
      </c>
    </row>
    <row r="441">
      <c r="A441" s="71" t="n">
        <v>30348</v>
      </c>
      <c r="B441" s="72" t="n">
        <v>98</v>
      </c>
      <c r="C441" s="71" t="n">
        <v>34001</v>
      </c>
      <c r="D441" s="72" t="n">
        <v>150.6</v>
      </c>
      <c r="E441" s="71" t="n">
        <v>37653</v>
      </c>
      <c r="F441" s="72" t="n">
        <v>178.7</v>
      </c>
      <c r="G441" s="71" t="n">
        <v>34001</v>
      </c>
      <c r="H441" s="72" t="n">
        <v>104.3</v>
      </c>
    </row>
    <row r="442">
      <c r="A442" s="71" t="n">
        <v>30376</v>
      </c>
      <c r="B442" s="72" t="n">
        <v>98.09999999999999</v>
      </c>
      <c r="C442" s="71" t="n">
        <v>34029</v>
      </c>
      <c r="D442" s="72" t="n">
        <v>150.8</v>
      </c>
      <c r="E442" s="71" t="n">
        <v>37681</v>
      </c>
      <c r="F442" s="72" t="n">
        <v>179</v>
      </c>
      <c r="G442" s="71" t="n">
        <v>34029</v>
      </c>
      <c r="H442" s="72" t="n">
        <v>104.9</v>
      </c>
    </row>
    <row r="443">
      <c r="A443" s="71" t="n">
        <v>30407</v>
      </c>
      <c r="B443" s="72" t="n">
        <v>98.8</v>
      </c>
      <c r="C443" s="71" t="n">
        <v>34060</v>
      </c>
      <c r="D443" s="72" t="n">
        <v>151.4</v>
      </c>
      <c r="E443" s="71" t="n">
        <v>37712</v>
      </c>
      <c r="F443" s="72" t="n">
        <v>179.1</v>
      </c>
      <c r="G443" s="71" t="n">
        <v>34060</v>
      </c>
      <c r="H443" s="72" t="n">
        <v>104.9</v>
      </c>
    </row>
    <row r="444">
      <c r="A444" s="71" t="n">
        <v>30437</v>
      </c>
      <c r="B444" s="72" t="n">
        <v>99.2</v>
      </c>
      <c r="C444" s="71" t="n">
        <v>34090</v>
      </c>
      <c r="D444" s="72" t="n">
        <v>151.8</v>
      </c>
      <c r="E444" s="71" t="n">
        <v>37742</v>
      </c>
      <c r="F444" s="72" t="n">
        <v>179.4</v>
      </c>
      <c r="G444" s="71" t="n">
        <v>34090</v>
      </c>
      <c r="H444" s="72" t="n">
        <v>104.3</v>
      </c>
    </row>
    <row r="445">
      <c r="A445" s="71" t="n">
        <v>30468</v>
      </c>
      <c r="B445" s="72" t="n">
        <v>99.40000000000001</v>
      </c>
      <c r="C445" s="71" t="n">
        <v>34121</v>
      </c>
      <c r="D445" s="72" t="n">
        <v>152.1</v>
      </c>
      <c r="E445" s="71" t="n">
        <v>37773</v>
      </c>
      <c r="F445" s="72" t="n">
        <v>180.3</v>
      </c>
      <c r="G445" s="71" t="n">
        <v>34121</v>
      </c>
      <c r="H445" s="72" t="n">
        <v>103.9</v>
      </c>
    </row>
    <row r="446">
      <c r="A446" s="71" t="n">
        <v>30498</v>
      </c>
      <c r="B446" s="72" t="n">
        <v>99.8</v>
      </c>
      <c r="C446" s="71" t="n">
        <v>34151</v>
      </c>
      <c r="D446" s="72" t="n">
        <v>152.3</v>
      </c>
      <c r="E446" s="71" t="n">
        <v>37803</v>
      </c>
      <c r="F446" s="72" t="n">
        <v>180.4</v>
      </c>
      <c r="G446" s="71" t="n">
        <v>34151</v>
      </c>
      <c r="H446" s="72" t="n">
        <v>103.4</v>
      </c>
    </row>
    <row r="447">
      <c r="A447" s="71" t="n">
        <v>30529</v>
      </c>
      <c r="B447" s="72" t="n">
        <v>100.1</v>
      </c>
      <c r="C447" s="71" t="n">
        <v>34182</v>
      </c>
      <c r="D447" s="72" t="n">
        <v>152.8</v>
      </c>
      <c r="E447" s="71" t="n">
        <v>37834</v>
      </c>
      <c r="F447" s="72" t="n">
        <v>181.1</v>
      </c>
      <c r="G447" s="71" t="n">
        <v>34182</v>
      </c>
      <c r="H447" s="72" t="n">
        <v>103.4</v>
      </c>
    </row>
    <row r="448">
      <c r="A448" s="71" t="n">
        <v>30560</v>
      </c>
      <c r="B448" s="72" t="n">
        <v>100.4</v>
      </c>
      <c r="C448" s="71" t="n">
        <v>34213</v>
      </c>
      <c r="D448" s="72" t="n">
        <v>152.9</v>
      </c>
      <c r="E448" s="71" t="n">
        <v>37865</v>
      </c>
      <c r="F448" s="72" t="n">
        <v>181.5</v>
      </c>
      <c r="G448" s="71" t="n">
        <v>34213</v>
      </c>
      <c r="H448" s="72" t="n">
        <v>103</v>
      </c>
    </row>
    <row r="449">
      <c r="A449" s="71" t="n">
        <v>30590</v>
      </c>
      <c r="B449" s="72" t="n">
        <v>100.8</v>
      </c>
      <c r="C449" s="71" t="n">
        <v>34243</v>
      </c>
      <c r="D449" s="72" t="n">
        <v>153.4</v>
      </c>
      <c r="E449" s="71" t="n">
        <v>37895</v>
      </c>
      <c r="F449" s="72" t="n">
        <v>182.2</v>
      </c>
      <c r="G449" s="71" t="n">
        <v>34243</v>
      </c>
      <c r="H449" s="72" t="n">
        <v>105.3</v>
      </c>
    </row>
    <row r="450">
      <c r="A450" s="71" t="n">
        <v>30621</v>
      </c>
      <c r="B450" s="72" t="n">
        <v>101.1</v>
      </c>
      <c r="C450" s="71" t="n">
        <v>34274</v>
      </c>
      <c r="D450" s="72" t="n">
        <v>153.9</v>
      </c>
      <c r="E450" s="71" t="n">
        <v>37926</v>
      </c>
      <c r="F450" s="72" t="n">
        <v>183.1</v>
      </c>
      <c r="G450" s="71" t="n">
        <v>34274</v>
      </c>
      <c r="H450" s="72" t="n">
        <v>104.4</v>
      </c>
    </row>
    <row r="451">
      <c r="A451" s="71" t="n">
        <v>30651</v>
      </c>
      <c r="B451" s="72" t="n">
        <v>101.4</v>
      </c>
      <c r="C451" s="71" t="n">
        <v>34304</v>
      </c>
      <c r="D451" s="72" t="n">
        <v>154.3</v>
      </c>
      <c r="E451" s="71" t="n">
        <v>37956</v>
      </c>
      <c r="F451" s="72" t="n">
        <v>184</v>
      </c>
      <c r="G451" s="71" t="n">
        <v>34304</v>
      </c>
      <c r="H451" s="72" t="n">
        <v>103.7</v>
      </c>
    </row>
    <row r="452">
      <c r="A452" s="71" t="n">
        <v>30682</v>
      </c>
      <c r="B452" s="72" t="n">
        <v>102.1</v>
      </c>
      <c r="C452" s="71" t="n">
        <v>34335</v>
      </c>
      <c r="D452" s="72" t="n">
        <v>154.5</v>
      </c>
      <c r="E452" s="71" t="n">
        <v>37987</v>
      </c>
      <c r="F452" s="72" t="n">
        <v>183.9</v>
      </c>
      <c r="G452" s="71" t="n">
        <v>34335</v>
      </c>
      <c r="H452" s="72" t="n">
        <v>102.8</v>
      </c>
    </row>
    <row r="453">
      <c r="A453" s="71" t="n">
        <v>30713</v>
      </c>
      <c r="B453" s="72" t="n">
        <v>102.6</v>
      </c>
      <c r="C453" s="71" t="n">
        <v>34366</v>
      </c>
      <c r="D453" s="72" t="n">
        <v>154.8</v>
      </c>
      <c r="E453" s="71" t="n">
        <v>38018</v>
      </c>
      <c r="F453" s="72" t="n">
        <v>184.3</v>
      </c>
      <c r="G453" s="71" t="n">
        <v>34366</v>
      </c>
      <c r="H453" s="72" t="n">
        <v>104.1</v>
      </c>
    </row>
    <row r="454">
      <c r="A454" s="71" t="n">
        <v>30742</v>
      </c>
      <c r="B454" s="72" t="n">
        <v>102.9</v>
      </c>
      <c r="C454" s="71" t="n">
        <v>34394</v>
      </c>
      <c r="D454" s="72" t="n">
        <v>155.3</v>
      </c>
      <c r="E454" s="71" t="n">
        <v>38047</v>
      </c>
      <c r="F454" s="72" t="n">
        <v>184.7</v>
      </c>
      <c r="G454" s="71" t="n">
        <v>34394</v>
      </c>
      <c r="H454" s="72" t="n">
        <v>104.3</v>
      </c>
    </row>
    <row r="455">
      <c r="A455" s="71" t="n">
        <v>30773</v>
      </c>
      <c r="B455" s="72" t="n">
        <v>103.3</v>
      </c>
      <c r="C455" s="71" t="n">
        <v>34425</v>
      </c>
      <c r="D455" s="72" t="n">
        <v>155.5</v>
      </c>
      <c r="E455" s="71" t="n">
        <v>38078</v>
      </c>
      <c r="F455" s="72" t="n">
        <v>185.1</v>
      </c>
      <c r="G455" s="71" t="n">
        <v>34425</v>
      </c>
      <c r="H455" s="72" t="n">
        <v>103.7</v>
      </c>
    </row>
    <row r="456">
      <c r="A456" s="71" t="n">
        <v>30803</v>
      </c>
      <c r="B456" s="72" t="n">
        <v>103.5</v>
      </c>
      <c r="C456" s="71" t="n">
        <v>34455</v>
      </c>
      <c r="D456" s="72" t="n">
        <v>155.9</v>
      </c>
      <c r="E456" s="71" t="n">
        <v>38108</v>
      </c>
      <c r="F456" s="72" t="n">
        <v>186.5</v>
      </c>
      <c r="G456" s="71" t="n">
        <v>34455</v>
      </c>
      <c r="H456" s="72" t="n">
        <v>102.8</v>
      </c>
    </row>
    <row r="457">
      <c r="A457" s="71" t="n">
        <v>30834</v>
      </c>
      <c r="B457" s="72" t="n">
        <v>103.7</v>
      </c>
      <c r="C457" s="71" t="n">
        <v>34486</v>
      </c>
      <c r="D457" s="72" t="n">
        <v>156.4</v>
      </c>
      <c r="E457" s="71" t="n">
        <v>38139</v>
      </c>
      <c r="F457" s="72" t="n">
        <v>186.9</v>
      </c>
      <c r="G457" s="71" t="n">
        <v>34486</v>
      </c>
      <c r="H457" s="72" t="n">
        <v>103.1</v>
      </c>
    </row>
    <row r="458">
      <c r="A458" s="71" t="n">
        <v>30864</v>
      </c>
      <c r="B458" s="72" t="n">
        <v>104.1</v>
      </c>
      <c r="C458" s="71" t="n">
        <v>34516</v>
      </c>
      <c r="D458" s="72" t="n">
        <v>156.7</v>
      </c>
      <c r="E458" s="71" t="n">
        <v>38169</v>
      </c>
      <c r="F458" s="72" t="n">
        <v>187.3</v>
      </c>
      <c r="G458" s="71" t="n">
        <v>34516</v>
      </c>
      <c r="H458" s="72" t="n">
        <v>104.5</v>
      </c>
    </row>
    <row r="459">
      <c r="A459" s="71" t="n">
        <v>30895</v>
      </c>
      <c r="B459" s="72" t="n">
        <v>104.4</v>
      </c>
      <c r="C459" s="71" t="n">
        <v>34547</v>
      </c>
      <c r="D459" s="72" t="n">
        <v>157.1</v>
      </c>
      <c r="E459" s="71" t="n">
        <v>38200</v>
      </c>
      <c r="F459" s="72" t="n">
        <v>187.5</v>
      </c>
      <c r="G459" s="71" t="n">
        <v>34547</v>
      </c>
      <c r="H459" s="72" t="n">
        <v>106.7</v>
      </c>
    </row>
    <row r="460">
      <c r="A460" s="71" t="n">
        <v>30926</v>
      </c>
      <c r="B460" s="72" t="n">
        <v>104.7</v>
      </c>
      <c r="C460" s="71" t="n">
        <v>34578</v>
      </c>
      <c r="D460" s="72" t="n">
        <v>157.5</v>
      </c>
      <c r="E460" s="71" t="n">
        <v>38231</v>
      </c>
      <c r="F460" s="72" t="n">
        <v>187.4</v>
      </c>
      <c r="G460" s="71" t="n">
        <v>34578</v>
      </c>
      <c r="H460" s="72" t="n">
        <v>106.1</v>
      </c>
    </row>
    <row r="461">
      <c r="A461" s="71" t="n">
        <v>30956</v>
      </c>
      <c r="B461" s="72" t="n">
        <v>105.1</v>
      </c>
      <c r="C461" s="71" t="n">
        <v>34608</v>
      </c>
      <c r="D461" s="72" t="n">
        <v>157.8</v>
      </c>
      <c r="E461" s="71" t="n">
        <v>38261</v>
      </c>
      <c r="F461" s="72" t="n">
        <v>188.3</v>
      </c>
      <c r="G461" s="71" t="n">
        <v>34608</v>
      </c>
      <c r="H461" s="72" t="n">
        <v>105.7</v>
      </c>
    </row>
    <row r="462">
      <c r="A462" s="71" t="n">
        <v>30987</v>
      </c>
      <c r="B462" s="72" t="n">
        <v>105.3</v>
      </c>
      <c r="C462" s="71" t="n">
        <v>34639</v>
      </c>
      <c r="D462" s="72" t="n">
        <v>158.2</v>
      </c>
      <c r="E462" s="71" t="n">
        <v>38292</v>
      </c>
      <c r="F462" s="72" t="n">
        <v>188.9</v>
      </c>
      <c r="G462" s="71" t="n">
        <v>34639</v>
      </c>
      <c r="H462" s="72" t="n">
        <v>106.1</v>
      </c>
    </row>
    <row r="463">
      <c r="A463" s="71" t="n">
        <v>31017</v>
      </c>
      <c r="B463" s="72" t="n">
        <v>105.5</v>
      </c>
      <c r="C463" s="71" t="n">
        <v>34669</v>
      </c>
      <c r="D463" s="72" t="n">
        <v>158.3</v>
      </c>
      <c r="E463" s="71" t="n">
        <v>38322</v>
      </c>
      <c r="F463" s="72" t="n">
        <v>188.9</v>
      </c>
      <c r="G463" s="71" t="n">
        <v>34669</v>
      </c>
      <c r="H463" s="72" t="n">
        <v>105.9</v>
      </c>
    </row>
    <row r="464">
      <c r="A464" s="71" t="n">
        <v>31048</v>
      </c>
      <c r="B464" s="72" t="n">
        <v>105.7</v>
      </c>
      <c r="C464" s="71" t="n">
        <v>34700</v>
      </c>
      <c r="D464" s="72" t="n">
        <v>159</v>
      </c>
      <c r="E464" s="71" t="n">
        <v>38353</v>
      </c>
      <c r="F464" s="72" t="n">
        <v>189.1</v>
      </c>
      <c r="G464" s="71" t="n">
        <v>34700</v>
      </c>
      <c r="H464" s="72" t="n">
        <v>105.7</v>
      </c>
    </row>
    <row r="465">
      <c r="A465" s="71" t="n">
        <v>31079</v>
      </c>
      <c r="B465" s="72" t="n">
        <v>106.3</v>
      </c>
      <c r="C465" s="71" t="n">
        <v>34731</v>
      </c>
      <c r="D465" s="72" t="n">
        <v>159.4</v>
      </c>
      <c r="E465" s="71" t="n">
        <v>38384</v>
      </c>
      <c r="F465" s="72" t="n">
        <v>189.2</v>
      </c>
      <c r="G465" s="71" t="n">
        <v>34731</v>
      </c>
      <c r="H465" s="72" t="n">
        <v>105.8</v>
      </c>
    </row>
    <row r="466">
      <c r="A466" s="71" t="n">
        <v>31107</v>
      </c>
      <c r="B466" s="72" t="n">
        <v>106.8</v>
      </c>
      <c r="C466" s="71" t="n">
        <v>34759</v>
      </c>
      <c r="D466" s="72" t="n">
        <v>159.9</v>
      </c>
      <c r="E466" s="71" t="n">
        <v>38412</v>
      </c>
      <c r="F466" s="72" t="n">
        <v>189.6</v>
      </c>
      <c r="G466" s="71" t="n">
        <v>34759</v>
      </c>
      <c r="H466" s="72" t="n">
        <v>105.5</v>
      </c>
    </row>
    <row r="467">
      <c r="A467" s="71" t="n">
        <v>31138</v>
      </c>
      <c r="B467" s="72" t="n">
        <v>107</v>
      </c>
      <c r="C467" s="71" t="n">
        <v>34790</v>
      </c>
      <c r="D467" s="72" t="n">
        <v>160.4</v>
      </c>
      <c r="E467" s="71" t="n">
        <v>38443</v>
      </c>
      <c r="F467" s="72" t="n">
        <v>190.8</v>
      </c>
      <c r="G467" s="71" t="n">
        <v>34790</v>
      </c>
      <c r="H467" s="72" t="n">
        <v>105.6</v>
      </c>
    </row>
    <row r="468">
      <c r="A468" s="71" t="n">
        <v>31168</v>
      </c>
      <c r="B468" s="72" t="n">
        <v>107.2</v>
      </c>
      <c r="C468" s="71" t="n">
        <v>34820</v>
      </c>
      <c r="D468" s="72" t="n">
        <v>160.7</v>
      </c>
      <c r="E468" s="71" t="n">
        <v>38473</v>
      </c>
      <c r="F468" s="72" t="n">
        <v>191</v>
      </c>
      <c r="G468" s="71" t="n">
        <v>34820</v>
      </c>
      <c r="H468" s="72" t="n">
        <v>105.8</v>
      </c>
    </row>
    <row r="469">
      <c r="A469" s="71" t="n">
        <v>31199</v>
      </c>
      <c r="B469" s="72" t="n">
        <v>107.5</v>
      </c>
      <c r="C469" s="71" t="n">
        <v>34851</v>
      </c>
      <c r="D469" s="72" t="n">
        <v>161.1</v>
      </c>
      <c r="E469" s="71" t="n">
        <v>38504</v>
      </c>
      <c r="F469" s="72" t="n">
        <v>191</v>
      </c>
      <c r="G469" s="71" t="n">
        <v>34851</v>
      </c>
      <c r="H469" s="72" t="n">
        <v>106.7</v>
      </c>
    </row>
    <row r="470">
      <c r="A470" s="71" t="n">
        <v>31229</v>
      </c>
      <c r="B470" s="72" t="n">
        <v>107.7</v>
      </c>
      <c r="C470" s="71" t="n">
        <v>34881</v>
      </c>
      <c r="D470" s="72" t="n">
        <v>161.4</v>
      </c>
      <c r="E470" s="71" t="n">
        <v>38534</v>
      </c>
      <c r="F470" s="72" t="n">
        <v>191.4</v>
      </c>
      <c r="G470" s="71" t="n">
        <v>34881</v>
      </c>
      <c r="H470" s="72" t="n">
        <v>105.8</v>
      </c>
    </row>
    <row r="471">
      <c r="A471" s="71" t="n">
        <v>31260</v>
      </c>
      <c r="B471" s="72" t="n">
        <v>107.9</v>
      </c>
      <c r="C471" s="71" t="n">
        <v>34912</v>
      </c>
      <c r="D471" s="72" t="n">
        <v>161.8</v>
      </c>
      <c r="E471" s="71" t="n">
        <v>38565</v>
      </c>
      <c r="F471" s="72" t="n">
        <v>191.5</v>
      </c>
      <c r="G471" s="71" t="n">
        <v>34912</v>
      </c>
      <c r="H471" s="72" t="n">
        <v>105.6</v>
      </c>
    </row>
    <row r="472">
      <c r="A472" s="71" t="n">
        <v>31291</v>
      </c>
      <c r="B472" s="72" t="n">
        <v>108.1</v>
      </c>
      <c r="C472" s="71" t="n">
        <v>34943</v>
      </c>
      <c r="D472" s="72" t="n">
        <v>162.2</v>
      </c>
      <c r="E472" s="71" t="n">
        <v>38596</v>
      </c>
      <c r="F472" s="72" t="n">
        <v>191.9</v>
      </c>
      <c r="G472" s="71" t="n">
        <v>34943</v>
      </c>
      <c r="H472" s="72" t="n">
        <v>104.1</v>
      </c>
    </row>
    <row r="473">
      <c r="A473" s="71" t="n">
        <v>31321</v>
      </c>
      <c r="B473" s="72" t="n">
        <v>108.5</v>
      </c>
      <c r="C473" s="71" t="n">
        <v>34973</v>
      </c>
      <c r="D473" s="72" t="n">
        <v>162.7</v>
      </c>
      <c r="E473" s="71" t="n">
        <v>38626</v>
      </c>
      <c r="F473" s="72" t="n">
        <v>192.4</v>
      </c>
      <c r="G473" s="71" t="n">
        <v>34973</v>
      </c>
      <c r="H473" s="72" t="n">
        <v>104.4</v>
      </c>
    </row>
    <row r="474">
      <c r="A474" s="71" t="n">
        <v>31352</v>
      </c>
      <c r="B474" s="72" t="n">
        <v>109</v>
      </c>
      <c r="C474" s="71" t="n">
        <v>35004</v>
      </c>
      <c r="D474" s="72" t="n">
        <v>163</v>
      </c>
      <c r="E474" s="71" t="n">
        <v>38657</v>
      </c>
      <c r="F474" s="72" t="n">
        <v>193</v>
      </c>
      <c r="G474" s="71" t="n">
        <v>35004</v>
      </c>
      <c r="H474" s="72" t="n">
        <v>103.4</v>
      </c>
    </row>
    <row r="475">
      <c r="A475" s="71" t="n">
        <v>31382</v>
      </c>
      <c r="B475" s="72" t="n">
        <v>109.5</v>
      </c>
      <c r="C475" s="71" t="n">
        <v>35034</v>
      </c>
      <c r="D475" s="72" t="n">
        <v>163.1</v>
      </c>
      <c r="E475" s="71" t="n">
        <v>38687</v>
      </c>
      <c r="F475" s="72" t="n">
        <v>193.3</v>
      </c>
      <c r="G475" s="71" t="n">
        <v>35034</v>
      </c>
      <c r="H475" s="72" t="n">
        <v>104.4</v>
      </c>
    </row>
    <row r="476">
      <c r="A476" s="71" t="n">
        <v>31413</v>
      </c>
      <c r="B476" s="72" t="n">
        <v>109.9</v>
      </c>
      <c r="C476" s="71" t="n">
        <v>35065</v>
      </c>
      <c r="D476" s="72" t="n">
        <v>163.7</v>
      </c>
      <c r="E476" s="71" t="n">
        <v>38718</v>
      </c>
      <c r="F476" s="72" t="n">
        <v>194.1</v>
      </c>
      <c r="G476" s="71" t="n">
        <v>35065</v>
      </c>
      <c r="H476" s="72" t="n">
        <v>106.9</v>
      </c>
    </row>
    <row r="477">
      <c r="A477" s="71" t="n">
        <v>31444</v>
      </c>
      <c r="B477" s="72" t="n">
        <v>109.7</v>
      </c>
      <c r="C477" s="71" t="n">
        <v>35096</v>
      </c>
      <c r="D477" s="72" t="n">
        <v>164</v>
      </c>
      <c r="E477" s="71" t="n">
        <v>38749</v>
      </c>
      <c r="F477" s="72" t="n">
        <v>194.2</v>
      </c>
      <c r="G477" s="71" t="n">
        <v>35096</v>
      </c>
      <c r="H477" s="72" t="n">
        <v>107.1</v>
      </c>
    </row>
    <row r="478">
      <c r="A478" s="71" t="n">
        <v>31472</v>
      </c>
      <c r="B478" s="72" t="n">
        <v>109.1</v>
      </c>
      <c r="C478" s="71" t="n">
        <v>35125</v>
      </c>
      <c r="D478" s="72" t="n">
        <v>164.4</v>
      </c>
      <c r="E478" s="71" t="n">
        <v>38777</v>
      </c>
      <c r="F478" s="72" t="n">
        <v>194.4</v>
      </c>
      <c r="G478" s="71" t="n">
        <v>35125</v>
      </c>
      <c r="H478" s="72" t="n">
        <v>108.3</v>
      </c>
    </row>
    <row r="479">
      <c r="A479" s="71" t="n">
        <v>31503</v>
      </c>
      <c r="B479" s="72" t="n">
        <v>108.7</v>
      </c>
      <c r="C479" s="71" t="n">
        <v>35156</v>
      </c>
      <c r="D479" s="72" t="n">
        <v>164.6</v>
      </c>
      <c r="E479" s="71" t="n">
        <v>38808</v>
      </c>
      <c r="F479" s="72" t="n">
        <v>194.3</v>
      </c>
      <c r="G479" s="71" t="n">
        <v>35156</v>
      </c>
      <c r="H479" s="72" t="n">
        <v>111.2</v>
      </c>
    </row>
    <row r="480">
      <c r="A480" s="71" t="n">
        <v>31533</v>
      </c>
      <c r="B480" s="72" t="n">
        <v>109</v>
      </c>
      <c r="C480" s="71" t="n">
        <v>35186</v>
      </c>
      <c r="D480" s="72" t="n">
        <v>165</v>
      </c>
      <c r="E480" s="71" t="n">
        <v>38838</v>
      </c>
      <c r="F480" s="72" t="n">
        <v>194.7</v>
      </c>
      <c r="G480" s="71" t="n">
        <v>35186</v>
      </c>
      <c r="H480" s="72" t="n">
        <v>112</v>
      </c>
    </row>
    <row r="481">
      <c r="A481" s="71" t="n">
        <v>31564</v>
      </c>
      <c r="B481" s="72" t="n">
        <v>109.4</v>
      </c>
      <c r="C481" s="71" t="n">
        <v>35217</v>
      </c>
      <c r="D481" s="72" t="n">
        <v>165.4</v>
      </c>
      <c r="E481" s="71" t="n">
        <v>38869</v>
      </c>
      <c r="F481" s="72" t="n">
        <v>195.3</v>
      </c>
      <c r="G481" s="71" t="n">
        <v>35217</v>
      </c>
      <c r="H481" s="72" t="n">
        <v>110.3</v>
      </c>
    </row>
    <row r="482">
      <c r="A482" s="71" t="n">
        <v>31594</v>
      </c>
      <c r="B482" s="72" t="n">
        <v>109.5</v>
      </c>
      <c r="C482" s="71" t="n">
        <v>35247</v>
      </c>
      <c r="D482" s="72" t="n">
        <v>165.7</v>
      </c>
      <c r="E482" s="71" t="n">
        <v>38899</v>
      </c>
      <c r="F482" s="72" t="n">
        <v>195.7</v>
      </c>
      <c r="G482" s="71" t="n">
        <v>35247</v>
      </c>
      <c r="H482" s="72" t="n">
        <v>110.1</v>
      </c>
    </row>
    <row r="483">
      <c r="A483" s="71" t="n">
        <v>31625</v>
      </c>
      <c r="B483" s="72" t="n">
        <v>109.6</v>
      </c>
      <c r="C483" s="71" t="n">
        <v>35278</v>
      </c>
      <c r="D483" s="72" t="n">
        <v>166</v>
      </c>
      <c r="E483" s="71" t="n">
        <v>38930</v>
      </c>
      <c r="F483" s="72" t="n">
        <v>196.2</v>
      </c>
      <c r="G483" s="71" t="n">
        <v>35278</v>
      </c>
      <c r="H483" s="72" t="n">
        <v>109.7</v>
      </c>
    </row>
    <row r="484">
      <c r="A484" s="71" t="n">
        <v>31656</v>
      </c>
      <c r="B484" s="72" t="n">
        <v>110</v>
      </c>
      <c r="C484" s="71" t="n">
        <v>35309</v>
      </c>
      <c r="D484" s="72" t="n">
        <v>166.5</v>
      </c>
      <c r="E484" s="71" t="n">
        <v>38961</v>
      </c>
      <c r="F484" s="72" t="n">
        <v>196.8</v>
      </c>
      <c r="G484" s="71" t="n">
        <v>35309</v>
      </c>
      <c r="H484" s="72" t="n">
        <v>109.8</v>
      </c>
    </row>
    <row r="485">
      <c r="A485" s="71" t="n">
        <v>31686</v>
      </c>
      <c r="B485" s="72" t="n">
        <v>110.2</v>
      </c>
      <c r="C485" s="71" t="n">
        <v>35339</v>
      </c>
      <c r="D485" s="72" t="n">
        <v>166.8</v>
      </c>
      <c r="E485" s="71" t="n">
        <v>38991</v>
      </c>
      <c r="F485" s="72" t="n">
        <v>197.4</v>
      </c>
      <c r="G485" s="71" t="n">
        <v>35339</v>
      </c>
      <c r="H485" s="72" t="n">
        <v>110.5</v>
      </c>
    </row>
    <row r="486">
      <c r="A486" s="71" t="n">
        <v>31717</v>
      </c>
      <c r="B486" s="72" t="n">
        <v>110.4</v>
      </c>
      <c r="C486" s="71" t="n">
        <v>35370</v>
      </c>
      <c r="D486" s="72" t="n">
        <v>167.2</v>
      </c>
      <c r="E486" s="71" t="n">
        <v>39022</v>
      </c>
      <c r="F486" s="72" t="n">
        <v>197.4</v>
      </c>
      <c r="G486" s="71" t="n">
        <v>35370</v>
      </c>
      <c r="H486" s="72" t="n">
        <v>111.8</v>
      </c>
    </row>
    <row r="487">
      <c r="A487" s="71" t="n">
        <v>31747</v>
      </c>
      <c r="B487" s="72" t="n">
        <v>110.8</v>
      </c>
      <c r="C487" s="71" t="n">
        <v>35400</v>
      </c>
      <c r="D487" s="72" t="n">
        <v>167.4</v>
      </c>
      <c r="E487" s="71" t="n">
        <v>39052</v>
      </c>
      <c r="F487" s="72" t="n">
        <v>197.5</v>
      </c>
      <c r="G487" s="71" t="n">
        <v>35400</v>
      </c>
      <c r="H487" s="72" t="n">
        <v>113.9</v>
      </c>
    </row>
    <row r="488">
      <c r="A488" s="71" t="n">
        <v>31778</v>
      </c>
      <c r="B488" s="72" t="n">
        <v>111.4</v>
      </c>
      <c r="C488" s="71" t="n">
        <v>35431</v>
      </c>
      <c r="D488" s="72" t="n">
        <v>167.8</v>
      </c>
      <c r="E488" s="71" t="n">
        <v>39083</v>
      </c>
      <c r="F488" s="72" t="n">
        <v>198.813</v>
      </c>
      <c r="G488" s="71" t="n">
        <v>35431</v>
      </c>
      <c r="H488" s="72" t="n">
        <v>115.2</v>
      </c>
    </row>
    <row r="489">
      <c r="A489" s="71" t="n">
        <v>31809</v>
      </c>
      <c r="B489" s="72" t="n">
        <v>111.8</v>
      </c>
      <c r="C489" s="71" t="n">
        <v>35462</v>
      </c>
      <c r="D489" s="72" t="n">
        <v>168.1</v>
      </c>
      <c r="E489" s="71" t="n">
        <v>39114</v>
      </c>
      <c r="F489" s="72" t="n">
        <v>200.126</v>
      </c>
      <c r="G489" s="71" t="n">
        <v>35462</v>
      </c>
      <c r="H489" s="72" t="n">
        <v>115</v>
      </c>
    </row>
    <row r="490">
      <c r="A490" s="71" t="n">
        <v>31837</v>
      </c>
      <c r="B490" s="72" t="n">
        <v>112.2</v>
      </c>
      <c r="C490" s="71" t="n">
        <v>35490</v>
      </c>
      <c r="D490" s="72" t="n">
        <v>168.4</v>
      </c>
      <c r="E490" s="71" t="n">
        <v>39142</v>
      </c>
      <c r="F490" s="72" t="n">
        <v>200.853</v>
      </c>
      <c r="G490" s="71" t="n">
        <v>35490</v>
      </c>
      <c r="H490" s="72" t="n">
        <v>113</v>
      </c>
    </row>
    <row r="491">
      <c r="A491" s="71" t="n">
        <v>31868</v>
      </c>
      <c r="B491" s="72" t="n">
        <v>112.7</v>
      </c>
      <c r="C491" s="71" t="n">
        <v>35521</v>
      </c>
      <c r="D491" s="72" t="n">
        <v>168.9</v>
      </c>
      <c r="E491" s="71" t="n">
        <v>39173</v>
      </c>
      <c r="F491" s="72" t="n">
        <v>201.392</v>
      </c>
      <c r="G491" s="71" t="n">
        <v>35521</v>
      </c>
      <c r="H491" s="72" t="n">
        <v>111</v>
      </c>
    </row>
    <row r="492">
      <c r="A492" s="71" t="n">
        <v>31898</v>
      </c>
      <c r="B492" s="72" t="n">
        <v>113</v>
      </c>
      <c r="C492" s="71" t="n">
        <v>35551</v>
      </c>
      <c r="D492" s="72" t="n">
        <v>169.2</v>
      </c>
      <c r="E492" s="71" t="n">
        <v>39203</v>
      </c>
      <c r="F492" s="72" t="n">
        <v>202.157</v>
      </c>
      <c r="G492" s="71" t="n">
        <v>35551</v>
      </c>
      <c r="H492" s="72" t="n">
        <v>108.8</v>
      </c>
    </row>
    <row r="493">
      <c r="A493" s="71" t="n">
        <v>31929</v>
      </c>
      <c r="B493" s="72" t="n">
        <v>113.5</v>
      </c>
      <c r="C493" s="71" t="n">
        <v>35582</v>
      </c>
      <c r="D493" s="72" t="n">
        <v>169.4</v>
      </c>
      <c r="E493" s="71" t="n">
        <v>39234</v>
      </c>
      <c r="F493" s="72" t="n">
        <v>202.977</v>
      </c>
      <c r="G493" s="71" t="n">
        <v>35582</v>
      </c>
      <c r="H493" s="72" t="n">
        <v>110</v>
      </c>
    </row>
    <row r="494">
      <c r="A494" s="71" t="n">
        <v>31959</v>
      </c>
      <c r="B494" s="72" t="n">
        <v>113.8</v>
      </c>
      <c r="C494" s="71" t="n">
        <v>35612</v>
      </c>
      <c r="D494" s="72" t="n">
        <v>169.7</v>
      </c>
      <c r="E494" s="71" t="n">
        <v>39264</v>
      </c>
      <c r="F494" s="72" t="n">
        <v>203.64</v>
      </c>
      <c r="G494" s="71" t="n">
        <v>35612</v>
      </c>
      <c r="H494" s="72" t="n">
        <v>109.1</v>
      </c>
    </row>
    <row r="495">
      <c r="A495" s="71" t="n">
        <v>31990</v>
      </c>
      <c r="B495" s="72" t="n">
        <v>114.3</v>
      </c>
      <c r="C495" s="71" t="n">
        <v>35643</v>
      </c>
      <c r="D495" s="72" t="n">
        <v>169.8</v>
      </c>
      <c r="E495" s="71" t="n">
        <v>39295</v>
      </c>
      <c r="F495" s="72" t="n">
        <v>204.418</v>
      </c>
      <c r="G495" s="71" t="n">
        <v>35643</v>
      </c>
      <c r="H495" s="72" t="n">
        <v>110.9</v>
      </c>
    </row>
    <row r="496">
      <c r="A496" s="71" t="n">
        <v>32021</v>
      </c>
      <c r="B496" s="72" t="n">
        <v>114.7</v>
      </c>
      <c r="C496" s="71" t="n">
        <v>35674</v>
      </c>
      <c r="D496" s="72" t="n">
        <v>170.2</v>
      </c>
      <c r="E496" s="71" t="n">
        <v>39326</v>
      </c>
      <c r="F496" s="72" t="n">
        <v>205.347</v>
      </c>
      <c r="G496" s="71" t="n">
        <v>35674</v>
      </c>
      <c r="H496" s="72" t="n">
        <v>112.4</v>
      </c>
    </row>
    <row r="497">
      <c r="A497" s="71" t="n">
        <v>32051</v>
      </c>
      <c r="B497" s="72" t="n">
        <v>115</v>
      </c>
      <c r="C497" s="71" t="n">
        <v>35704</v>
      </c>
      <c r="D497" s="72" t="n">
        <v>170.6</v>
      </c>
      <c r="E497" s="71" t="n">
        <v>39356</v>
      </c>
      <c r="F497" s="72" t="n">
        <v>205.988</v>
      </c>
      <c r="G497" s="71" t="n">
        <v>35704</v>
      </c>
      <c r="H497" s="72" t="n">
        <v>111.8</v>
      </c>
    </row>
    <row r="498">
      <c r="A498" s="71" t="n">
        <v>32082</v>
      </c>
      <c r="B498" s="72" t="n">
        <v>115.4</v>
      </c>
      <c r="C498" s="71" t="n">
        <v>35735</v>
      </c>
      <c r="D498" s="72" t="n">
        <v>170.8</v>
      </c>
      <c r="E498" s="71" t="n">
        <v>39387</v>
      </c>
      <c r="F498" s="72" t="n">
        <v>206.789</v>
      </c>
      <c r="G498" s="71" t="n">
        <v>35735</v>
      </c>
      <c r="H498" s="72" t="n">
        <v>111.4</v>
      </c>
    </row>
    <row r="499">
      <c r="A499" s="71" t="n">
        <v>32112</v>
      </c>
      <c r="B499" s="72" t="n">
        <v>115.6</v>
      </c>
      <c r="C499" s="71" t="n">
        <v>35765</v>
      </c>
      <c r="D499" s="72" t="n">
        <v>171.2</v>
      </c>
      <c r="E499" s="71" t="n">
        <v>39417</v>
      </c>
      <c r="F499" s="72" t="n">
        <v>207.141</v>
      </c>
      <c r="G499" s="71" t="n">
        <v>35765</v>
      </c>
      <c r="H499" s="72" t="n">
        <v>109.8</v>
      </c>
    </row>
    <row r="500">
      <c r="A500" s="71" t="n">
        <v>32143</v>
      </c>
      <c r="B500" s="72" t="n">
        <v>116</v>
      </c>
      <c r="C500" s="71" t="n">
        <v>35796</v>
      </c>
      <c r="D500" s="72" t="n">
        <v>171.6</v>
      </c>
      <c r="E500" s="71" t="n">
        <v>39448</v>
      </c>
      <c r="F500" s="72" t="n">
        <v>208.392</v>
      </c>
      <c r="G500" s="71" t="n">
        <v>35796</v>
      </c>
      <c r="H500" s="72" t="n">
        <v>107.5</v>
      </c>
    </row>
    <row r="501">
      <c r="A501" s="71" t="n">
        <v>32174</v>
      </c>
      <c r="B501" s="72" t="n">
        <v>116.2</v>
      </c>
      <c r="C501" s="71" t="n">
        <v>35827</v>
      </c>
      <c r="D501" s="72" t="n">
        <v>171.9</v>
      </c>
      <c r="E501" s="71" t="n">
        <v>39479</v>
      </c>
      <c r="F501" s="72" t="n">
        <v>209.183</v>
      </c>
      <c r="G501" s="71" t="n">
        <v>35827</v>
      </c>
      <c r="H501" s="72" t="n">
        <v>105.1</v>
      </c>
    </row>
    <row r="502">
      <c r="A502" s="71" t="n">
        <v>32203</v>
      </c>
      <c r="B502" s="72" t="n">
        <v>116.5</v>
      </c>
      <c r="C502" s="71" t="n">
        <v>35855</v>
      </c>
      <c r="D502" s="72" t="n">
        <v>172.2</v>
      </c>
      <c r="E502" s="71" t="n">
        <v>39508</v>
      </c>
      <c r="F502" s="72" t="n">
        <v>209.595</v>
      </c>
      <c r="G502" s="71" t="n">
        <v>35855</v>
      </c>
      <c r="H502" s="72" t="n">
        <v>103.3</v>
      </c>
    </row>
    <row r="503">
      <c r="A503" s="71" t="n">
        <v>32234</v>
      </c>
      <c r="B503" s="72" t="n">
        <v>117.2</v>
      </c>
      <c r="C503" s="71" t="n">
        <v>35886</v>
      </c>
      <c r="D503" s="72" t="n">
        <v>172.5</v>
      </c>
      <c r="E503" s="71" t="n">
        <v>39539</v>
      </c>
      <c r="F503" s="72" t="n">
        <v>211.368</v>
      </c>
      <c r="G503" s="71" t="n">
        <v>35886</v>
      </c>
      <c r="H503" s="72" t="n">
        <v>102.4</v>
      </c>
    </row>
    <row r="504">
      <c r="A504" s="71" t="n">
        <v>32264</v>
      </c>
      <c r="B504" s="72" t="n">
        <v>117.5</v>
      </c>
      <c r="C504" s="71" t="n">
        <v>35916</v>
      </c>
      <c r="D504" s="72" t="n">
        <v>172.9</v>
      </c>
      <c r="E504" s="71" t="n">
        <v>39569</v>
      </c>
      <c r="F504" s="72" t="n">
        <v>212.204</v>
      </c>
      <c r="G504" s="71" t="n">
        <v>35916</v>
      </c>
      <c r="H504" s="72" t="n">
        <v>103.2</v>
      </c>
    </row>
    <row r="505">
      <c r="A505" s="71" t="n">
        <v>32295</v>
      </c>
      <c r="B505" s="72" t="n">
        <v>118</v>
      </c>
      <c r="C505" s="71" t="n">
        <v>35947</v>
      </c>
      <c r="D505" s="72" t="n">
        <v>173.2</v>
      </c>
      <c r="E505" s="71" t="n">
        <v>39600</v>
      </c>
      <c r="F505" s="72" t="n">
        <v>213.452</v>
      </c>
      <c r="G505" s="71" t="n">
        <v>35947</v>
      </c>
      <c r="H505" s="72" t="n">
        <v>103.6</v>
      </c>
    </row>
    <row r="506">
      <c r="A506" s="71" t="n">
        <v>32325</v>
      </c>
      <c r="B506" s="72" t="n">
        <v>118.5</v>
      </c>
      <c r="C506" s="71" t="n">
        <v>35977</v>
      </c>
      <c r="D506" s="72" t="n">
        <v>173.5</v>
      </c>
      <c r="E506" s="71" t="n">
        <v>39630</v>
      </c>
      <c r="F506" s="72" t="n">
        <v>215.449</v>
      </c>
      <c r="G506" s="71" t="n">
        <v>35977</v>
      </c>
      <c r="H506" s="72" t="n">
        <v>103.3</v>
      </c>
    </row>
    <row r="507">
      <c r="A507" s="71" t="n">
        <v>32356</v>
      </c>
      <c r="B507" s="72" t="n">
        <v>119</v>
      </c>
      <c r="C507" s="71" t="n">
        <v>36008</v>
      </c>
      <c r="D507" s="72" t="n">
        <v>174</v>
      </c>
      <c r="E507" s="71" t="n">
        <v>39661</v>
      </c>
      <c r="F507" s="72" t="n">
        <v>216.53</v>
      </c>
      <c r="G507" s="71" t="n">
        <v>36008</v>
      </c>
      <c r="H507" s="72" t="n">
        <v>102.1</v>
      </c>
    </row>
    <row r="508">
      <c r="A508" s="71" t="n">
        <v>32387</v>
      </c>
      <c r="B508" s="72" t="n">
        <v>119.5</v>
      </c>
      <c r="C508" s="71" t="n">
        <v>36039</v>
      </c>
      <c r="D508" s="72" t="n">
        <v>174.2</v>
      </c>
      <c r="E508" s="71" t="n">
        <v>39692</v>
      </c>
      <c r="F508" s="72" t="n">
        <v>217.749</v>
      </c>
      <c r="G508" s="71" t="n">
        <v>36039</v>
      </c>
      <c r="H508" s="72" t="n">
        <v>101.3</v>
      </c>
    </row>
    <row r="509">
      <c r="A509" s="71" t="n">
        <v>32417</v>
      </c>
      <c r="B509" s="72" t="n">
        <v>119.9</v>
      </c>
      <c r="C509" s="71" t="n">
        <v>36069</v>
      </c>
      <c r="D509" s="72" t="n">
        <v>174.4</v>
      </c>
      <c r="E509" s="71" t="n">
        <v>39722</v>
      </c>
      <c r="F509" s="72" t="n">
        <v>218.632</v>
      </c>
      <c r="G509" s="71" t="n">
        <v>36069</v>
      </c>
      <c r="H509" s="72" t="n">
        <v>101.5</v>
      </c>
    </row>
    <row r="510">
      <c r="A510" s="71" t="n">
        <v>32448</v>
      </c>
      <c r="B510" s="72" t="n">
        <v>120.3</v>
      </c>
      <c r="C510" s="71" t="n">
        <v>36100</v>
      </c>
      <c r="D510" s="72" t="n">
        <v>174.8</v>
      </c>
      <c r="E510" s="71" t="n">
        <v>39753</v>
      </c>
      <c r="F510" s="72" t="n">
        <v>219.079</v>
      </c>
      <c r="G510" s="71" t="n">
        <v>36100</v>
      </c>
      <c r="H510" s="72" t="n">
        <v>101.1</v>
      </c>
    </row>
    <row r="511">
      <c r="A511" s="71" t="n">
        <v>32478</v>
      </c>
      <c r="B511" s="72" t="n">
        <v>120.7</v>
      </c>
      <c r="C511" s="71" t="n">
        <v>36130</v>
      </c>
      <c r="D511" s="72" t="n">
        <v>175.4</v>
      </c>
      <c r="E511" s="71" t="n">
        <v>39783</v>
      </c>
      <c r="F511" s="72" t="n">
        <v>219.151</v>
      </c>
      <c r="G511" s="71" t="n">
        <v>36130</v>
      </c>
      <c r="H511" s="72" t="n">
        <v>100.1</v>
      </c>
    </row>
    <row r="512">
      <c r="A512" s="71" t="n">
        <v>32509</v>
      </c>
      <c r="B512" s="72" t="n">
        <v>121.2</v>
      </c>
      <c r="C512" s="71" t="n">
        <v>36161</v>
      </c>
      <c r="D512" s="72" t="n">
        <v>175.6</v>
      </c>
      <c r="E512" s="71" t="n">
        <v>39814</v>
      </c>
      <c r="F512" s="72" t="n">
        <v>219.323</v>
      </c>
      <c r="G512" s="71" t="n">
        <v>36161</v>
      </c>
      <c r="H512" s="72" t="n">
        <v>99.7</v>
      </c>
    </row>
    <row r="513">
      <c r="A513" s="71" t="n">
        <v>32540</v>
      </c>
      <c r="B513" s="72" t="n">
        <v>121.6</v>
      </c>
      <c r="C513" s="71" t="n">
        <v>36192</v>
      </c>
      <c r="D513" s="72" t="n">
        <v>175.6</v>
      </c>
      <c r="E513" s="71" t="n">
        <v>39845</v>
      </c>
      <c r="F513" s="72" t="n">
        <v>219.058</v>
      </c>
      <c r="G513" s="71" t="n">
        <v>36192</v>
      </c>
      <c r="H513" s="72" t="n">
        <v>99.2</v>
      </c>
    </row>
    <row r="514">
      <c r="A514" s="71" t="n">
        <v>32568</v>
      </c>
      <c r="B514" s="72" t="n">
        <v>122.2</v>
      </c>
      <c r="C514" s="71" t="n">
        <v>36220</v>
      </c>
      <c r="D514" s="72" t="n">
        <v>175.7</v>
      </c>
      <c r="E514" s="71" t="n">
        <v>39873</v>
      </c>
      <c r="F514" s="72" t="n">
        <v>218.682</v>
      </c>
      <c r="G514" s="71" t="n">
        <v>36220</v>
      </c>
      <c r="H514" s="72" t="n">
        <v>100.4</v>
      </c>
    </row>
    <row r="515">
      <c r="A515" s="71" t="n">
        <v>32599</v>
      </c>
      <c r="B515" s="72" t="n">
        <v>123.1</v>
      </c>
      <c r="C515" s="71" t="n">
        <v>36251</v>
      </c>
      <c r="D515" s="72" t="n">
        <v>176.3</v>
      </c>
      <c r="E515" s="71" t="n">
        <v>39904</v>
      </c>
      <c r="F515" s="72" t="n">
        <v>218.372</v>
      </c>
      <c r="G515" s="71" t="n">
        <v>36251</v>
      </c>
      <c r="H515" s="72" t="n">
        <v>105.5</v>
      </c>
    </row>
    <row r="516">
      <c r="A516" s="71" t="n">
        <v>32629</v>
      </c>
      <c r="B516" s="72" t="n">
        <v>123.7</v>
      </c>
      <c r="C516" s="71" t="n">
        <v>36281</v>
      </c>
      <c r="D516" s="72" t="n">
        <v>176.5</v>
      </c>
      <c r="E516" s="71" t="n">
        <v>39934</v>
      </c>
      <c r="F516" s="72" t="n">
        <v>218.053</v>
      </c>
      <c r="G516" s="71" t="n">
        <v>36281</v>
      </c>
      <c r="H516" s="72" t="n">
        <v>104.9</v>
      </c>
    </row>
    <row r="517">
      <c r="A517" s="71" t="n">
        <v>32660</v>
      </c>
      <c r="B517" s="72" t="n">
        <v>124.1</v>
      </c>
      <c r="C517" s="71" t="n">
        <v>36312</v>
      </c>
      <c r="D517" s="72" t="n">
        <v>176.6</v>
      </c>
      <c r="E517" s="71" t="n">
        <v>39965</v>
      </c>
      <c r="F517" s="72" t="n">
        <v>218.092</v>
      </c>
      <c r="G517" s="71" t="n">
        <v>36312</v>
      </c>
      <c r="H517" s="72" t="n">
        <v>104.5</v>
      </c>
    </row>
    <row r="518">
      <c r="A518" s="71" t="n">
        <v>32690</v>
      </c>
      <c r="B518" s="72" t="n">
        <v>124.5</v>
      </c>
      <c r="C518" s="71" t="n">
        <v>36342</v>
      </c>
      <c r="D518" s="72" t="n">
        <v>177.1</v>
      </c>
      <c r="E518" s="71" t="n">
        <v>39995</v>
      </c>
      <c r="F518" s="72" t="n">
        <v>217.725</v>
      </c>
      <c r="G518" s="71" t="n">
        <v>36342</v>
      </c>
      <c r="H518" s="72" t="n">
        <v>106.7</v>
      </c>
    </row>
    <row r="519">
      <c r="A519" s="71" t="n">
        <v>32721</v>
      </c>
      <c r="B519" s="72" t="n">
        <v>124.5</v>
      </c>
      <c r="C519" s="71" t="n">
        <v>36373</v>
      </c>
      <c r="D519" s="72" t="n">
        <v>177.3</v>
      </c>
      <c r="E519" s="71" t="n">
        <v>40026</v>
      </c>
      <c r="F519" s="72" t="n">
        <v>217.738</v>
      </c>
      <c r="G519" s="71" t="n">
        <v>36373</v>
      </c>
      <c r="H519" s="72" t="n">
        <v>109.5</v>
      </c>
    </row>
    <row r="520">
      <c r="A520" s="71" t="n">
        <v>32752</v>
      </c>
      <c r="B520" s="72" t="n">
        <v>124.8</v>
      </c>
      <c r="C520" s="71" t="n">
        <v>36404</v>
      </c>
      <c r="D520" s="72" t="n">
        <v>177.8</v>
      </c>
      <c r="E520" s="71" t="n">
        <v>40057</v>
      </c>
      <c r="F520" s="72" t="n">
        <v>217.664</v>
      </c>
      <c r="G520" s="71" t="n">
        <v>36404</v>
      </c>
      <c r="H520" s="72" t="n">
        <v>111.8</v>
      </c>
    </row>
    <row r="521">
      <c r="A521" s="71" t="n">
        <v>32782</v>
      </c>
      <c r="B521" s="72" t="n">
        <v>125.4</v>
      </c>
      <c r="C521" s="71" t="n">
        <v>36434</v>
      </c>
      <c r="D521" s="72" t="n">
        <v>178.1</v>
      </c>
      <c r="E521" s="71" t="n">
        <v>40087</v>
      </c>
      <c r="F521" s="72" t="n">
        <v>217.881</v>
      </c>
      <c r="G521" s="71" t="n">
        <v>36434</v>
      </c>
      <c r="H521" s="72" t="n">
        <v>112</v>
      </c>
    </row>
    <row r="522">
      <c r="A522" s="71" t="n">
        <v>32813</v>
      </c>
      <c r="B522" s="72" t="n">
        <v>125.9</v>
      </c>
      <c r="C522" s="71" t="n">
        <v>36465</v>
      </c>
      <c r="D522" s="72" t="n">
        <v>178.4</v>
      </c>
      <c r="E522" s="71" t="n">
        <v>40118</v>
      </c>
      <c r="F522" s="72" t="n">
        <v>218.055</v>
      </c>
      <c r="G522" s="71" t="n">
        <v>36465</v>
      </c>
      <c r="H522" s="72" t="n">
        <v>111.5</v>
      </c>
    </row>
    <row r="523">
      <c r="A523" s="71" t="n">
        <v>32843</v>
      </c>
      <c r="B523" s="72" t="n">
        <v>126.3</v>
      </c>
      <c r="C523" s="71" t="n">
        <v>36495</v>
      </c>
      <c r="D523" s="72" t="n">
        <v>178.7</v>
      </c>
      <c r="E523" s="71" t="n">
        <v>40148</v>
      </c>
      <c r="F523" s="72" t="n">
        <v>218.341</v>
      </c>
      <c r="G523" s="71" t="n">
        <v>36495</v>
      </c>
      <c r="H523" s="72" t="n">
        <v>113.8</v>
      </c>
    </row>
    <row r="524">
      <c r="A524" s="71" t="n">
        <v>32874</v>
      </c>
      <c r="B524" s="72" t="n">
        <v>127.5</v>
      </c>
      <c r="C524" s="71" t="n">
        <v>36526</v>
      </c>
      <c r="D524" s="72" t="n">
        <v>179.3</v>
      </c>
      <c r="E524" s="71" t="n">
        <v>40179</v>
      </c>
      <c r="F524" s="72" t="n">
        <v>218.855</v>
      </c>
      <c r="G524" s="71" t="n">
        <v>36526</v>
      </c>
      <c r="H524" s="72" t="n">
        <v>115</v>
      </c>
    </row>
    <row r="525">
      <c r="A525" s="71" t="n">
        <v>32905</v>
      </c>
      <c r="B525" s="72" t="n">
        <v>128</v>
      </c>
      <c r="C525" s="71" t="n">
        <v>36557</v>
      </c>
      <c r="D525" s="72" t="n">
        <v>179.4</v>
      </c>
      <c r="E525" s="71" t="n">
        <v>40210</v>
      </c>
      <c r="F525" s="72" t="n">
        <v>218.898</v>
      </c>
      <c r="G525" s="71" t="n">
        <v>36557</v>
      </c>
      <c r="H525" s="72" t="n">
        <v>118.8</v>
      </c>
    </row>
    <row r="526">
      <c r="A526" s="71" t="n">
        <v>32933</v>
      </c>
      <c r="B526" s="72" t="n">
        <v>128.6</v>
      </c>
      <c r="C526" s="71" t="n">
        <v>36586</v>
      </c>
      <c r="D526" s="72" t="n">
        <v>180</v>
      </c>
      <c r="E526" s="71" t="n">
        <v>40238</v>
      </c>
      <c r="F526" s="72" t="n">
        <v>219.321</v>
      </c>
      <c r="G526" s="71" t="n">
        <v>36586</v>
      </c>
      <c r="H526" s="72" t="n">
        <v>124.3</v>
      </c>
    </row>
    <row r="527">
      <c r="A527" s="71" t="n">
        <v>32964</v>
      </c>
      <c r="B527" s="72" t="n">
        <v>128.9</v>
      </c>
      <c r="C527" s="71" t="n">
        <v>36617</v>
      </c>
      <c r="D527" s="72" t="n">
        <v>180.3</v>
      </c>
      <c r="E527" s="71" t="n">
        <v>40269</v>
      </c>
      <c r="F527" s="72" t="n">
        <v>219.531</v>
      </c>
      <c r="G527" s="71" t="n">
        <v>36617</v>
      </c>
      <c r="H527" s="72" t="n">
        <v>120.9</v>
      </c>
    </row>
    <row r="528">
      <c r="A528" s="71" t="n">
        <v>32994</v>
      </c>
      <c r="B528" s="72" t="n">
        <v>129.1</v>
      </c>
      <c r="C528" s="71" t="n">
        <v>36647</v>
      </c>
      <c r="D528" s="72" t="n">
        <v>180.7</v>
      </c>
      <c r="E528" s="71" t="n">
        <v>40299</v>
      </c>
      <c r="F528" s="72" t="n">
        <v>219.651</v>
      </c>
      <c r="G528" s="71" t="n">
        <v>36647</v>
      </c>
      <c r="H528" s="72" t="n">
        <v>120</v>
      </c>
    </row>
    <row r="529">
      <c r="A529" s="71" t="n">
        <v>33025</v>
      </c>
      <c r="B529" s="72" t="n">
        <v>129.9</v>
      </c>
      <c r="C529" s="71" t="n">
        <v>36678</v>
      </c>
      <c r="D529" s="72" t="n">
        <v>181.1</v>
      </c>
      <c r="E529" s="71" t="n">
        <v>40330</v>
      </c>
      <c r="F529" s="72" t="n">
        <v>219.627</v>
      </c>
      <c r="G529" s="71" t="n">
        <v>36678</v>
      </c>
      <c r="H529" s="72" t="n">
        <v>126.8</v>
      </c>
    </row>
    <row r="530">
      <c r="A530" s="71" t="n">
        <v>33055</v>
      </c>
      <c r="B530" s="72" t="n">
        <v>130.5</v>
      </c>
      <c r="C530" s="71" t="n">
        <v>36708</v>
      </c>
      <c r="D530" s="72" t="n">
        <v>181.5</v>
      </c>
      <c r="E530" s="71" t="n">
        <v>40360</v>
      </c>
      <c r="F530" s="72" t="n">
        <v>219.643</v>
      </c>
      <c r="G530" s="71" t="n">
        <v>36708</v>
      </c>
      <c r="H530" s="72" t="n">
        <v>127.3</v>
      </c>
    </row>
    <row r="531">
      <c r="A531" s="71" t="n">
        <v>33086</v>
      </c>
      <c r="B531" s="72" t="n">
        <v>131.6</v>
      </c>
      <c r="C531" s="71" t="n">
        <v>36739</v>
      </c>
      <c r="D531" s="72" t="n">
        <v>181.9</v>
      </c>
      <c r="E531" s="71" t="n">
        <v>40391</v>
      </c>
      <c r="F531" s="72" t="n">
        <v>219.879</v>
      </c>
      <c r="G531" s="71" t="n">
        <v>36739</v>
      </c>
      <c r="H531" s="72" t="n">
        <v>123.8</v>
      </c>
    </row>
    <row r="532">
      <c r="A532" s="71" t="n">
        <v>33117</v>
      </c>
      <c r="B532" s="72" t="n">
        <v>132.5</v>
      </c>
      <c r="C532" s="71" t="n">
        <v>36770</v>
      </c>
      <c r="D532" s="72" t="n">
        <v>182.3</v>
      </c>
      <c r="E532" s="71" t="n">
        <v>40422</v>
      </c>
      <c r="F532" s="72" t="n">
        <v>220.598</v>
      </c>
      <c r="G532" s="71" t="n">
        <v>36770</v>
      </c>
      <c r="H532" s="72" t="n">
        <v>129.2</v>
      </c>
    </row>
    <row r="533">
      <c r="A533" s="71" t="n">
        <v>33147</v>
      </c>
      <c r="B533" s="72" t="n">
        <v>133.4</v>
      </c>
      <c r="C533" s="71" t="n">
        <v>36800</v>
      </c>
      <c r="D533" s="72" t="n">
        <v>182.6</v>
      </c>
      <c r="E533" s="71" t="n">
        <v>40452</v>
      </c>
      <c r="F533" s="72" t="n">
        <v>220.911</v>
      </c>
      <c r="G533" s="71" t="n">
        <v>36800</v>
      </c>
      <c r="H533" s="72" t="n">
        <v>129.6</v>
      </c>
    </row>
    <row r="534">
      <c r="A534" s="71" t="n">
        <v>33178</v>
      </c>
      <c r="B534" s="72" t="n">
        <v>133.7</v>
      </c>
      <c r="C534" s="71" t="n">
        <v>36831</v>
      </c>
      <c r="D534" s="72" t="n">
        <v>183.1</v>
      </c>
      <c r="E534" s="71" t="n">
        <v>40483</v>
      </c>
      <c r="F534" s="72" t="n">
        <v>221.315</v>
      </c>
      <c r="G534" s="71" t="n">
        <v>36831</v>
      </c>
      <c r="H534" s="72" t="n">
        <v>129.2</v>
      </c>
    </row>
    <row r="535">
      <c r="A535" s="71" t="n">
        <v>33208</v>
      </c>
      <c r="B535" s="72" t="n">
        <v>134.2</v>
      </c>
      <c r="C535" s="71" t="n">
        <v>36861</v>
      </c>
      <c r="D535" s="72" t="n">
        <v>183.3</v>
      </c>
      <c r="E535" s="71" t="n">
        <v>40513</v>
      </c>
      <c r="F535" s="72" t="n">
        <v>221.556</v>
      </c>
      <c r="G535" s="71" t="n">
        <v>36861</v>
      </c>
      <c r="H535" s="72" t="n">
        <v>130.1</v>
      </c>
    </row>
    <row r="536">
      <c r="A536" s="71" t="n">
        <v>33239</v>
      </c>
      <c r="B536" s="72" t="n">
        <v>134.7</v>
      </c>
      <c r="C536" s="71" t="n">
        <v>36892</v>
      </c>
      <c r="D536" s="72" t="n">
        <v>183.9</v>
      </c>
      <c r="E536" s="71" t="n">
        <v>40544</v>
      </c>
      <c r="F536" s="72" t="n">
        <v>222.735</v>
      </c>
      <c r="G536" s="71" t="n">
        <v>36892</v>
      </c>
      <c r="H536" s="72" t="n">
        <v>135</v>
      </c>
    </row>
    <row r="537">
      <c r="A537" s="71" t="n">
        <v>33270</v>
      </c>
      <c r="B537" s="72" t="n">
        <v>134.8</v>
      </c>
      <c r="C537" s="71" t="n">
        <v>36923</v>
      </c>
      <c r="D537" s="72" t="n">
        <v>184.4</v>
      </c>
      <c r="E537" s="71" t="n">
        <v>40575</v>
      </c>
      <c r="F537" s="72" t="n">
        <v>223.734</v>
      </c>
      <c r="G537" s="71" t="n">
        <v>36923</v>
      </c>
      <c r="H537" s="72" t="n">
        <v>134.1</v>
      </c>
    </row>
    <row r="538">
      <c r="A538" s="71" t="n">
        <v>33298</v>
      </c>
      <c r="B538" s="72" t="n">
        <v>134.8</v>
      </c>
      <c r="C538" s="71" t="n">
        <v>36951</v>
      </c>
      <c r="D538" s="72" t="n">
        <v>184.7</v>
      </c>
      <c r="E538" s="71" t="n">
        <v>40603</v>
      </c>
      <c r="F538" s="72" t="n">
        <v>225.337</v>
      </c>
      <c r="G538" s="71" t="n">
        <v>36951</v>
      </c>
      <c r="H538" s="72" t="n">
        <v>131.7</v>
      </c>
    </row>
    <row r="539">
      <c r="A539" s="71" t="n">
        <v>33329</v>
      </c>
      <c r="B539" s="72" t="n">
        <v>135.1</v>
      </c>
      <c r="C539" s="71" t="n">
        <v>36982</v>
      </c>
      <c r="D539" s="72" t="n">
        <v>185.1</v>
      </c>
      <c r="E539" s="71" t="n">
        <v>40634</v>
      </c>
      <c r="F539" s="72" t="n">
        <v>226.18</v>
      </c>
      <c r="G539" s="71" t="n">
        <v>36982</v>
      </c>
      <c r="H539" s="72" t="n">
        <v>132.3</v>
      </c>
    </row>
    <row r="540">
      <c r="A540" s="71" t="n">
        <v>33359</v>
      </c>
      <c r="B540" s="72" t="n">
        <v>135.6</v>
      </c>
      <c r="C540" s="71" t="n">
        <v>37012</v>
      </c>
      <c r="D540" s="72" t="n">
        <v>185.3</v>
      </c>
      <c r="E540" s="71" t="n">
        <v>40664</v>
      </c>
      <c r="F540" s="72" t="n">
        <v>227.045</v>
      </c>
      <c r="G540" s="71" t="n">
        <v>37012</v>
      </c>
      <c r="H540" s="72" t="n">
        <v>138.4</v>
      </c>
    </row>
    <row r="541">
      <c r="A541" s="71" t="n">
        <v>33390</v>
      </c>
      <c r="B541" s="72" t="n">
        <v>136</v>
      </c>
      <c r="C541" s="71" t="n">
        <v>37043</v>
      </c>
      <c r="D541" s="72" t="n">
        <v>186</v>
      </c>
      <c r="E541" s="71" t="n">
        <v>40695</v>
      </c>
      <c r="F541" s="72" t="n">
        <v>227.603</v>
      </c>
      <c r="G541" s="71" t="n">
        <v>37043</v>
      </c>
      <c r="H541" s="72" t="n">
        <v>136.9</v>
      </c>
    </row>
    <row r="542">
      <c r="A542" s="71" t="n">
        <v>33420</v>
      </c>
      <c r="B542" s="72" t="n">
        <v>136.2</v>
      </c>
      <c r="C542" s="71" t="n">
        <v>37073</v>
      </c>
      <c r="D542" s="72" t="n">
        <v>186.4</v>
      </c>
      <c r="E542" s="71" t="n">
        <v>40725</v>
      </c>
      <c r="F542" s="72" t="n">
        <v>228.473</v>
      </c>
      <c r="G542" s="71" t="n">
        <v>37073</v>
      </c>
      <c r="H542" s="72" t="n">
        <v>129.6</v>
      </c>
    </row>
    <row r="543">
      <c r="A543" s="71" t="n">
        <v>33451</v>
      </c>
      <c r="B543" s="72" t="n">
        <v>136.6</v>
      </c>
      <c r="C543" s="71" t="n">
        <v>37104</v>
      </c>
      <c r="D543" s="72" t="n">
        <v>186.7</v>
      </c>
      <c r="E543" s="71" t="n">
        <v>40756</v>
      </c>
      <c r="F543" s="72" t="n">
        <v>229.577</v>
      </c>
      <c r="G543" s="71" t="n">
        <v>37104</v>
      </c>
      <c r="H543" s="72" t="n">
        <v>127.3</v>
      </c>
    </row>
    <row r="544">
      <c r="A544" s="71" t="n">
        <v>33482</v>
      </c>
      <c r="B544" s="72" t="n">
        <v>137</v>
      </c>
      <c r="C544" s="71" t="n">
        <v>37135</v>
      </c>
      <c r="D544" s="72" t="n">
        <v>187.1</v>
      </c>
      <c r="E544" s="71" t="n">
        <v>40787</v>
      </c>
      <c r="F544" s="72" t="n">
        <v>230.561</v>
      </c>
      <c r="G544" s="71" t="n">
        <v>37135</v>
      </c>
      <c r="H544" s="72" t="n">
        <v>130.9</v>
      </c>
    </row>
    <row r="545">
      <c r="A545" s="71" t="n">
        <v>33512</v>
      </c>
      <c r="B545" s="72" t="n">
        <v>137.2</v>
      </c>
      <c r="C545" s="71" t="n">
        <v>37165</v>
      </c>
      <c r="D545" s="72" t="n">
        <v>187.4</v>
      </c>
      <c r="E545" s="71" t="n">
        <v>40817</v>
      </c>
      <c r="F545" s="72" t="n">
        <v>230.776</v>
      </c>
      <c r="G545" s="71" t="n">
        <v>37165</v>
      </c>
      <c r="H545" s="72" t="n">
        <v>122.9</v>
      </c>
    </row>
    <row r="546">
      <c r="A546" s="71" t="n">
        <v>33543</v>
      </c>
      <c r="B546" s="72" t="n">
        <v>137.8</v>
      </c>
      <c r="C546" s="71" t="n">
        <v>37196</v>
      </c>
      <c r="D546" s="72" t="n">
        <v>188.1</v>
      </c>
      <c r="E546" s="71" t="n">
        <v>40848</v>
      </c>
      <c r="F546" s="72" t="n">
        <v>230.976</v>
      </c>
      <c r="G546" s="71" t="n">
        <v>37196</v>
      </c>
      <c r="H546" s="72" t="n">
        <v>116.9</v>
      </c>
    </row>
    <row r="547">
      <c r="A547" s="71" t="n">
        <v>33573</v>
      </c>
      <c r="B547" s="72" t="n">
        <v>138.2</v>
      </c>
      <c r="C547" s="71" t="n">
        <v>37226</v>
      </c>
      <c r="D547" s="72" t="n">
        <v>188.4</v>
      </c>
      <c r="E547" s="71" t="n">
        <v>40878</v>
      </c>
      <c r="F547" s="72" t="n">
        <v>231.392</v>
      </c>
      <c r="G547" s="71" t="n">
        <v>37226</v>
      </c>
      <c r="H547" s="72" t="n">
        <v>113.9</v>
      </c>
    </row>
    <row r="548">
      <c r="A548" s="71" t="n">
        <v>33604</v>
      </c>
      <c r="B548" s="72" t="n">
        <v>138.3</v>
      </c>
      <c r="C548" s="71" t="n">
        <v>37257</v>
      </c>
      <c r="D548" s="72" t="n">
        <v>188.7</v>
      </c>
      <c r="E548" s="71" t="n">
        <v>40909</v>
      </c>
      <c r="F548" s="72" t="n">
        <v>232.131</v>
      </c>
      <c r="G548" s="71" t="n">
        <v>37257</v>
      </c>
      <c r="H548" s="72" t="n">
        <v>114.2</v>
      </c>
    </row>
    <row r="549">
      <c r="A549" s="71" t="n">
        <v>33635</v>
      </c>
      <c r="B549" s="72" t="n">
        <v>138.6</v>
      </c>
      <c r="C549" s="71" t="n">
        <v>37288</v>
      </c>
      <c r="D549" s="72" t="n">
        <v>189.1</v>
      </c>
      <c r="E549" s="71" t="n">
        <v>40940</v>
      </c>
      <c r="F549" s="72" t="n">
        <v>232.103</v>
      </c>
      <c r="G549" s="71" t="n">
        <v>37288</v>
      </c>
      <c r="H549" s="72" t="n">
        <v>113.5</v>
      </c>
    </row>
    <row r="550">
      <c r="A550" s="71" t="n">
        <v>33664</v>
      </c>
      <c r="B550" s="72" t="n">
        <v>139.1</v>
      </c>
      <c r="C550" s="71" t="n">
        <v>37316</v>
      </c>
      <c r="D550" s="72" t="n">
        <v>189.2</v>
      </c>
      <c r="E550" s="71" t="n">
        <v>40969</v>
      </c>
      <c r="F550" s="72" t="n">
        <v>232.502</v>
      </c>
      <c r="G550" s="71" t="n">
        <v>37316</v>
      </c>
      <c r="H550" s="72" t="n">
        <v>117.6</v>
      </c>
    </row>
    <row r="551">
      <c r="A551" s="71" t="n">
        <v>33695</v>
      </c>
      <c r="B551" s="72" t="n">
        <v>139.4</v>
      </c>
      <c r="C551" s="71" t="n">
        <v>37347</v>
      </c>
      <c r="D551" s="72" t="n">
        <v>189.7</v>
      </c>
      <c r="E551" s="71" t="n">
        <v>41000</v>
      </c>
      <c r="F551" s="72" t="n">
        <v>232.934</v>
      </c>
      <c r="G551" s="71" t="n">
        <v>37347</v>
      </c>
      <c r="H551" s="72" t="n">
        <v>121.5</v>
      </c>
    </row>
    <row r="552">
      <c r="A552" s="71" t="n">
        <v>33725</v>
      </c>
      <c r="B552" s="72" t="n">
        <v>139.7</v>
      </c>
      <c r="C552" s="71" t="n">
        <v>37377</v>
      </c>
      <c r="D552" s="72" t="n">
        <v>190</v>
      </c>
      <c r="E552" s="71" t="n">
        <v>41030</v>
      </c>
      <c r="F552" s="72" t="n">
        <v>233.127</v>
      </c>
      <c r="G552" s="71" t="n">
        <v>37377</v>
      </c>
      <c r="H552" s="72" t="n">
        <v>121.9</v>
      </c>
    </row>
    <row r="553">
      <c r="A553" s="71" t="n">
        <v>33756</v>
      </c>
      <c r="B553" s="72" t="n">
        <v>140.1</v>
      </c>
      <c r="C553" s="71" t="n">
        <v>37408</v>
      </c>
      <c r="D553" s="72" t="n">
        <v>190.2</v>
      </c>
      <c r="E553" s="71" t="n">
        <v>41061</v>
      </c>
      <c r="F553" s="72" t="n">
        <v>233.624</v>
      </c>
      <c r="G553" s="71" t="n">
        <v>37408</v>
      </c>
      <c r="H553" s="72" t="n">
        <v>121.6</v>
      </c>
    </row>
    <row r="554">
      <c r="A554" s="71" t="n">
        <v>33786</v>
      </c>
      <c r="B554" s="72" t="n">
        <v>140.5</v>
      </c>
      <c r="C554" s="71" t="n">
        <v>37438</v>
      </c>
      <c r="D554" s="72" t="n">
        <v>190.5</v>
      </c>
      <c r="E554" s="71" t="n">
        <v>41091</v>
      </c>
      <c r="F554" s="72" t="n">
        <v>233.752</v>
      </c>
      <c r="G554" s="71" t="n">
        <v>37438</v>
      </c>
      <c r="H554" s="72" t="n">
        <v>122.4</v>
      </c>
    </row>
    <row r="555">
      <c r="A555" s="71" t="n">
        <v>33817</v>
      </c>
      <c r="B555" s="72" t="n">
        <v>140.8</v>
      </c>
      <c r="C555" s="71" t="n">
        <v>37469</v>
      </c>
      <c r="D555" s="72" t="n">
        <v>191.1</v>
      </c>
      <c r="E555" s="71" t="n">
        <v>41122</v>
      </c>
      <c r="F555" s="72" t="n">
        <v>234.108</v>
      </c>
      <c r="G555" s="71" t="n">
        <v>37469</v>
      </c>
      <c r="H555" s="72" t="n">
        <v>123.1</v>
      </c>
    </row>
    <row r="556">
      <c r="A556" s="71" t="n">
        <v>33848</v>
      </c>
      <c r="B556" s="72" t="n">
        <v>141.1</v>
      </c>
      <c r="C556" s="71" t="n">
        <v>37500</v>
      </c>
      <c r="D556" s="72" t="n">
        <v>191.3</v>
      </c>
      <c r="E556" s="71" t="n">
        <v>41153</v>
      </c>
      <c r="F556" s="72" t="n">
        <v>234.286</v>
      </c>
      <c r="G556" s="71" t="n">
        <v>37500</v>
      </c>
      <c r="H556" s="72" t="n">
        <v>123.7</v>
      </c>
    </row>
    <row r="557">
      <c r="A557" s="71" t="n">
        <v>33878</v>
      </c>
      <c r="B557" s="72" t="n">
        <v>141.7</v>
      </c>
      <c r="C557" s="71" t="n">
        <v>37530</v>
      </c>
      <c r="D557" s="72" t="n">
        <v>191.5</v>
      </c>
      <c r="E557" s="71" t="n">
        <v>41183</v>
      </c>
      <c r="F557" s="72" t="n">
        <v>234.694</v>
      </c>
      <c r="G557" s="71" t="n">
        <v>37530</v>
      </c>
      <c r="H557" s="72" t="n">
        <v>126.9</v>
      </c>
    </row>
    <row r="558">
      <c r="A558" s="71" t="n">
        <v>33909</v>
      </c>
      <c r="B558" s="72" t="n">
        <v>142.1</v>
      </c>
      <c r="C558" s="71" t="n">
        <v>37561</v>
      </c>
      <c r="D558" s="72" t="n">
        <v>191.9</v>
      </c>
      <c r="E558" s="71" t="n">
        <v>41214</v>
      </c>
      <c r="F558" s="72" t="n">
        <v>235.1</v>
      </c>
      <c r="G558" s="71" t="n">
        <v>37561</v>
      </c>
      <c r="H558" s="72" t="n">
        <v>126.7</v>
      </c>
    </row>
    <row r="559">
      <c r="A559" s="71" t="n">
        <v>33939</v>
      </c>
      <c r="B559" s="72" t="n">
        <v>142.3</v>
      </c>
      <c r="C559" s="71" t="n">
        <v>37591</v>
      </c>
      <c r="D559" s="72" t="n">
        <v>192.1</v>
      </c>
      <c r="E559" s="71" t="n">
        <v>41244</v>
      </c>
      <c r="F559" s="72" t="n">
        <v>235.521</v>
      </c>
      <c r="G559" s="71" t="n">
        <v>37591</v>
      </c>
      <c r="H559" s="72" t="n">
        <v>127.1</v>
      </c>
    </row>
    <row r="560">
      <c r="A560" s="71" t="n">
        <v>33970</v>
      </c>
      <c r="B560" s="72" t="n">
        <v>142.8</v>
      </c>
      <c r="C560" s="71" t="n">
        <v>37622</v>
      </c>
      <c r="D560" s="72" t="n">
        <v>192.4</v>
      </c>
      <c r="E560" s="71" t="n">
        <v>41275</v>
      </c>
      <c r="F560" s="72" t="n">
        <v>235.789</v>
      </c>
      <c r="G560" s="71" t="n">
        <v>37622</v>
      </c>
      <c r="H560" s="72" t="n">
        <v>133.5</v>
      </c>
    </row>
    <row r="561">
      <c r="A561" s="71" t="n">
        <v>34001</v>
      </c>
      <c r="B561" s="72" t="n">
        <v>143.1</v>
      </c>
      <c r="C561" s="71" t="n">
        <v>37653</v>
      </c>
      <c r="D561" s="72" t="n">
        <v>192.5</v>
      </c>
      <c r="E561" s="71" t="n">
        <v>41306</v>
      </c>
      <c r="F561" s="72" t="n">
        <v>235.897</v>
      </c>
      <c r="G561" s="71" t="n">
        <v>37653</v>
      </c>
      <c r="H561" s="72" t="n">
        <v>140.8</v>
      </c>
    </row>
    <row r="562">
      <c r="A562" s="71" t="n">
        <v>34029</v>
      </c>
      <c r="B562" s="72" t="n">
        <v>143.3</v>
      </c>
      <c r="C562" s="71" t="n">
        <v>37681</v>
      </c>
      <c r="D562" s="72" t="n">
        <v>192.5</v>
      </c>
      <c r="E562" s="71" t="n">
        <v>41334</v>
      </c>
      <c r="F562" s="72" t="n">
        <v>236.153</v>
      </c>
      <c r="G562" s="71" t="n">
        <v>37681</v>
      </c>
      <c r="H562" s="72" t="n">
        <v>143.9</v>
      </c>
    </row>
    <row r="563">
      <c r="A563" s="71" t="n">
        <v>34060</v>
      </c>
      <c r="B563" s="72" t="n">
        <v>143.8</v>
      </c>
      <c r="C563" s="71" t="n">
        <v>37712</v>
      </c>
      <c r="D563" s="72" t="n">
        <v>192.5</v>
      </c>
      <c r="E563" s="71" t="n">
        <v>41365</v>
      </c>
      <c r="F563" s="72" t="n">
        <v>236.624</v>
      </c>
      <c r="G563" s="71" t="n">
        <v>37712</v>
      </c>
      <c r="H563" s="72" t="n">
        <v>136.5</v>
      </c>
    </row>
    <row r="564">
      <c r="A564" s="71" t="n">
        <v>34090</v>
      </c>
      <c r="B564" s="72" t="n">
        <v>144.2</v>
      </c>
      <c r="C564" s="71" t="n">
        <v>37742</v>
      </c>
      <c r="D564" s="72" t="n">
        <v>192.9</v>
      </c>
      <c r="E564" s="71" t="n">
        <v>41395</v>
      </c>
      <c r="F564" s="72" t="n">
        <v>236.409</v>
      </c>
      <c r="G564" s="71" t="n">
        <v>37742</v>
      </c>
      <c r="H564" s="72" t="n">
        <v>129.4</v>
      </c>
    </row>
    <row r="565">
      <c r="A565" s="71" t="n">
        <v>34121</v>
      </c>
      <c r="B565" s="72" t="n">
        <v>144.3</v>
      </c>
      <c r="C565" s="71" t="n">
        <v>37773</v>
      </c>
      <c r="D565" s="72" t="n">
        <v>193</v>
      </c>
      <c r="E565" s="71" t="n">
        <v>41426</v>
      </c>
      <c r="F565" s="72" t="n">
        <v>236.899</v>
      </c>
      <c r="G565" s="71" t="n">
        <v>37773</v>
      </c>
      <c r="H565" s="72" t="n">
        <v>129.8</v>
      </c>
    </row>
    <row r="566">
      <c r="A566" s="71" t="n">
        <v>34151</v>
      </c>
      <c r="B566" s="72" t="n">
        <v>144.5</v>
      </c>
      <c r="C566" s="71" t="n">
        <v>37803</v>
      </c>
      <c r="D566" s="72" t="n">
        <v>193.4</v>
      </c>
      <c r="E566" s="71" t="n">
        <v>41456</v>
      </c>
      <c r="F566" s="72" t="n">
        <v>237.145</v>
      </c>
      <c r="G566" s="71" t="n">
        <v>37803</v>
      </c>
      <c r="H566" s="72" t="n">
        <v>132.2</v>
      </c>
    </row>
    <row r="567">
      <c r="A567" s="71" t="n">
        <v>34182</v>
      </c>
      <c r="B567" s="72" t="n">
        <v>144.8</v>
      </c>
      <c r="C567" s="71" t="n">
        <v>37834</v>
      </c>
      <c r="D567" s="72" t="n">
        <v>193.6</v>
      </c>
      <c r="E567" s="71" t="n">
        <v>41487</v>
      </c>
      <c r="F567" s="72" t="n">
        <v>237.415</v>
      </c>
      <c r="G567" s="71" t="n">
        <v>37834</v>
      </c>
      <c r="H567" s="72" t="n">
        <v>137.8</v>
      </c>
    </row>
    <row r="568">
      <c r="A568" s="71" t="n">
        <v>34213</v>
      </c>
      <c r="B568" s="72" t="n">
        <v>145</v>
      </c>
      <c r="C568" s="71" t="n">
        <v>37865</v>
      </c>
      <c r="D568" s="72" t="n">
        <v>193.7</v>
      </c>
      <c r="E568" s="71" t="n">
        <v>41518</v>
      </c>
      <c r="F568" s="72" t="n">
        <v>237.483</v>
      </c>
      <c r="G568" s="71" t="n">
        <v>37865</v>
      </c>
      <c r="H568" s="72" t="n">
        <v>142.9</v>
      </c>
    </row>
    <row r="569">
      <c r="A569" s="71" t="n">
        <v>34243</v>
      </c>
      <c r="B569" s="72" t="n">
        <v>145.6</v>
      </c>
      <c r="C569" s="71" t="n">
        <v>37895</v>
      </c>
      <c r="D569" s="72" t="n">
        <v>194</v>
      </c>
      <c r="E569" s="71" t="n">
        <v>41548</v>
      </c>
      <c r="F569" s="72" t="n">
        <v>237.672</v>
      </c>
      <c r="G569" s="71" t="n">
        <v>37895</v>
      </c>
      <c r="H569" s="72" t="n">
        <v>137.8</v>
      </c>
    </row>
    <row r="570">
      <c r="A570" s="71" t="n">
        <v>34274</v>
      </c>
      <c r="B570" s="72" t="n">
        <v>146</v>
      </c>
      <c r="C570" s="71" t="n">
        <v>37926</v>
      </c>
      <c r="D570" s="72" t="n">
        <v>194</v>
      </c>
      <c r="E570" s="71" t="n">
        <v>41579</v>
      </c>
      <c r="F570" s="72" t="n">
        <v>237.868</v>
      </c>
      <c r="G570" s="71" t="n">
        <v>37926</v>
      </c>
      <c r="H570" s="72" t="n">
        <v>136.9</v>
      </c>
    </row>
    <row r="571">
      <c r="A571" s="71" t="n">
        <v>34304</v>
      </c>
      <c r="B571" s="72" t="n">
        <v>146.3</v>
      </c>
      <c r="C571" s="71" t="n">
        <v>37956</v>
      </c>
      <c r="D571" s="72" t="n">
        <v>194.2</v>
      </c>
      <c r="E571" s="71" t="n">
        <v>41609</v>
      </c>
      <c r="F571" s="72" t="n">
        <v>238.092</v>
      </c>
      <c r="G571" s="71" t="n">
        <v>37956</v>
      </c>
      <c r="H571" s="72" t="n">
        <v>138.8</v>
      </c>
    </row>
    <row r="572">
      <c r="A572" s="71" t="n">
        <v>34335</v>
      </c>
      <c r="B572" s="72" t="n">
        <v>146.3</v>
      </c>
      <c r="C572" s="71" t="n">
        <v>37987</v>
      </c>
      <c r="D572" s="72" t="n">
        <v>194.6</v>
      </c>
      <c r="E572" s="71" t="n">
        <v>41640</v>
      </c>
      <c r="F572" s="72" t="n">
        <v>238.37</v>
      </c>
      <c r="G572" s="71" t="n">
        <v>37987</v>
      </c>
      <c r="H572" s="72" t="n">
        <v>143.9</v>
      </c>
    </row>
    <row r="573">
      <c r="A573" s="71" t="n">
        <v>34366</v>
      </c>
      <c r="B573" s="72" t="n">
        <v>146.7</v>
      </c>
      <c r="C573" s="71" t="n">
        <v>38018</v>
      </c>
      <c r="D573" s="72" t="n">
        <v>194.9</v>
      </c>
      <c r="E573" s="71" t="n">
        <v>41671</v>
      </c>
      <c r="F573" s="72" t="n">
        <v>239.122</v>
      </c>
      <c r="G573" s="71" t="n">
        <v>38018</v>
      </c>
      <c r="H573" s="72" t="n">
        <v>145.8</v>
      </c>
    </row>
    <row r="574">
      <c r="A574" s="71" t="n">
        <v>34394</v>
      </c>
      <c r="B574" s="72" t="n">
        <v>147.1</v>
      </c>
      <c r="C574" s="71" t="n">
        <v>38047</v>
      </c>
      <c r="D574" s="72" t="n">
        <v>195.5</v>
      </c>
      <c r="E574" s="71" t="n">
        <v>41699</v>
      </c>
      <c r="F574" s="72" t="n">
        <v>240.202</v>
      </c>
      <c r="G574" s="71" t="n">
        <v>38047</v>
      </c>
      <c r="H574" s="72" t="n">
        <v>145.1</v>
      </c>
    </row>
    <row r="575">
      <c r="A575" s="71" t="n">
        <v>34425</v>
      </c>
      <c r="B575" s="72" t="n">
        <v>147.2</v>
      </c>
      <c r="C575" s="71" t="n">
        <v>38078</v>
      </c>
      <c r="D575" s="72" t="n">
        <v>195.9</v>
      </c>
      <c r="E575" s="71" t="n">
        <v>41730</v>
      </c>
      <c r="F575" s="72" t="n">
        <v>241.044</v>
      </c>
      <c r="G575" s="71" t="n">
        <v>38078</v>
      </c>
      <c r="H575" s="72" t="n">
        <v>143.4</v>
      </c>
    </row>
    <row r="576">
      <c r="A576" s="71" t="n">
        <v>34455</v>
      </c>
      <c r="B576" s="72" t="n">
        <v>147.5</v>
      </c>
      <c r="C576" s="71" t="n">
        <v>38108</v>
      </c>
      <c r="D576" s="72" t="n">
        <v>196.2</v>
      </c>
      <c r="E576" s="71" t="n">
        <v>41760</v>
      </c>
      <c r="F576" s="72" t="n">
        <v>242.091</v>
      </c>
      <c r="G576" s="71" t="n">
        <v>38108</v>
      </c>
      <c r="H576" s="72" t="n">
        <v>147.6</v>
      </c>
    </row>
    <row r="577">
      <c r="A577" s="71" t="n">
        <v>34486</v>
      </c>
      <c r="B577" s="72" t="n">
        <v>147.9</v>
      </c>
      <c r="C577" s="71" t="n">
        <v>38139</v>
      </c>
      <c r="D577" s="72" t="n">
        <v>196.6</v>
      </c>
      <c r="E577" s="71" t="n">
        <v>41791</v>
      </c>
      <c r="F577" s="72" t="n">
        <v>242.317</v>
      </c>
      <c r="G577" s="71" t="n">
        <v>38139</v>
      </c>
      <c r="H577" s="72" t="n">
        <v>151.5</v>
      </c>
    </row>
    <row r="578">
      <c r="A578" s="71" t="n">
        <v>34516</v>
      </c>
      <c r="B578" s="72" t="n">
        <v>148.4</v>
      </c>
      <c r="C578" s="71" t="n">
        <v>38169</v>
      </c>
      <c r="D578" s="72" t="n">
        <v>196.8</v>
      </c>
      <c r="E578" s="71" t="n">
        <v>41821</v>
      </c>
      <c r="F578" s="72" t="n">
        <v>242.912</v>
      </c>
      <c r="G578" s="71" t="n">
        <v>38169</v>
      </c>
      <c r="H578" s="72" t="n">
        <v>151.1</v>
      </c>
    </row>
    <row r="579">
      <c r="A579" s="71" t="n">
        <v>34547</v>
      </c>
      <c r="B579" s="72" t="n">
        <v>149</v>
      </c>
      <c r="C579" s="71" t="n">
        <v>38200</v>
      </c>
      <c r="D579" s="72" t="n">
        <v>196.9</v>
      </c>
      <c r="E579" s="71" t="n">
        <v>41852</v>
      </c>
      <c r="F579" s="72" t="n">
        <v>243.574</v>
      </c>
      <c r="G579" s="71" t="n">
        <v>38200</v>
      </c>
      <c r="H579" s="72" t="n">
        <v>151.5</v>
      </c>
    </row>
    <row r="580">
      <c r="A580" s="71" t="n">
        <v>34578</v>
      </c>
      <c r="B580" s="72" t="n">
        <v>149.3</v>
      </c>
      <c r="C580" s="71" t="n">
        <v>38231</v>
      </c>
      <c r="D580" s="72" t="n">
        <v>197.5</v>
      </c>
      <c r="E580" s="71" t="n">
        <v>41883</v>
      </c>
      <c r="F580" s="72" t="n">
        <v>244.217</v>
      </c>
      <c r="G580" s="71" t="n">
        <v>38231</v>
      </c>
      <c r="H580" s="72" t="n">
        <v>152.9</v>
      </c>
    </row>
    <row r="581">
      <c r="A581" s="71" t="n">
        <v>34608</v>
      </c>
      <c r="B581" s="72" t="n">
        <v>149.4</v>
      </c>
      <c r="C581" s="71" t="n">
        <v>38261</v>
      </c>
      <c r="D581" s="72" t="n">
        <v>197.9</v>
      </c>
      <c r="E581" s="71" t="n">
        <v>41913</v>
      </c>
      <c r="F581" s="72" t="n">
        <v>244.512</v>
      </c>
      <c r="G581" s="71" t="n">
        <v>38261</v>
      </c>
      <c r="H581" s="72" t="n">
        <v>158.6</v>
      </c>
    </row>
    <row r="582">
      <c r="A582" s="71" t="n">
        <v>34639</v>
      </c>
      <c r="B582" s="72" t="n">
        <v>149.8</v>
      </c>
      <c r="C582" s="71" t="n">
        <v>38292</v>
      </c>
      <c r="D582" s="72" t="n">
        <v>198.3</v>
      </c>
      <c r="E582" s="71" t="n">
        <v>41944</v>
      </c>
      <c r="F582" s="72" t="n">
        <v>245.103</v>
      </c>
      <c r="G582" s="71" t="n">
        <v>38292</v>
      </c>
      <c r="H582" s="72" t="n">
        <v>163.8</v>
      </c>
    </row>
    <row r="583">
      <c r="A583" s="71" t="n">
        <v>34669</v>
      </c>
      <c r="B583" s="72" t="n">
        <v>150.1</v>
      </c>
      <c r="C583" s="71" t="n">
        <v>38322</v>
      </c>
      <c r="D583" s="72" t="n">
        <v>198.6</v>
      </c>
      <c r="E583" s="71" t="n">
        <v>41974</v>
      </c>
      <c r="F583" s="72" t="n">
        <v>245.802</v>
      </c>
      <c r="G583" s="71" t="n">
        <v>38322</v>
      </c>
      <c r="H583" s="72" t="n">
        <v>162.3</v>
      </c>
    </row>
    <row r="584">
      <c r="A584" s="71" t="n">
        <v>34700</v>
      </c>
      <c r="B584" s="72" t="n">
        <v>150.5</v>
      </c>
      <c r="C584" s="71" t="n">
        <v>38353</v>
      </c>
      <c r="D584" s="72" t="n">
        <v>199</v>
      </c>
      <c r="E584" s="71" t="n">
        <v>42005</v>
      </c>
      <c r="F584" s="72" t="n">
        <v>245.698</v>
      </c>
      <c r="G584" s="71" t="n">
        <v>38353</v>
      </c>
      <c r="H584" s="72" t="n">
        <v>157.2</v>
      </c>
    </row>
    <row r="585">
      <c r="A585" s="71" t="n">
        <v>34731</v>
      </c>
      <c r="B585" s="72" t="n">
        <v>150.9</v>
      </c>
      <c r="C585" s="71" t="n">
        <v>38384</v>
      </c>
      <c r="D585" s="72" t="n">
        <v>199.4</v>
      </c>
      <c r="E585" s="71" t="n">
        <v>42036</v>
      </c>
      <c r="F585" s="72" t="n">
        <v>245.922</v>
      </c>
      <c r="G585" s="71" t="n">
        <v>38384</v>
      </c>
      <c r="H585" s="72" t="n">
        <v>161.8</v>
      </c>
    </row>
    <row r="586">
      <c r="A586" s="71" t="n">
        <v>34759</v>
      </c>
      <c r="B586" s="72" t="n">
        <v>151.2</v>
      </c>
      <c r="C586" s="71" t="n">
        <v>38412</v>
      </c>
      <c r="D586" s="72" t="n">
        <v>200.1</v>
      </c>
      <c r="E586" s="71" t="n">
        <v>42064</v>
      </c>
      <c r="F586" s="72" t="n">
        <v>245.723</v>
      </c>
      <c r="G586" s="71" t="n">
        <v>38412</v>
      </c>
      <c r="H586" s="72" t="n">
        <v>163.5</v>
      </c>
    </row>
    <row r="587">
      <c r="A587" s="71" t="n">
        <v>34790</v>
      </c>
      <c r="B587" s="72" t="n">
        <v>151.8</v>
      </c>
      <c r="C587" s="71" t="n">
        <v>38443</v>
      </c>
      <c r="D587" s="72" t="n">
        <v>200.2</v>
      </c>
      <c r="E587" s="71" t="n">
        <v>42095</v>
      </c>
      <c r="F587" s="72" t="n">
        <v>245.73</v>
      </c>
      <c r="G587" s="71" t="n">
        <v>38443</v>
      </c>
      <c r="H587" s="72" t="n">
        <v>166.7</v>
      </c>
    </row>
    <row r="588">
      <c r="A588" s="71" t="n">
        <v>34820</v>
      </c>
      <c r="B588" s="72" t="n">
        <v>152.1</v>
      </c>
      <c r="C588" s="71" t="n">
        <v>38473</v>
      </c>
      <c r="D588" s="72" t="n">
        <v>200.5</v>
      </c>
      <c r="E588" s="71" t="n">
        <v>42125</v>
      </c>
      <c r="F588" s="72" t="n">
        <v>245.926</v>
      </c>
      <c r="G588" s="71" t="n">
        <v>38473</v>
      </c>
      <c r="H588" s="72" t="n">
        <v>163.3</v>
      </c>
    </row>
    <row r="589">
      <c r="A589" s="71" t="n">
        <v>34851</v>
      </c>
      <c r="B589" s="72" t="n">
        <v>152.4</v>
      </c>
      <c r="C589" s="71" t="n">
        <v>38504</v>
      </c>
      <c r="D589" s="72" t="n">
        <v>200.6</v>
      </c>
      <c r="E589" s="71" t="n">
        <v>42156</v>
      </c>
      <c r="F589" s="72" t="n">
        <v>246.587</v>
      </c>
      <c r="G589" s="71" t="n">
        <v>38504</v>
      </c>
      <c r="H589" s="72" t="n">
        <v>163.7</v>
      </c>
    </row>
    <row r="590">
      <c r="A590" s="71" t="n">
        <v>34881</v>
      </c>
      <c r="B590" s="72" t="n">
        <v>152.6</v>
      </c>
      <c r="C590" s="71" t="n">
        <v>38534</v>
      </c>
      <c r="D590" s="72" t="n">
        <v>200.9</v>
      </c>
      <c r="E590" s="71" t="n">
        <v>42186</v>
      </c>
      <c r="F590" s="72" t="n">
        <v>246.783</v>
      </c>
      <c r="G590" s="71" t="n">
        <v>38534</v>
      </c>
      <c r="H590" s="72" t="n">
        <v>172.8</v>
      </c>
    </row>
    <row r="591">
      <c r="A591" s="71" t="n">
        <v>34912</v>
      </c>
      <c r="B591" s="72" t="n">
        <v>152.9</v>
      </c>
      <c r="C591" s="71" t="n">
        <v>38565</v>
      </c>
      <c r="D591" s="72" t="n">
        <v>201.1</v>
      </c>
      <c r="E591" s="71" t="n">
        <v>42217</v>
      </c>
      <c r="F591" s="72" t="n">
        <v>247.283</v>
      </c>
      <c r="G591" s="71" t="n">
        <v>38565</v>
      </c>
      <c r="H591" s="72" t="n">
        <v>183.5</v>
      </c>
    </row>
    <row r="592">
      <c r="A592" s="71" t="n">
        <v>34943</v>
      </c>
      <c r="B592" s="72" t="n">
        <v>153.1</v>
      </c>
      <c r="C592" s="71" t="n">
        <v>38596</v>
      </c>
      <c r="D592" s="72" t="n">
        <v>201.3</v>
      </c>
      <c r="E592" s="71" t="n">
        <v>42248</v>
      </c>
      <c r="F592" s="72" t="n">
        <v>248.002</v>
      </c>
      <c r="G592" s="71" t="n">
        <v>38596</v>
      </c>
      <c r="H592" s="72" t="n">
        <v>208.2</v>
      </c>
    </row>
    <row r="593">
      <c r="A593" s="71" t="n">
        <v>34973</v>
      </c>
      <c r="B593" s="72" t="n">
        <v>153.5</v>
      </c>
      <c r="C593" s="71" t="n">
        <v>38626</v>
      </c>
      <c r="D593" s="72" t="n">
        <v>202</v>
      </c>
      <c r="E593" s="71" t="n">
        <v>42278</v>
      </c>
      <c r="F593" s="72" t="n">
        <v>248.246</v>
      </c>
      <c r="G593" s="71" t="n">
        <v>38626</v>
      </c>
      <c r="H593" s="72" t="n">
        <v>205.9</v>
      </c>
    </row>
    <row r="594">
      <c r="A594" s="71" t="n">
        <v>35004</v>
      </c>
      <c r="B594" s="72" t="n">
        <v>153.7</v>
      </c>
      <c r="C594" s="71" t="n">
        <v>38657</v>
      </c>
      <c r="D594" s="72" t="n">
        <v>202.5</v>
      </c>
      <c r="E594" s="71" t="n">
        <v>42309</v>
      </c>
      <c r="F594" s="72" t="n">
        <v>248.026</v>
      </c>
      <c r="G594" s="71" t="n">
        <v>38657</v>
      </c>
      <c r="H594" s="72" t="n">
        <v>191</v>
      </c>
    </row>
    <row r="595">
      <c r="A595" s="71" t="n">
        <v>35034</v>
      </c>
      <c r="B595" s="72" t="n">
        <v>153.9</v>
      </c>
      <c r="C595" s="71" t="n">
        <v>38687</v>
      </c>
      <c r="D595" s="72" t="n">
        <v>202.8</v>
      </c>
      <c r="E595" s="71" t="n">
        <v>42339</v>
      </c>
      <c r="F595" s="72" t="n">
        <v>247.644</v>
      </c>
      <c r="G595" s="71" t="n">
        <v>38687</v>
      </c>
      <c r="H595" s="72" t="n">
        <v>187.6</v>
      </c>
    </row>
    <row r="596">
      <c r="A596" s="71" t="n">
        <v>35065</v>
      </c>
      <c r="B596" s="72" t="n">
        <v>154.7</v>
      </c>
      <c r="C596" s="71" t="n">
        <v>38718</v>
      </c>
      <c r="D596" s="72" t="n">
        <v>203.2</v>
      </c>
      <c r="E596" s="71" t="n">
        <v>42370</v>
      </c>
      <c r="F596" s="72" t="n">
        <v>247.788</v>
      </c>
      <c r="G596" s="71" t="n">
        <v>38718</v>
      </c>
      <c r="H596" s="72" t="n">
        <v>196.6</v>
      </c>
    </row>
    <row r="597">
      <c r="A597" s="71" t="n">
        <v>35096</v>
      </c>
      <c r="B597" s="72" t="n">
        <v>155</v>
      </c>
      <c r="C597" s="71" t="n">
        <v>38749</v>
      </c>
      <c r="D597" s="72" t="n">
        <v>203.6</v>
      </c>
      <c r="E597" s="71" t="n">
        <v>42401</v>
      </c>
      <c r="F597" s="72" t="n">
        <v>248.044</v>
      </c>
      <c r="G597" s="71" t="n">
        <v>38749</v>
      </c>
      <c r="H597" s="72" t="n">
        <v>194.1</v>
      </c>
    </row>
    <row r="598">
      <c r="A598" s="71" t="n">
        <v>35125</v>
      </c>
      <c r="B598" s="72" t="n">
        <v>155.5</v>
      </c>
      <c r="C598" s="71" t="n">
        <v>38777</v>
      </c>
      <c r="D598" s="72" t="n">
        <v>204.3</v>
      </c>
      <c r="E598" s="71" t="n">
        <v>42430</v>
      </c>
      <c r="F598" s="72" t="n">
        <v>247.742</v>
      </c>
      <c r="G598" s="71" t="n">
        <v>38777</v>
      </c>
      <c r="H598" s="72" t="n">
        <v>192</v>
      </c>
    </row>
    <row r="599">
      <c r="A599" s="71" t="n">
        <v>35156</v>
      </c>
      <c r="B599" s="72" t="n">
        <v>156.1</v>
      </c>
      <c r="C599" s="71" t="n">
        <v>38808</v>
      </c>
      <c r="D599" s="72" t="n">
        <v>204.8</v>
      </c>
      <c r="E599" s="71" t="n">
        <v>42461</v>
      </c>
      <c r="F599" s="72" t="n">
        <v>248.111</v>
      </c>
      <c r="G599" s="71" t="n">
        <v>38808</v>
      </c>
      <c r="H599" s="72" t="n">
        <v>198.5</v>
      </c>
    </row>
    <row r="600">
      <c r="A600" s="71" t="n">
        <v>35186</v>
      </c>
      <c r="B600" s="72" t="n">
        <v>156.4</v>
      </c>
      <c r="C600" s="71" t="n">
        <v>38838</v>
      </c>
      <c r="D600" s="72" t="n">
        <v>205.4</v>
      </c>
      <c r="E600" s="71" t="n">
        <v>42491</v>
      </c>
      <c r="F600" s="72" t="n">
        <v>247.702</v>
      </c>
      <c r="G600" s="71" t="n">
        <v>38838</v>
      </c>
      <c r="H600" s="72" t="n">
        <v>199.8</v>
      </c>
    </row>
    <row r="601">
      <c r="A601" s="71" t="n">
        <v>35217</v>
      </c>
      <c r="B601" s="72" t="n">
        <v>156.7</v>
      </c>
      <c r="C601" s="71" t="n">
        <v>38869</v>
      </c>
      <c r="D601" s="72" t="n">
        <v>205.9</v>
      </c>
      <c r="E601" s="71" t="n">
        <v>42522</v>
      </c>
      <c r="F601" s="72" t="n">
        <v>247.593</v>
      </c>
      <c r="G601" s="71" t="n">
        <v>38869</v>
      </c>
      <c r="H601" s="72" t="n">
        <v>199.8</v>
      </c>
    </row>
    <row r="602">
      <c r="A602" s="71" t="n">
        <v>35247</v>
      </c>
      <c r="B602" s="72" t="n">
        <v>157</v>
      </c>
      <c r="C602" s="71" t="n">
        <v>38899</v>
      </c>
      <c r="D602" s="72" t="n">
        <v>206.3</v>
      </c>
      <c r="E602" s="71" t="n">
        <v>42552</v>
      </c>
      <c r="F602" s="72" t="n">
        <v>247.524</v>
      </c>
      <c r="G602" s="71" t="n">
        <v>38899</v>
      </c>
      <c r="H602" s="72" t="n">
        <v>207.9</v>
      </c>
    </row>
    <row r="603">
      <c r="A603" s="71" t="n">
        <v>35278</v>
      </c>
      <c r="B603" s="72" t="n">
        <v>157.2</v>
      </c>
      <c r="C603" s="71" t="n">
        <v>38930</v>
      </c>
      <c r="D603" s="72" t="n">
        <v>206.8</v>
      </c>
      <c r="E603" s="71" t="n">
        <v>42583</v>
      </c>
      <c r="F603" s="72" t="n">
        <v>247.532</v>
      </c>
      <c r="G603" s="71" t="n">
        <v>38930</v>
      </c>
      <c r="H603" s="72" t="n">
        <v>211.9</v>
      </c>
    </row>
    <row r="604">
      <c r="A604" s="71" t="n">
        <v>35309</v>
      </c>
      <c r="B604" s="72" t="n">
        <v>157.7</v>
      </c>
      <c r="C604" s="71" t="n">
        <v>38961</v>
      </c>
      <c r="D604" s="72" t="n">
        <v>207.2</v>
      </c>
      <c r="E604" s="71" t="n">
        <v>42614</v>
      </c>
      <c r="F604" s="72" t="n">
        <v>247.55</v>
      </c>
      <c r="G604" s="71" t="n">
        <v>38961</v>
      </c>
      <c r="H604" s="72" t="n">
        <v>198.1</v>
      </c>
    </row>
    <row r="605">
      <c r="A605" s="71" t="n">
        <v>35339</v>
      </c>
      <c r="B605" s="72" t="n">
        <v>158.2</v>
      </c>
      <c r="C605" s="71" t="n">
        <v>38991</v>
      </c>
      <c r="D605" s="72" t="n">
        <v>207.6</v>
      </c>
      <c r="E605" s="71" t="n">
        <v>42644</v>
      </c>
      <c r="F605" s="72" t="n">
        <v>247.492</v>
      </c>
      <c r="G605" s="71" t="n">
        <v>38991</v>
      </c>
      <c r="H605" s="72" t="n">
        <v>184.1</v>
      </c>
    </row>
    <row r="606">
      <c r="A606" s="71" t="n">
        <v>35370</v>
      </c>
      <c r="B606" s="72" t="n">
        <v>158.7</v>
      </c>
      <c r="C606" s="71" t="n">
        <v>39022</v>
      </c>
      <c r="D606" s="72" t="n">
        <v>207.8</v>
      </c>
      <c r="E606" s="71" t="n">
        <v>42675</v>
      </c>
      <c r="F606" s="72" t="n">
        <v>247.392</v>
      </c>
      <c r="G606" s="71" t="n">
        <v>39022</v>
      </c>
      <c r="H606" s="72" t="n">
        <v>184.1</v>
      </c>
    </row>
    <row r="607">
      <c r="A607" s="71" t="n">
        <v>35400</v>
      </c>
      <c r="B607" s="72" t="n">
        <v>159.1</v>
      </c>
      <c r="C607" s="71" t="n">
        <v>39052</v>
      </c>
      <c r="D607" s="72" t="n">
        <v>208.1</v>
      </c>
      <c r="E607" s="71" t="n">
        <v>42705</v>
      </c>
      <c r="F607" s="72" t="n">
        <v>247.325</v>
      </c>
      <c r="G607" s="71" t="n">
        <v>39052</v>
      </c>
      <c r="H607" s="72" t="n">
        <v>192.7</v>
      </c>
    </row>
    <row r="608">
      <c r="A608" s="71" t="n">
        <v>35431</v>
      </c>
      <c r="B608" s="72" t="n">
        <v>159.4</v>
      </c>
      <c r="C608" s="71" t="n">
        <v>39083</v>
      </c>
      <c r="D608" s="72" t="n">
        <v>208.6</v>
      </c>
      <c r="E608" s="71" t="n">
        <v>42736</v>
      </c>
      <c r="F608" s="72" t="n">
        <v>247.657</v>
      </c>
      <c r="G608" s="71" t="n">
        <v>39083</v>
      </c>
      <c r="H608" s="72" t="n">
        <v>190.281</v>
      </c>
    </row>
    <row r="609">
      <c r="A609" s="71" t="n">
        <v>35462</v>
      </c>
      <c r="B609" s="72" t="n">
        <v>159.7</v>
      </c>
      <c r="C609" s="71" t="n">
        <v>39114</v>
      </c>
      <c r="D609" s="72" t="n">
        <v>209.135</v>
      </c>
      <c r="G609" s="71" t="n">
        <v>39114</v>
      </c>
      <c r="H609" s="72" t="n">
        <v>192.31</v>
      </c>
    </row>
    <row r="610">
      <c r="A610" s="71" t="n">
        <v>35490</v>
      </c>
      <c r="B610" s="72" t="n">
        <v>159.8</v>
      </c>
      <c r="C610" s="71" t="n">
        <v>39142</v>
      </c>
      <c r="D610" s="72" t="n">
        <v>209.418</v>
      </c>
      <c r="G610" s="71" t="n">
        <v>39142</v>
      </c>
      <c r="H610" s="72" t="n">
        <v>200.206</v>
      </c>
    </row>
    <row r="611">
      <c r="A611" s="71" t="n">
        <v>35521</v>
      </c>
      <c r="B611" s="72" t="n">
        <v>159.9</v>
      </c>
      <c r="C611" s="71" t="n">
        <v>39173</v>
      </c>
      <c r="D611" s="72" t="n">
        <v>209.747</v>
      </c>
      <c r="G611" s="71" t="n">
        <v>39173</v>
      </c>
      <c r="H611" s="72" t="n">
        <v>203.307</v>
      </c>
    </row>
    <row r="612">
      <c r="A612" s="71" t="n">
        <v>35551</v>
      </c>
      <c r="B612" s="72" t="n">
        <v>159.9</v>
      </c>
      <c r="C612" s="71" t="n">
        <v>39203</v>
      </c>
      <c r="D612" s="72" t="n">
        <v>210.058</v>
      </c>
      <c r="G612" s="71" t="n">
        <v>39203</v>
      </c>
      <c r="H612" s="72" t="n">
        <v>208.635</v>
      </c>
    </row>
    <row r="613">
      <c r="A613" s="71" t="n">
        <v>35582</v>
      </c>
      <c r="B613" s="72" t="n">
        <v>160.2</v>
      </c>
      <c r="C613" s="71" t="n">
        <v>39234</v>
      </c>
      <c r="D613" s="72" t="n">
        <v>210.392</v>
      </c>
      <c r="G613" s="71" t="n">
        <v>39234</v>
      </c>
      <c r="H613" s="72" t="n">
        <v>209.799</v>
      </c>
    </row>
    <row r="614">
      <c r="A614" s="71" t="n">
        <v>35612</v>
      </c>
      <c r="B614" s="72" t="n">
        <v>160.4</v>
      </c>
      <c r="C614" s="71" t="n">
        <v>39264</v>
      </c>
      <c r="D614" s="72" t="n">
        <v>210.773</v>
      </c>
      <c r="G614" s="71" t="n">
        <v>39264</v>
      </c>
      <c r="H614" s="72" t="n">
        <v>209.639</v>
      </c>
    </row>
    <row r="615">
      <c r="A615" s="71" t="n">
        <v>35643</v>
      </c>
      <c r="B615" s="72" t="n">
        <v>160.8</v>
      </c>
      <c r="C615" s="71" t="n">
        <v>39295</v>
      </c>
      <c r="D615" s="72" t="n">
        <v>211.119</v>
      </c>
      <c r="G615" s="71" t="n">
        <v>39295</v>
      </c>
      <c r="H615" s="72" t="n">
        <v>206.412</v>
      </c>
    </row>
    <row r="616">
      <c r="A616" s="71" t="n">
        <v>35674</v>
      </c>
      <c r="B616" s="72" t="n">
        <v>161.2</v>
      </c>
      <c r="C616" s="71" t="n">
        <v>39326</v>
      </c>
      <c r="D616" s="72" t="n">
        <v>211.554</v>
      </c>
      <c r="G616" s="71" t="n">
        <v>39326</v>
      </c>
      <c r="H616" s="72" t="n">
        <v>210.742</v>
      </c>
    </row>
    <row r="617">
      <c r="A617" s="71" t="n">
        <v>35704</v>
      </c>
      <c r="B617" s="72" t="n">
        <v>161.5</v>
      </c>
      <c r="C617" s="71" t="n">
        <v>39356</v>
      </c>
      <c r="D617" s="72" t="n">
        <v>212.077</v>
      </c>
      <c r="G617" s="71" t="n">
        <v>39356</v>
      </c>
      <c r="H617" s="72" t="n">
        <v>212.386</v>
      </c>
    </row>
    <row r="618">
      <c r="A618" s="71" t="n">
        <v>35735</v>
      </c>
      <c r="B618" s="72" t="n">
        <v>161.7</v>
      </c>
      <c r="C618" s="71" t="n">
        <v>39387</v>
      </c>
      <c r="D618" s="72" t="n">
        <v>212.66</v>
      </c>
      <c r="G618" s="71" t="n">
        <v>39387</v>
      </c>
      <c r="H618" s="72" t="n">
        <v>223.814</v>
      </c>
    </row>
    <row r="619">
      <c r="A619" s="71" t="n">
        <v>35765</v>
      </c>
      <c r="B619" s="72" t="n">
        <v>161.8</v>
      </c>
      <c r="C619" s="71" t="n">
        <v>39417</v>
      </c>
      <c r="D619" s="72" t="n">
        <v>213.168</v>
      </c>
      <c r="G619" s="71" t="n">
        <v>39417</v>
      </c>
      <c r="H619" s="72" t="n">
        <v>225.649</v>
      </c>
    </row>
    <row r="620">
      <c r="A620" s="71" t="n">
        <v>35796</v>
      </c>
      <c r="B620" s="72" t="n">
        <v>162</v>
      </c>
      <c r="C620" s="71" t="n">
        <v>39448</v>
      </c>
      <c r="D620" s="72" t="n">
        <v>213.771</v>
      </c>
      <c r="G620" s="71" t="n">
        <v>39448</v>
      </c>
      <c r="H620" s="72" t="n">
        <v>226.775</v>
      </c>
    </row>
    <row r="621">
      <c r="A621" s="71" t="n">
        <v>35827</v>
      </c>
      <c r="B621" s="72" t="n">
        <v>162</v>
      </c>
      <c r="C621" s="71" t="n">
        <v>39479</v>
      </c>
      <c r="D621" s="72" t="n">
        <v>213.939</v>
      </c>
      <c r="G621" s="71" t="n">
        <v>39479</v>
      </c>
      <c r="H621" s="72" t="n">
        <v>229.731</v>
      </c>
    </row>
    <row r="622">
      <c r="A622" s="71" t="n">
        <v>35855</v>
      </c>
      <c r="B622" s="72" t="n">
        <v>162</v>
      </c>
      <c r="C622" s="71" t="n">
        <v>39508</v>
      </c>
      <c r="D622" s="72" t="n">
        <v>214.42</v>
      </c>
      <c r="G622" s="71" t="n">
        <v>39508</v>
      </c>
      <c r="H622" s="72" t="n">
        <v>233.349</v>
      </c>
    </row>
    <row r="623">
      <c r="A623" s="71" t="n">
        <v>35886</v>
      </c>
      <c r="B623" s="72" t="n">
        <v>162.2</v>
      </c>
      <c r="C623" s="71" t="n">
        <v>39539</v>
      </c>
      <c r="D623" s="72" t="n">
        <v>214.56</v>
      </c>
      <c r="G623" s="71" t="n">
        <v>39539</v>
      </c>
      <c r="H623" s="72" t="n">
        <v>234.778</v>
      </c>
    </row>
    <row r="624">
      <c r="A624" s="71" t="n">
        <v>35916</v>
      </c>
      <c r="B624" s="72" t="n">
        <v>162.6</v>
      </c>
      <c r="C624" s="71" t="n">
        <v>39569</v>
      </c>
      <c r="D624" s="72" t="n">
        <v>214.936</v>
      </c>
      <c r="G624" s="71" t="n">
        <v>39569</v>
      </c>
      <c r="H624" s="72" t="n">
        <v>243.924</v>
      </c>
    </row>
    <row r="625">
      <c r="A625" s="71" t="n">
        <v>35947</v>
      </c>
      <c r="B625" s="72" t="n">
        <v>162.8</v>
      </c>
      <c r="C625" s="71" t="n">
        <v>39600</v>
      </c>
      <c r="D625" s="72" t="n">
        <v>215.424</v>
      </c>
      <c r="G625" s="71" t="n">
        <v>39600</v>
      </c>
      <c r="H625" s="72" t="n">
        <v>262.081</v>
      </c>
    </row>
    <row r="626">
      <c r="A626" s="71" t="n">
        <v>35977</v>
      </c>
      <c r="B626" s="72" t="n">
        <v>163.2</v>
      </c>
      <c r="C626" s="71" t="n">
        <v>39630</v>
      </c>
      <c r="D626" s="72" t="n">
        <v>215.965</v>
      </c>
      <c r="G626" s="71" t="n">
        <v>39630</v>
      </c>
      <c r="H626" s="72" t="n">
        <v>271.149</v>
      </c>
    </row>
    <row r="627">
      <c r="A627" s="71" t="n">
        <v>36008</v>
      </c>
      <c r="B627" s="72" t="n">
        <v>163.4</v>
      </c>
      <c r="C627" s="71" t="n">
        <v>39661</v>
      </c>
      <c r="D627" s="72" t="n">
        <v>216.393</v>
      </c>
      <c r="G627" s="71" t="n">
        <v>39661</v>
      </c>
      <c r="H627" s="72" t="n">
        <v>262.566</v>
      </c>
    </row>
    <row r="628">
      <c r="A628" s="71" t="n">
        <v>36039</v>
      </c>
      <c r="B628" s="72" t="n">
        <v>163.5</v>
      </c>
      <c r="C628" s="71" t="n">
        <v>39692</v>
      </c>
      <c r="D628" s="72" t="n">
        <v>216.713</v>
      </c>
      <c r="G628" s="71" t="n">
        <v>39692</v>
      </c>
      <c r="H628" s="72" t="n">
        <v>260.125</v>
      </c>
    </row>
    <row r="629">
      <c r="A629" s="71" t="n">
        <v>36069</v>
      </c>
      <c r="B629" s="72" t="n">
        <v>163.9</v>
      </c>
      <c r="C629" s="71" t="n">
        <v>39722</v>
      </c>
      <c r="D629" s="72" t="n">
        <v>216.788</v>
      </c>
      <c r="G629" s="71" t="n">
        <v>39722</v>
      </c>
      <c r="H629" s="72" t="n">
        <v>238.065</v>
      </c>
    </row>
    <row r="630">
      <c r="A630" s="71" t="n">
        <v>36100</v>
      </c>
      <c r="B630" s="72" t="n">
        <v>164.1</v>
      </c>
      <c r="C630" s="71" t="n">
        <v>39753</v>
      </c>
      <c r="D630" s="72" t="n">
        <v>216.947</v>
      </c>
      <c r="G630" s="71" t="n">
        <v>39753</v>
      </c>
      <c r="H630" s="72" t="n">
        <v>195.155</v>
      </c>
    </row>
    <row r="631">
      <c r="A631" s="71" t="n">
        <v>36130</v>
      </c>
      <c r="B631" s="72" t="n">
        <v>164.4</v>
      </c>
      <c r="C631" s="71" t="n">
        <v>39783</v>
      </c>
      <c r="D631" s="72" t="n">
        <v>216.925</v>
      </c>
      <c r="G631" s="71" t="n">
        <v>39783</v>
      </c>
      <c r="H631" s="72" t="n">
        <v>176.583</v>
      </c>
    </row>
    <row r="632">
      <c r="A632" s="71" t="n">
        <v>36161</v>
      </c>
      <c r="B632" s="72" t="n">
        <v>164.7</v>
      </c>
      <c r="C632" s="71" t="n">
        <v>39814</v>
      </c>
      <c r="D632" s="72" t="n">
        <v>217.346</v>
      </c>
      <c r="G632" s="71" t="n">
        <v>39814</v>
      </c>
      <c r="H632" s="72" t="n">
        <v>178.661</v>
      </c>
    </row>
    <row r="633">
      <c r="A633" s="71" t="n">
        <v>36192</v>
      </c>
      <c r="B633" s="72" t="n">
        <v>164.7</v>
      </c>
      <c r="C633" s="71" t="n">
        <v>39845</v>
      </c>
      <c r="D633" s="72" t="n">
        <v>217.792</v>
      </c>
      <c r="G633" s="71" t="n">
        <v>39845</v>
      </c>
      <c r="H633" s="72" t="n">
        <v>183.721</v>
      </c>
    </row>
    <row r="634">
      <c r="A634" s="71" t="n">
        <v>36220</v>
      </c>
      <c r="B634" s="72" t="n">
        <v>164.8</v>
      </c>
      <c r="C634" s="71" t="n">
        <v>39873</v>
      </c>
      <c r="D634" s="72" t="n">
        <v>218.253</v>
      </c>
      <c r="G634" s="71" t="n">
        <v>39873</v>
      </c>
      <c r="H634" s="72" t="n">
        <v>178.415</v>
      </c>
    </row>
    <row r="635">
      <c r="A635" s="71" t="n">
        <v>36251</v>
      </c>
      <c r="B635" s="72" t="n">
        <v>165.9</v>
      </c>
      <c r="C635" s="71" t="n">
        <v>39904</v>
      </c>
      <c r="D635" s="72" t="n">
        <v>218.706</v>
      </c>
      <c r="G635" s="71" t="n">
        <v>39904</v>
      </c>
      <c r="H635" s="72" t="n">
        <v>177.552</v>
      </c>
    </row>
    <row r="636">
      <c r="A636" s="71" t="n">
        <v>36281</v>
      </c>
      <c r="B636" s="72" t="n">
        <v>166</v>
      </c>
      <c r="C636" s="71" t="n">
        <v>39934</v>
      </c>
      <c r="D636" s="72" t="n">
        <v>218.904</v>
      </c>
      <c r="G636" s="71" t="n">
        <v>39934</v>
      </c>
      <c r="H636" s="72" t="n">
        <v>179.83</v>
      </c>
    </row>
    <row r="637">
      <c r="A637" s="71" t="n">
        <v>36312</v>
      </c>
      <c r="B637" s="72" t="n">
        <v>166</v>
      </c>
      <c r="C637" s="71" t="n">
        <v>39965</v>
      </c>
      <c r="D637" s="72" t="n">
        <v>219.112</v>
      </c>
      <c r="G637" s="71" t="n">
        <v>39965</v>
      </c>
      <c r="H637" s="72" t="n">
        <v>197.033</v>
      </c>
    </row>
    <row r="638">
      <c r="A638" s="71" t="n">
        <v>36342</v>
      </c>
      <c r="B638" s="72" t="n">
        <v>166.7</v>
      </c>
      <c r="C638" s="71" t="n">
        <v>39995</v>
      </c>
      <c r="D638" s="72" t="n">
        <v>219.263</v>
      </c>
      <c r="G638" s="71" t="n">
        <v>39995</v>
      </c>
      <c r="H638" s="72" t="n">
        <v>195.778</v>
      </c>
    </row>
    <row r="639">
      <c r="A639" s="71" t="n">
        <v>36373</v>
      </c>
      <c r="B639" s="72" t="n">
        <v>167.1</v>
      </c>
      <c r="C639" s="71" t="n">
        <v>40026</v>
      </c>
      <c r="D639" s="72" t="n">
        <v>219.496</v>
      </c>
      <c r="G639" s="71" t="n">
        <v>40026</v>
      </c>
      <c r="H639" s="72" t="n">
        <v>201.583</v>
      </c>
    </row>
    <row r="640">
      <c r="A640" s="71" t="n">
        <v>36404</v>
      </c>
      <c r="B640" s="72" t="n">
        <v>167.8</v>
      </c>
      <c r="C640" s="71" t="n">
        <v>40057</v>
      </c>
      <c r="D640" s="72" t="n">
        <v>219.92</v>
      </c>
      <c r="G640" s="71" t="n">
        <v>40057</v>
      </c>
      <c r="H640" s="72" t="n">
        <v>202.777</v>
      </c>
    </row>
    <row r="641">
      <c r="A641" s="71" t="n">
        <v>36434</v>
      </c>
      <c r="B641" s="72" t="n">
        <v>168.1</v>
      </c>
      <c r="C641" s="71" t="n">
        <v>40087</v>
      </c>
      <c r="D641" s="72" t="n">
        <v>220.501</v>
      </c>
      <c r="G641" s="71" t="n">
        <v>40087</v>
      </c>
      <c r="H641" s="72" t="n">
        <v>204.719</v>
      </c>
    </row>
    <row r="642">
      <c r="A642" s="71" t="n">
        <v>36465</v>
      </c>
      <c r="B642" s="72" t="n">
        <v>168.4</v>
      </c>
      <c r="C642" s="71" t="n">
        <v>40118</v>
      </c>
      <c r="D642" s="72" t="n">
        <v>220.666</v>
      </c>
      <c r="G642" s="71" t="n">
        <v>40118</v>
      </c>
      <c r="H642" s="72" t="n">
        <v>210.932</v>
      </c>
    </row>
    <row r="643">
      <c r="A643" s="71" t="n">
        <v>36495</v>
      </c>
      <c r="B643" s="72" t="n">
        <v>168.8</v>
      </c>
      <c r="C643" s="71" t="n">
        <v>40148</v>
      </c>
      <c r="D643" s="72" t="n">
        <v>220.881</v>
      </c>
      <c r="G643" s="71" t="n">
        <v>40148</v>
      </c>
      <c r="H643" s="72" t="n">
        <v>209.915</v>
      </c>
    </row>
    <row r="644">
      <c r="A644" s="71" t="n">
        <v>36526</v>
      </c>
      <c r="B644" s="72" t="n">
        <v>169.3</v>
      </c>
      <c r="C644" s="71" t="n">
        <v>40179</v>
      </c>
      <c r="D644" s="72" t="n">
        <v>220.633</v>
      </c>
      <c r="G644" s="71" t="n">
        <v>40179</v>
      </c>
      <c r="H644" s="72" t="n">
        <v>212.807</v>
      </c>
    </row>
    <row r="645">
      <c r="A645" s="71" t="n">
        <v>36557</v>
      </c>
      <c r="B645" s="72" t="n">
        <v>170</v>
      </c>
      <c r="C645" s="71" t="n">
        <v>40210</v>
      </c>
      <c r="D645" s="72" t="n">
        <v>220.731</v>
      </c>
      <c r="G645" s="71" t="n">
        <v>40210</v>
      </c>
      <c r="H645" s="72" t="n">
        <v>209.624</v>
      </c>
    </row>
    <row r="646">
      <c r="A646" s="71" t="n">
        <v>36586</v>
      </c>
      <c r="B646" s="72" t="n">
        <v>171</v>
      </c>
      <c r="C646" s="71" t="n">
        <v>40238</v>
      </c>
      <c r="D646" s="72" t="n">
        <v>220.783</v>
      </c>
      <c r="G646" s="71" t="n">
        <v>40238</v>
      </c>
      <c r="H646" s="72" t="n">
        <v>209.326</v>
      </c>
    </row>
    <row r="647">
      <c r="A647" s="71" t="n">
        <v>36617</v>
      </c>
      <c r="B647" s="72" t="n">
        <v>170.9</v>
      </c>
      <c r="C647" s="71" t="n">
        <v>40269</v>
      </c>
      <c r="D647" s="72" t="n">
        <v>220.822</v>
      </c>
      <c r="G647" s="71" t="n">
        <v>40269</v>
      </c>
      <c r="H647" s="72" t="n">
        <v>209.219</v>
      </c>
    </row>
    <row r="648">
      <c r="A648" s="71" t="n">
        <v>36647</v>
      </c>
      <c r="B648" s="72" t="n">
        <v>171.2</v>
      </c>
      <c r="C648" s="71" t="n">
        <v>40299</v>
      </c>
      <c r="D648" s="72" t="n">
        <v>220.962</v>
      </c>
      <c r="G648" s="71" t="n">
        <v>40299</v>
      </c>
      <c r="H648" s="72" t="n">
        <v>206.631</v>
      </c>
    </row>
    <row r="649">
      <c r="A649" s="71" t="n">
        <v>36678</v>
      </c>
      <c r="B649" s="72" t="n">
        <v>172.2</v>
      </c>
      <c r="C649" s="71" t="n">
        <v>40330</v>
      </c>
      <c r="D649" s="72" t="n">
        <v>221.194</v>
      </c>
      <c r="G649" s="71" t="n">
        <v>40330</v>
      </c>
      <c r="H649" s="72" t="n">
        <v>203.764</v>
      </c>
    </row>
    <row r="650">
      <c r="A650" s="71" t="n">
        <v>36708</v>
      </c>
      <c r="B650" s="72" t="n">
        <v>172.7</v>
      </c>
      <c r="C650" s="71" t="n">
        <v>40360</v>
      </c>
      <c r="D650" s="72" t="n">
        <v>221.363</v>
      </c>
      <c r="G650" s="71" t="n">
        <v>40360</v>
      </c>
      <c r="H650" s="72" t="n">
        <v>206.877</v>
      </c>
    </row>
    <row r="651">
      <c r="A651" s="71" t="n">
        <v>36739</v>
      </c>
      <c r="B651" s="72" t="n">
        <v>172.7</v>
      </c>
      <c r="C651" s="71" t="n">
        <v>40391</v>
      </c>
      <c r="D651" s="72" t="n">
        <v>221.509</v>
      </c>
      <c r="G651" s="71" t="n">
        <v>40391</v>
      </c>
      <c r="H651" s="72" t="n">
        <v>208.77</v>
      </c>
    </row>
    <row r="652">
      <c r="A652" s="71" t="n">
        <v>36770</v>
      </c>
      <c r="B652" s="72" t="n">
        <v>173.6</v>
      </c>
      <c r="C652" s="71" t="n">
        <v>40422</v>
      </c>
      <c r="D652" s="72" t="n">
        <v>221.711</v>
      </c>
      <c r="G652" s="71" t="n">
        <v>40422</v>
      </c>
      <c r="H652" s="72" t="n">
        <v>209.832</v>
      </c>
    </row>
    <row r="653">
      <c r="A653" s="71" t="n">
        <v>36800</v>
      </c>
      <c r="B653" s="72" t="n">
        <v>173.9</v>
      </c>
      <c r="C653" s="71" t="n">
        <v>40452</v>
      </c>
      <c r="D653" s="72" t="n">
        <v>221.83</v>
      </c>
      <c r="G653" s="71" t="n">
        <v>40452</v>
      </c>
      <c r="H653" s="72" t="n">
        <v>216.71</v>
      </c>
    </row>
    <row r="654">
      <c r="A654" s="71" t="n">
        <v>36831</v>
      </c>
      <c r="B654" s="72" t="n">
        <v>174.2</v>
      </c>
      <c r="C654" s="71" t="n">
        <v>40483</v>
      </c>
      <c r="D654" s="72" t="n">
        <v>222.149</v>
      </c>
      <c r="G654" s="71" t="n">
        <v>40483</v>
      </c>
      <c r="H654" s="72" t="n">
        <v>219.496</v>
      </c>
    </row>
    <row r="655">
      <c r="A655" s="71" t="n">
        <v>36861</v>
      </c>
      <c r="B655" s="72" t="n">
        <v>174.6</v>
      </c>
      <c r="C655" s="71" t="n">
        <v>40513</v>
      </c>
      <c r="D655" s="72" t="n">
        <v>222.343</v>
      </c>
      <c r="G655" s="71" t="n">
        <v>40513</v>
      </c>
      <c r="H655" s="72" t="n">
        <v>227.13</v>
      </c>
    </row>
    <row r="656">
      <c r="A656" s="71" t="n">
        <v>36892</v>
      </c>
      <c r="B656" s="72" t="n">
        <v>175.6</v>
      </c>
      <c r="C656" s="71" t="n">
        <v>40544</v>
      </c>
      <c r="D656" s="72" t="n">
        <v>222.803</v>
      </c>
      <c r="G656" s="71" t="n">
        <v>40544</v>
      </c>
      <c r="H656" s="72" t="n">
        <v>229.258</v>
      </c>
    </row>
    <row r="657">
      <c r="A657" s="71" t="n">
        <v>36923</v>
      </c>
      <c r="B657" s="72" t="n">
        <v>176</v>
      </c>
      <c r="C657" s="71" t="n">
        <v>40575</v>
      </c>
      <c r="D657" s="72" t="n">
        <v>223.213</v>
      </c>
      <c r="G657" s="71" t="n">
        <v>40575</v>
      </c>
      <c r="H657" s="72" t="n">
        <v>232.068</v>
      </c>
    </row>
    <row r="658">
      <c r="A658" s="71" t="n">
        <v>36951</v>
      </c>
      <c r="B658" s="72" t="n">
        <v>176.1</v>
      </c>
      <c r="C658" s="71" t="n">
        <v>40603</v>
      </c>
      <c r="D658" s="72" t="n">
        <v>223.454</v>
      </c>
      <c r="G658" s="71" t="n">
        <v>40603</v>
      </c>
      <c r="H658" s="72" t="n">
        <v>240.079</v>
      </c>
    </row>
    <row r="659">
      <c r="A659" s="71" t="n">
        <v>36982</v>
      </c>
      <c r="B659" s="72" t="n">
        <v>176.4</v>
      </c>
      <c r="C659" s="71" t="n">
        <v>40634</v>
      </c>
      <c r="D659" s="72" t="n">
        <v>223.727</v>
      </c>
      <c r="G659" s="71" t="n">
        <v>40634</v>
      </c>
      <c r="H659" s="72" t="n">
        <v>247.977</v>
      </c>
    </row>
    <row r="660">
      <c r="A660" s="71" t="n">
        <v>37012</v>
      </c>
      <c r="B660" s="72" t="n">
        <v>177.3</v>
      </c>
      <c r="C660" s="71" t="n">
        <v>40664</v>
      </c>
      <c r="D660" s="72" t="n">
        <v>224.175</v>
      </c>
      <c r="G660" s="71" t="n">
        <v>40664</v>
      </c>
      <c r="H660" s="72" t="n">
        <v>250.744</v>
      </c>
    </row>
    <row r="661">
      <c r="A661" s="71" t="n">
        <v>37043</v>
      </c>
      <c r="B661" s="72" t="n">
        <v>177.7</v>
      </c>
      <c r="C661" s="71" t="n">
        <v>40695</v>
      </c>
      <c r="D661" s="72" t="n">
        <v>224.697</v>
      </c>
      <c r="G661" s="71" t="n">
        <v>40695</v>
      </c>
      <c r="H661" s="72" t="n">
        <v>245.534</v>
      </c>
    </row>
    <row r="662">
      <c r="A662" s="71" t="n">
        <v>37073</v>
      </c>
      <c r="B662" s="72" t="n">
        <v>177.4</v>
      </c>
      <c r="C662" s="71" t="n">
        <v>40725</v>
      </c>
      <c r="D662" s="72" t="n">
        <v>225.218</v>
      </c>
      <c r="G662" s="71" t="n">
        <v>40725</v>
      </c>
      <c r="H662" s="72" t="n">
        <v>246.187</v>
      </c>
    </row>
    <row r="663">
      <c r="A663" s="71" t="n">
        <v>37104</v>
      </c>
      <c r="B663" s="72" t="n">
        <v>177.4</v>
      </c>
      <c r="C663" s="71" t="n">
        <v>40756</v>
      </c>
      <c r="D663" s="72" t="n">
        <v>225.862</v>
      </c>
      <c r="G663" s="71" t="n">
        <v>40756</v>
      </c>
      <c r="H663" s="72" t="n">
        <v>246.88</v>
      </c>
    </row>
    <row r="664">
      <c r="A664" s="71" t="n">
        <v>37135</v>
      </c>
      <c r="B664" s="72" t="n">
        <v>178.1</v>
      </c>
      <c r="C664" s="71" t="n">
        <v>40787</v>
      </c>
      <c r="D664" s="72" t="n">
        <v>226.118</v>
      </c>
      <c r="G664" s="71" t="n">
        <v>40787</v>
      </c>
      <c r="H664" s="72" t="n">
        <v>248.55</v>
      </c>
    </row>
    <row r="665">
      <c r="A665" s="71" t="n">
        <v>37165</v>
      </c>
      <c r="B665" s="72" t="n">
        <v>177.6</v>
      </c>
      <c r="C665" s="71" t="n">
        <v>40817</v>
      </c>
      <c r="D665" s="72" t="n">
        <v>226.506</v>
      </c>
      <c r="G665" s="71" t="n">
        <v>40817</v>
      </c>
      <c r="H665" s="72" t="n">
        <v>246.655</v>
      </c>
    </row>
    <row r="666">
      <c r="A666" s="71" t="n">
        <v>37196</v>
      </c>
      <c r="B666" s="72" t="n">
        <v>177.5</v>
      </c>
      <c r="C666" s="71" t="n">
        <v>40848</v>
      </c>
      <c r="D666" s="72" t="n">
        <v>226.899</v>
      </c>
      <c r="G666" s="71" t="n">
        <v>40848</v>
      </c>
      <c r="H666" s="72" t="n">
        <v>247.64</v>
      </c>
    </row>
    <row r="667">
      <c r="A667" s="71" t="n">
        <v>37226</v>
      </c>
      <c r="B667" s="72" t="n">
        <v>177.4</v>
      </c>
      <c r="C667" s="71" t="n">
        <v>40878</v>
      </c>
      <c r="D667" s="72" t="n">
        <v>227.405</v>
      </c>
      <c r="G667" s="71" t="n">
        <v>40878</v>
      </c>
      <c r="H667" s="72" t="n">
        <v>243.353</v>
      </c>
    </row>
    <row r="668">
      <c r="A668" s="71" t="n">
        <v>37257</v>
      </c>
      <c r="B668" s="72" t="n">
        <v>177.7</v>
      </c>
      <c r="C668" s="71" t="n">
        <v>40909</v>
      </c>
      <c r="D668" s="72" t="n">
        <v>227.877</v>
      </c>
      <c r="G668" s="71" t="n">
        <v>40909</v>
      </c>
      <c r="H668" s="72" t="n">
        <v>244.876</v>
      </c>
    </row>
    <row r="669">
      <c r="A669" s="71" t="n">
        <v>37288</v>
      </c>
      <c r="B669" s="72" t="n">
        <v>178</v>
      </c>
      <c r="C669" s="71" t="n">
        <v>40940</v>
      </c>
      <c r="D669" s="72" t="n">
        <v>228.034</v>
      </c>
      <c r="G669" s="71" t="n">
        <v>40940</v>
      </c>
      <c r="H669" s="72" t="n">
        <v>248.898</v>
      </c>
    </row>
    <row r="670">
      <c r="A670" s="71" t="n">
        <v>37316</v>
      </c>
      <c r="B670" s="72" t="n">
        <v>178.5</v>
      </c>
      <c r="C670" s="71" t="n">
        <v>40969</v>
      </c>
      <c r="D670" s="72" t="n">
        <v>228.478</v>
      </c>
      <c r="G670" s="71" t="n">
        <v>40969</v>
      </c>
      <c r="H670" s="72" t="n">
        <v>249.742</v>
      </c>
    </row>
    <row r="671">
      <c r="A671" s="71" t="n">
        <v>37347</v>
      </c>
      <c r="B671" s="72" t="n">
        <v>179.3</v>
      </c>
      <c r="C671" s="71" t="n">
        <v>41000</v>
      </c>
      <c r="D671" s="72" t="n">
        <v>228.905</v>
      </c>
      <c r="G671" s="71" t="n">
        <v>41000</v>
      </c>
      <c r="H671" s="72" t="n">
        <v>249.677</v>
      </c>
    </row>
    <row r="672">
      <c r="A672" s="71" t="n">
        <v>37377</v>
      </c>
      <c r="B672" s="72" t="n">
        <v>179.5</v>
      </c>
      <c r="C672" s="71" t="n">
        <v>41030</v>
      </c>
      <c r="D672" s="72" t="n">
        <v>229.224</v>
      </c>
      <c r="G672" s="71" t="n">
        <v>41030</v>
      </c>
      <c r="H672" s="72" t="n">
        <v>241.806</v>
      </c>
    </row>
    <row r="673">
      <c r="A673" s="71" t="n">
        <v>37408</v>
      </c>
      <c r="B673" s="72" t="n">
        <v>179.6</v>
      </c>
      <c r="C673" s="71" t="n">
        <v>41061</v>
      </c>
      <c r="D673" s="72" t="n">
        <v>229.623</v>
      </c>
      <c r="G673" s="71" t="n">
        <v>41061</v>
      </c>
      <c r="H673" s="72" t="n">
        <v>235.897</v>
      </c>
    </row>
    <row r="674">
      <c r="A674" s="71" t="n">
        <v>37438</v>
      </c>
      <c r="B674" s="72" t="n">
        <v>180</v>
      </c>
      <c r="C674" s="71" t="n">
        <v>41091</v>
      </c>
      <c r="D674" s="72" t="n">
        <v>229.97</v>
      </c>
      <c r="G674" s="71" t="n">
        <v>41091</v>
      </c>
      <c r="H674" s="72" t="n">
        <v>233.568</v>
      </c>
    </row>
    <row r="675">
      <c r="A675" s="71" t="n">
        <v>37469</v>
      </c>
      <c r="B675" s="72" t="n">
        <v>180.5</v>
      </c>
      <c r="C675" s="71" t="n">
        <v>41122</v>
      </c>
      <c r="D675" s="72" t="n">
        <v>230.233</v>
      </c>
      <c r="G675" s="71" t="n">
        <v>41122</v>
      </c>
      <c r="H675" s="72" t="n">
        <v>244.987</v>
      </c>
    </row>
    <row r="676">
      <c r="A676" s="71" t="n">
        <v>37500</v>
      </c>
      <c r="B676" s="72" t="n">
        <v>180.8</v>
      </c>
      <c r="C676" s="71" t="n">
        <v>41153</v>
      </c>
      <c r="D676" s="72" t="n">
        <v>230.659</v>
      </c>
      <c r="G676" s="71" t="n">
        <v>41153</v>
      </c>
      <c r="H676" s="72" t="n">
        <v>252.987</v>
      </c>
    </row>
    <row r="677">
      <c r="A677" s="71" t="n">
        <v>37530</v>
      </c>
      <c r="B677" s="72" t="n">
        <v>181.2</v>
      </c>
      <c r="C677" s="71" t="n">
        <v>41183</v>
      </c>
      <c r="D677" s="72" t="n">
        <v>231.024</v>
      </c>
      <c r="G677" s="71" t="n">
        <v>41183</v>
      </c>
      <c r="H677" s="72" t="n">
        <v>256.017</v>
      </c>
    </row>
    <row r="678">
      <c r="A678" s="71" t="n">
        <v>37561</v>
      </c>
      <c r="B678" s="72" t="n">
        <v>181.5</v>
      </c>
      <c r="C678" s="71" t="n">
        <v>41214</v>
      </c>
      <c r="D678" s="72" t="n">
        <v>231.33</v>
      </c>
      <c r="G678" s="71" t="n">
        <v>41214</v>
      </c>
      <c r="H678" s="72" t="n">
        <v>248.819</v>
      </c>
    </row>
    <row r="679">
      <c r="A679" s="71" t="n">
        <v>37591</v>
      </c>
      <c r="B679" s="72" t="n">
        <v>181.8</v>
      </c>
      <c r="C679" s="71" t="n">
        <v>41244</v>
      </c>
      <c r="D679" s="72" t="n">
        <v>231.725</v>
      </c>
      <c r="G679" s="71" t="n">
        <v>41244</v>
      </c>
      <c r="H679" s="72" t="n">
        <v>244.708</v>
      </c>
    </row>
    <row r="680">
      <c r="A680" s="71" t="n">
        <v>37622</v>
      </c>
      <c r="B680" s="72" t="n">
        <v>182.6</v>
      </c>
      <c r="C680" s="71" t="n">
        <v>41275</v>
      </c>
      <c r="D680" s="72" t="n">
        <v>232.244</v>
      </c>
      <c r="G680" s="71" t="n">
        <v>41275</v>
      </c>
      <c r="H680" s="72" t="n">
        <v>244.313</v>
      </c>
    </row>
    <row r="681">
      <c r="A681" s="71" t="n">
        <v>37653</v>
      </c>
      <c r="B681" s="72" t="n">
        <v>183.6</v>
      </c>
      <c r="C681" s="71" t="n">
        <v>41306</v>
      </c>
      <c r="D681" s="72" t="n">
        <v>232.603</v>
      </c>
      <c r="G681" s="71" t="n">
        <v>41306</v>
      </c>
      <c r="H681" s="72" t="n">
        <v>255.956</v>
      </c>
    </row>
    <row r="682">
      <c r="A682" s="71" t="n">
        <v>37681</v>
      </c>
      <c r="B682" s="72" t="n">
        <v>183.9</v>
      </c>
      <c r="C682" s="71" t="n">
        <v>41334</v>
      </c>
      <c r="D682" s="72" t="n">
        <v>232.8</v>
      </c>
      <c r="G682" s="71" t="n">
        <v>41334</v>
      </c>
      <c r="H682" s="72" t="n">
        <v>246.695</v>
      </c>
    </row>
    <row r="683">
      <c r="A683" s="71" t="n">
        <v>37712</v>
      </c>
      <c r="B683" s="72" t="n">
        <v>183.2</v>
      </c>
      <c r="C683" s="71" t="n">
        <v>41365</v>
      </c>
      <c r="D683" s="72" t="n">
        <v>232.837</v>
      </c>
      <c r="G683" s="71" t="n">
        <v>41365</v>
      </c>
      <c r="H683" s="72" t="n">
        <v>240.341</v>
      </c>
    </row>
    <row r="684">
      <c r="A684" s="71" t="n">
        <v>37742</v>
      </c>
      <c r="B684" s="72" t="n">
        <v>182.9</v>
      </c>
      <c r="C684" s="71" t="n">
        <v>41395</v>
      </c>
      <c r="D684" s="72" t="n">
        <v>233.064</v>
      </c>
      <c r="G684" s="71" t="n">
        <v>41395</v>
      </c>
      <c r="H684" s="72" t="n">
        <v>240.134</v>
      </c>
    </row>
    <row r="685">
      <c r="A685" s="71" t="n">
        <v>37773</v>
      </c>
      <c r="B685" s="72" t="n">
        <v>183.1</v>
      </c>
      <c r="C685" s="71" t="n">
        <v>41426</v>
      </c>
      <c r="D685" s="72" t="n">
        <v>233.365</v>
      </c>
      <c r="G685" s="71" t="n">
        <v>41426</v>
      </c>
      <c r="H685" s="72" t="n">
        <v>241.859</v>
      </c>
    </row>
    <row r="686">
      <c r="A686" s="71" t="n">
        <v>37803</v>
      </c>
      <c r="B686" s="72" t="n">
        <v>183.7</v>
      </c>
      <c r="C686" s="71" t="n">
        <v>41456</v>
      </c>
      <c r="D686" s="72" t="n">
        <v>233.865</v>
      </c>
      <c r="G686" s="71" t="n">
        <v>41456</v>
      </c>
      <c r="H686" s="72" t="n">
        <v>242.974</v>
      </c>
    </row>
    <row r="687">
      <c r="A687" s="71" t="n">
        <v>37834</v>
      </c>
      <c r="B687" s="72" t="n">
        <v>184.5</v>
      </c>
      <c r="C687" s="71" t="n">
        <v>41487</v>
      </c>
      <c r="D687" s="72" t="n">
        <v>234.312</v>
      </c>
      <c r="G687" s="71" t="n">
        <v>41487</v>
      </c>
      <c r="H687" s="72" t="n">
        <v>243.584</v>
      </c>
    </row>
    <row r="688">
      <c r="A688" s="71" t="n">
        <v>37865</v>
      </c>
      <c r="B688" s="72" t="n">
        <v>185.1</v>
      </c>
      <c r="C688" s="71" t="n">
        <v>41518</v>
      </c>
      <c r="D688" s="72" t="n">
        <v>234.658</v>
      </c>
      <c r="G688" s="71" t="n">
        <v>41518</v>
      </c>
      <c r="H688" s="72" t="n">
        <v>243.983</v>
      </c>
    </row>
    <row r="689">
      <c r="A689" s="71" t="n">
        <v>37895</v>
      </c>
      <c r="B689" s="72" t="n">
        <v>184.9</v>
      </c>
      <c r="C689" s="71" t="n">
        <v>41548</v>
      </c>
      <c r="D689" s="72" t="n">
        <v>234.892</v>
      </c>
      <c r="G689" s="71" t="n">
        <v>41548</v>
      </c>
      <c r="H689" s="72" t="n">
        <v>242.735</v>
      </c>
    </row>
    <row r="690">
      <c r="A690" s="71" t="n">
        <v>37926</v>
      </c>
      <c r="B690" s="72" t="n">
        <v>185</v>
      </c>
      <c r="C690" s="71" t="n">
        <v>41579</v>
      </c>
      <c r="D690" s="72" t="n">
        <v>235.328</v>
      </c>
      <c r="G690" s="71" t="n">
        <v>41579</v>
      </c>
      <c r="H690" s="72" t="n">
        <v>243.231</v>
      </c>
    </row>
    <row r="691">
      <c r="A691" s="71" t="n">
        <v>37956</v>
      </c>
      <c r="B691" s="72" t="n">
        <v>185.5</v>
      </c>
      <c r="C691" s="71" t="n">
        <v>41609</v>
      </c>
      <c r="D691" s="72" t="n">
        <v>235.735</v>
      </c>
      <c r="G691" s="71" t="n">
        <v>41609</v>
      </c>
      <c r="H691" s="72" t="n">
        <v>246.032</v>
      </c>
    </row>
    <row r="692">
      <c r="A692" s="71" t="n">
        <v>37987</v>
      </c>
      <c r="B692" s="72" t="n">
        <v>186.3</v>
      </c>
      <c r="C692" s="71" t="n">
        <v>41640</v>
      </c>
      <c r="D692" s="72" t="n">
        <v>236.019</v>
      </c>
      <c r="G692" s="71" t="n">
        <v>41640</v>
      </c>
      <c r="H692" s="72" t="n">
        <v>251.02</v>
      </c>
    </row>
    <row r="693">
      <c r="A693" s="71" t="n">
        <v>38018</v>
      </c>
      <c r="B693" s="72" t="n">
        <v>186.7</v>
      </c>
      <c r="C693" s="71" t="n">
        <v>41671</v>
      </c>
      <c r="D693" s="72" t="n">
        <v>236.23</v>
      </c>
      <c r="G693" s="71" t="n">
        <v>41671</v>
      </c>
      <c r="H693" s="72" t="n">
        <v>251.142</v>
      </c>
    </row>
    <row r="694">
      <c r="A694" s="71" t="n">
        <v>38047</v>
      </c>
      <c r="B694" s="72" t="n">
        <v>187.1</v>
      </c>
      <c r="C694" s="71" t="n">
        <v>41699</v>
      </c>
      <c r="D694" s="72" t="n">
        <v>236.637</v>
      </c>
      <c r="G694" s="71" t="n">
        <v>41699</v>
      </c>
      <c r="H694" s="72" t="n">
        <v>249.372</v>
      </c>
    </row>
    <row r="695">
      <c r="A695" s="71" t="n">
        <v>38078</v>
      </c>
      <c r="B695" s="72" t="n">
        <v>187.4</v>
      </c>
      <c r="C695" s="71" t="n">
        <v>41730</v>
      </c>
      <c r="D695" s="72" t="n">
        <v>237.081</v>
      </c>
      <c r="G695" s="71" t="n">
        <v>41730</v>
      </c>
      <c r="H695" s="72" t="n">
        <v>249.746</v>
      </c>
    </row>
    <row r="696">
      <c r="A696" s="71" t="n">
        <v>38108</v>
      </c>
      <c r="B696" s="72" t="n">
        <v>188.2</v>
      </c>
      <c r="C696" s="71" t="n">
        <v>41760</v>
      </c>
      <c r="D696" s="72" t="n">
        <v>237.584</v>
      </c>
      <c r="G696" s="71" t="n">
        <v>41760</v>
      </c>
      <c r="H696" s="72" t="n">
        <v>247.807</v>
      </c>
    </row>
    <row r="697">
      <c r="A697" s="71" t="n">
        <v>38139</v>
      </c>
      <c r="B697" s="72" t="n">
        <v>188.9</v>
      </c>
      <c r="C697" s="71" t="n">
        <v>41791</v>
      </c>
      <c r="D697" s="72" t="n">
        <v>237.838</v>
      </c>
      <c r="G697" s="71" t="n">
        <v>41791</v>
      </c>
      <c r="H697" s="72" t="n">
        <v>247.499</v>
      </c>
    </row>
    <row r="698">
      <c r="A698" s="71" t="n">
        <v>38169</v>
      </c>
      <c r="B698" s="72" t="n">
        <v>189.1</v>
      </c>
      <c r="C698" s="71" t="n">
        <v>41821</v>
      </c>
      <c r="D698" s="72" t="n">
        <v>238.197</v>
      </c>
      <c r="G698" s="71" t="n">
        <v>41821</v>
      </c>
      <c r="H698" s="72" t="n">
        <v>247.841</v>
      </c>
    </row>
    <row r="699">
      <c r="A699" s="71" t="n">
        <v>38200</v>
      </c>
      <c r="B699" s="72" t="n">
        <v>189.2</v>
      </c>
      <c r="C699" s="71" t="n">
        <v>41852</v>
      </c>
      <c r="D699" s="72" t="n">
        <v>238.38</v>
      </c>
      <c r="G699" s="71" t="n">
        <v>41852</v>
      </c>
      <c r="H699" s="72" t="n">
        <v>243.506</v>
      </c>
    </row>
    <row r="700">
      <c r="A700" s="71" t="n">
        <v>38231</v>
      </c>
      <c r="B700" s="72" t="n">
        <v>189.8</v>
      </c>
      <c r="C700" s="71" t="n">
        <v>41883</v>
      </c>
      <c r="D700" s="72" t="n">
        <v>238.729</v>
      </c>
      <c r="G700" s="71" t="n">
        <v>41883</v>
      </c>
      <c r="H700" s="72" t="n">
        <v>242.074</v>
      </c>
    </row>
    <row r="701">
      <c r="A701" s="71" t="n">
        <v>38261</v>
      </c>
      <c r="B701" s="72" t="n">
        <v>190.8</v>
      </c>
      <c r="C701" s="71" t="n">
        <v>41913</v>
      </c>
      <c r="D701" s="72" t="n">
        <v>239.147</v>
      </c>
      <c r="G701" s="71" t="n">
        <v>41913</v>
      </c>
      <c r="H701" s="72" t="n">
        <v>238.269</v>
      </c>
    </row>
    <row r="702">
      <c r="A702" s="71" t="n">
        <v>38292</v>
      </c>
      <c r="B702" s="72" t="n">
        <v>191.7</v>
      </c>
      <c r="C702" s="71" t="n">
        <v>41944</v>
      </c>
      <c r="D702" s="72" t="n">
        <v>239.373</v>
      </c>
      <c r="G702" s="71" t="n">
        <v>41944</v>
      </c>
      <c r="H702" s="72" t="n">
        <v>231.238</v>
      </c>
    </row>
    <row r="703">
      <c r="A703" s="71" t="n">
        <v>38322</v>
      </c>
      <c r="B703" s="72" t="n">
        <v>191.7</v>
      </c>
      <c r="C703" s="71" t="n">
        <v>41974</v>
      </c>
      <c r="D703" s="72" t="n">
        <v>239.553</v>
      </c>
      <c r="G703" s="71" t="n">
        <v>41974</v>
      </c>
      <c r="H703" s="72" t="n">
        <v>219.295</v>
      </c>
    </row>
    <row r="704">
      <c r="A704" s="71" t="n">
        <v>38353</v>
      </c>
      <c r="B704" s="72" t="n">
        <v>191.6</v>
      </c>
      <c r="C704" s="71" t="n">
        <v>42005</v>
      </c>
      <c r="D704" s="72" t="n">
        <v>239.91</v>
      </c>
      <c r="G704" s="71" t="n">
        <v>42005</v>
      </c>
      <c r="H704" s="72" t="n">
        <v>201.027</v>
      </c>
    </row>
    <row r="705">
      <c r="A705" s="71" t="n">
        <v>38384</v>
      </c>
      <c r="B705" s="72" t="n">
        <v>192.4</v>
      </c>
      <c r="C705" s="71" t="n">
        <v>42036</v>
      </c>
      <c r="D705" s="72" t="n">
        <v>240.236</v>
      </c>
      <c r="G705" s="71" t="n">
        <v>42036</v>
      </c>
      <c r="H705" s="72" t="n">
        <v>204.326</v>
      </c>
    </row>
    <row r="706">
      <c r="A706" s="71" t="n">
        <v>38412</v>
      </c>
      <c r="B706" s="72" t="n">
        <v>193.1</v>
      </c>
      <c r="C706" s="71" t="n">
        <v>42064</v>
      </c>
      <c r="D706" s="72" t="n">
        <v>240.783</v>
      </c>
      <c r="G706" s="71" t="n">
        <v>42064</v>
      </c>
      <c r="H706" s="72" t="n">
        <v>205.603</v>
      </c>
    </row>
    <row r="707">
      <c r="A707" s="71" t="n">
        <v>38443</v>
      </c>
      <c r="B707" s="72" t="n">
        <v>193.7</v>
      </c>
      <c r="C707" s="71" t="n">
        <v>42095</v>
      </c>
      <c r="D707" s="72" t="n">
        <v>241.366</v>
      </c>
      <c r="G707" s="71" t="n">
        <v>42095</v>
      </c>
      <c r="H707" s="72" t="n">
        <v>202.989</v>
      </c>
    </row>
    <row r="708">
      <c r="A708" s="71" t="n">
        <v>38473</v>
      </c>
      <c r="B708" s="72" t="n">
        <v>193.6</v>
      </c>
      <c r="C708" s="71" t="n">
        <v>42125</v>
      </c>
      <c r="D708" s="72" t="n">
        <v>241.662</v>
      </c>
      <c r="G708" s="71" t="n">
        <v>42125</v>
      </c>
      <c r="H708" s="72" t="n">
        <v>207.89</v>
      </c>
    </row>
    <row r="709">
      <c r="A709" s="71" t="n">
        <v>38504</v>
      </c>
      <c r="B709" s="72" t="n">
        <v>193.7</v>
      </c>
      <c r="C709" s="71" t="n">
        <v>42156</v>
      </c>
      <c r="D709" s="72" t="n">
        <v>242.021</v>
      </c>
      <c r="G709" s="71" t="n">
        <v>42156</v>
      </c>
      <c r="H709" s="72" t="n">
        <v>209.598</v>
      </c>
    </row>
    <row r="710">
      <c r="A710" s="71" t="n">
        <v>38534</v>
      </c>
      <c r="B710" s="72" t="n">
        <v>194.9</v>
      </c>
      <c r="C710" s="71" t="n">
        <v>42186</v>
      </c>
      <c r="D710" s="72" t="n">
        <v>242.48</v>
      </c>
      <c r="G710" s="71" t="n">
        <v>42186</v>
      </c>
      <c r="H710" s="72" t="n">
        <v>210.487</v>
      </c>
    </row>
    <row r="711">
      <c r="A711" s="71" t="n">
        <v>38565</v>
      </c>
      <c r="B711" s="72" t="n">
        <v>196.1</v>
      </c>
      <c r="C711" s="71" t="n">
        <v>42217</v>
      </c>
      <c r="D711" s="72" t="n">
        <v>242.754</v>
      </c>
      <c r="G711" s="71" t="n">
        <v>42217</v>
      </c>
      <c r="H711" s="72" t="n">
        <v>206.632</v>
      </c>
    </row>
    <row r="712">
      <c r="A712" s="71" t="n">
        <v>38596</v>
      </c>
      <c r="B712" s="72" t="n">
        <v>198.8</v>
      </c>
      <c r="C712" s="71" t="n">
        <v>42248</v>
      </c>
      <c r="D712" s="72" t="n">
        <v>243.249</v>
      </c>
      <c r="G712" s="71" t="n">
        <v>42248</v>
      </c>
      <c r="H712" s="72" t="n">
        <v>197.451</v>
      </c>
    </row>
    <row r="713">
      <c r="A713" s="71" t="n">
        <v>38626</v>
      </c>
      <c r="B713" s="72" t="n">
        <v>199.1</v>
      </c>
      <c r="C713" s="71" t="n">
        <v>42278</v>
      </c>
      <c r="D713" s="72" t="n">
        <v>243.719</v>
      </c>
      <c r="G713" s="71" t="n">
        <v>42278</v>
      </c>
      <c r="H713" s="72" t="n">
        <v>196.789</v>
      </c>
    </row>
    <row r="714">
      <c r="A714" s="71" t="n">
        <v>38657</v>
      </c>
      <c r="B714" s="72" t="n">
        <v>198.1</v>
      </c>
      <c r="C714" s="71" t="n">
        <v>42309</v>
      </c>
      <c r="D714" s="72" t="n">
        <v>244.221</v>
      </c>
      <c r="G714" s="71" t="n">
        <v>42309</v>
      </c>
      <c r="H714" s="72" t="n">
        <v>196.882</v>
      </c>
    </row>
    <row r="715">
      <c r="A715" s="71" t="n">
        <v>38687</v>
      </c>
      <c r="B715" s="72" t="n">
        <v>198.1</v>
      </c>
      <c r="C715" s="71" t="n">
        <v>42339</v>
      </c>
      <c r="D715" s="72" t="n">
        <v>244.581</v>
      </c>
      <c r="G715" s="71" t="n">
        <v>42339</v>
      </c>
      <c r="H715" s="72" t="n">
        <v>191.002</v>
      </c>
    </row>
    <row r="716">
      <c r="A716" s="71" t="n">
        <v>38718</v>
      </c>
      <c r="B716" s="72" t="n">
        <v>199.3</v>
      </c>
      <c r="C716" s="71" t="n">
        <v>42370</v>
      </c>
      <c r="D716" s="72" t="n">
        <v>245.232</v>
      </c>
      <c r="G716" s="71" t="n">
        <v>42370</v>
      </c>
      <c r="H716" s="72" t="n">
        <v>188.263</v>
      </c>
    </row>
    <row r="717">
      <c r="A717" s="71" t="n">
        <v>38749</v>
      </c>
      <c r="B717" s="72" t="n">
        <v>199.4</v>
      </c>
      <c r="C717" s="71" t="n">
        <v>42401</v>
      </c>
      <c r="D717" s="72" t="n">
        <v>245.845</v>
      </c>
      <c r="G717" s="71" t="n">
        <v>42401</v>
      </c>
      <c r="H717" s="72" t="n">
        <v>179.166</v>
      </c>
    </row>
    <row r="718">
      <c r="A718" s="71" t="n">
        <v>38777</v>
      </c>
      <c r="B718" s="72" t="n">
        <v>199.7</v>
      </c>
      <c r="C718" s="71" t="n">
        <v>42430</v>
      </c>
      <c r="D718" s="72" t="n">
        <v>246.062</v>
      </c>
      <c r="G718" s="71" t="n">
        <v>42430</v>
      </c>
      <c r="H718" s="72" t="n">
        <v>180.818</v>
      </c>
    </row>
    <row r="719">
      <c r="A719" s="71" t="n">
        <v>38808</v>
      </c>
      <c r="B719" s="72" t="n">
        <v>200.7</v>
      </c>
      <c r="C719" s="71" t="n">
        <v>42461</v>
      </c>
      <c r="D719" s="72" t="n">
        <v>246.517</v>
      </c>
      <c r="G719" s="71" t="n">
        <v>42461</v>
      </c>
      <c r="H719" s="72" t="n">
        <v>185.734</v>
      </c>
    </row>
    <row r="720">
      <c r="A720" s="71" t="n">
        <v>38838</v>
      </c>
      <c r="B720" s="72" t="n">
        <v>201.3</v>
      </c>
      <c r="C720" s="71" t="n">
        <v>42491</v>
      </c>
      <c r="D720" s="72" t="n">
        <v>247.026</v>
      </c>
      <c r="G720" s="71" t="n">
        <v>42491</v>
      </c>
      <c r="H720" s="72" t="n">
        <v>187.108</v>
      </c>
    </row>
    <row r="721">
      <c r="A721" s="71" t="n">
        <v>38869</v>
      </c>
      <c r="B721" s="72" t="n">
        <v>201.8</v>
      </c>
      <c r="C721" s="71" t="n">
        <v>42522</v>
      </c>
      <c r="D721" s="72" t="n">
        <v>247.389</v>
      </c>
      <c r="G721" s="71" t="n">
        <v>42522</v>
      </c>
      <c r="H721" s="72" t="n">
        <v>189.603</v>
      </c>
    </row>
    <row r="722">
      <c r="A722" s="71" t="n">
        <v>38899</v>
      </c>
      <c r="B722" s="72" t="n">
        <v>202.9</v>
      </c>
      <c r="C722" s="71" t="n">
        <v>42552</v>
      </c>
      <c r="D722" s="72" t="n">
        <v>247.705</v>
      </c>
      <c r="G722" s="71" t="n">
        <v>42552</v>
      </c>
      <c r="H722" s="72" t="n">
        <v>187.595</v>
      </c>
    </row>
    <row r="723">
      <c r="A723" s="71" t="n">
        <v>38930</v>
      </c>
      <c r="B723" s="72" t="n">
        <v>203.8</v>
      </c>
      <c r="C723" s="71" t="n">
        <v>42583</v>
      </c>
      <c r="D723" s="72" t="n">
        <v>248.351</v>
      </c>
      <c r="G723" s="71" t="n">
        <v>42583</v>
      </c>
      <c r="H723" s="72" t="n">
        <v>187.504</v>
      </c>
    </row>
    <row r="724">
      <c r="A724" s="71" t="n">
        <v>38961</v>
      </c>
      <c r="B724" s="72" t="n">
        <v>202.8</v>
      </c>
      <c r="C724" s="71" t="n">
        <v>42614</v>
      </c>
      <c r="D724" s="72" t="n">
        <v>248.646</v>
      </c>
      <c r="G724" s="71" t="n">
        <v>42614</v>
      </c>
      <c r="H724" s="72" t="n">
        <v>192.003</v>
      </c>
    </row>
    <row r="725">
      <c r="A725" s="71" t="n">
        <v>38991</v>
      </c>
      <c r="B725" s="72" t="n">
        <v>201.9</v>
      </c>
      <c r="C725" s="71" t="n">
        <v>42644</v>
      </c>
      <c r="D725" s="72" t="n">
        <v>249.011</v>
      </c>
      <c r="G725" s="71" t="n">
        <v>42644</v>
      </c>
      <c r="H725" s="72" t="n">
        <v>196.813</v>
      </c>
    </row>
    <row r="726">
      <c r="A726" s="71" t="n">
        <v>39022</v>
      </c>
      <c r="B726" s="72" t="n">
        <v>202</v>
      </c>
      <c r="C726" s="71" t="n">
        <v>42675</v>
      </c>
      <c r="D726" s="72" t="n">
        <v>249.464</v>
      </c>
      <c r="G726" s="71" t="n">
        <v>42675</v>
      </c>
      <c r="H726" s="72" t="n">
        <v>198.73</v>
      </c>
    </row>
    <row r="727">
      <c r="A727" s="71" t="n">
        <v>39052</v>
      </c>
      <c r="B727" s="72" t="n">
        <v>203.1</v>
      </c>
      <c r="C727" s="71" t="n">
        <v>42705</v>
      </c>
      <c r="D727" s="72" t="n">
        <v>250.013</v>
      </c>
      <c r="G727" s="71" t="n">
        <v>42705</v>
      </c>
      <c r="H727" s="72" t="n">
        <v>201.148</v>
      </c>
    </row>
    <row r="728">
      <c r="A728" s="71" t="n">
        <v>39083</v>
      </c>
      <c r="B728" s="72" t="n">
        <v>203.437</v>
      </c>
      <c r="C728" s="71" t="n">
        <v>42736</v>
      </c>
      <c r="D728" s="72" t="n">
        <v>250.783</v>
      </c>
      <c r="G728" s="71" t="n">
        <v>42736</v>
      </c>
      <c r="H728" s="72" t="n">
        <v>209.138</v>
      </c>
    </row>
    <row r="729">
      <c r="A729" s="71" t="n">
        <v>39114</v>
      </c>
      <c r="B729" s="72" t="n">
        <v>204.226</v>
      </c>
    </row>
    <row r="730">
      <c r="A730" s="71" t="n">
        <v>39142</v>
      </c>
      <c r="B730" s="72" t="n">
        <v>205.288</v>
      </c>
    </row>
    <row r="731">
      <c r="A731" s="71" t="n">
        <v>39173</v>
      </c>
      <c r="B731" s="72" t="n">
        <v>205.904</v>
      </c>
    </row>
    <row r="732">
      <c r="A732" s="71" t="n">
        <v>39203</v>
      </c>
      <c r="B732" s="72" t="n">
        <v>206.755</v>
      </c>
    </row>
    <row r="733">
      <c r="A733" s="71" t="n">
        <v>39234</v>
      </c>
      <c r="B733" s="72" t="n">
        <v>207.234</v>
      </c>
    </row>
    <row r="734">
      <c r="A734" s="71" t="n">
        <v>39264</v>
      </c>
      <c r="B734" s="72" t="n">
        <v>207.603</v>
      </c>
    </row>
    <row r="735">
      <c r="A735" s="71" t="n">
        <v>39295</v>
      </c>
      <c r="B735" s="72" t="n">
        <v>207.667</v>
      </c>
    </row>
    <row r="736">
      <c r="A736" s="71" t="n">
        <v>39326</v>
      </c>
      <c r="B736" s="72" t="n">
        <v>208.547</v>
      </c>
    </row>
    <row r="737">
      <c r="A737" s="71" t="n">
        <v>39356</v>
      </c>
      <c r="B737" s="72" t="n">
        <v>209.19</v>
      </c>
    </row>
    <row r="738">
      <c r="A738" s="71" t="n">
        <v>39387</v>
      </c>
      <c r="B738" s="72" t="n">
        <v>210.834</v>
      </c>
    </row>
    <row r="739">
      <c r="A739" s="71" t="n">
        <v>39417</v>
      </c>
      <c r="B739" s="72" t="n">
        <v>211.445</v>
      </c>
    </row>
    <row r="740">
      <c r="A740" s="71" t="n">
        <v>39448</v>
      </c>
      <c r="B740" s="72" t="n">
        <v>212.174</v>
      </c>
    </row>
    <row r="741">
      <c r="A741" s="71" t="n">
        <v>39479</v>
      </c>
      <c r="B741" s="72" t="n">
        <v>212.687</v>
      </c>
    </row>
    <row r="742">
      <c r="A742" s="71" t="n">
        <v>39508</v>
      </c>
      <c r="B742" s="72" t="n">
        <v>213.448</v>
      </c>
    </row>
    <row r="743">
      <c r="A743" s="71" t="n">
        <v>39539</v>
      </c>
      <c r="B743" s="72" t="n">
        <v>213.942</v>
      </c>
    </row>
    <row r="744">
      <c r="A744" s="71" t="n">
        <v>39569</v>
      </c>
      <c r="B744" s="72" t="n">
        <v>215.208</v>
      </c>
    </row>
    <row r="745">
      <c r="A745" s="71" t="n">
        <v>39600</v>
      </c>
      <c r="B745" s="72" t="n">
        <v>217.463</v>
      </c>
    </row>
    <row r="746">
      <c r="A746" s="71" t="n">
        <v>39630</v>
      </c>
      <c r="B746" s="72" t="n">
        <v>219.016</v>
      </c>
    </row>
    <row r="747">
      <c r="A747" s="71" t="n">
        <v>39661</v>
      </c>
      <c r="B747" s="72" t="n">
        <v>218.69</v>
      </c>
    </row>
    <row r="748">
      <c r="A748" s="71" t="n">
        <v>39692</v>
      </c>
      <c r="B748" s="72" t="n">
        <v>218.877</v>
      </c>
    </row>
    <row r="749">
      <c r="A749" s="71" t="n">
        <v>39722</v>
      </c>
      <c r="B749" s="72" t="n">
        <v>216.995</v>
      </c>
    </row>
    <row r="750">
      <c r="A750" s="71" t="n">
        <v>39753</v>
      </c>
      <c r="B750" s="72" t="n">
        <v>213.153</v>
      </c>
    </row>
    <row r="751">
      <c r="A751" s="71" t="n">
        <v>39783</v>
      </c>
      <c r="B751" s="72" t="n">
        <v>211.398</v>
      </c>
    </row>
    <row r="752">
      <c r="A752" s="71" t="n">
        <v>39814</v>
      </c>
      <c r="B752" s="72" t="n">
        <v>211.933</v>
      </c>
    </row>
    <row r="753">
      <c r="A753" s="71" t="n">
        <v>39845</v>
      </c>
      <c r="B753" s="72" t="n">
        <v>212.705</v>
      </c>
    </row>
    <row r="754">
      <c r="A754" s="71" t="n">
        <v>39873</v>
      </c>
      <c r="B754" s="72" t="n">
        <v>212.495</v>
      </c>
    </row>
    <row r="755">
      <c r="A755" s="71" t="n">
        <v>39904</v>
      </c>
      <c r="B755" s="72" t="n">
        <v>212.709</v>
      </c>
    </row>
    <row r="756">
      <c r="A756" s="71" t="n">
        <v>39934</v>
      </c>
      <c r="B756" s="72" t="n">
        <v>213.022</v>
      </c>
    </row>
    <row r="757">
      <c r="A757" s="71" t="n">
        <v>39965</v>
      </c>
      <c r="B757" s="72" t="n">
        <v>214.79</v>
      </c>
    </row>
    <row r="758">
      <c r="A758" s="71" t="n">
        <v>39995</v>
      </c>
      <c r="B758" s="72" t="n">
        <v>214.726</v>
      </c>
    </row>
    <row r="759">
      <c r="A759" s="71" t="n">
        <v>40026</v>
      </c>
      <c r="B759" s="72" t="n">
        <v>215.445</v>
      </c>
    </row>
    <row r="760">
      <c r="A760" s="71" t="n">
        <v>40057</v>
      </c>
      <c r="B760" s="72" t="n">
        <v>215.861</v>
      </c>
    </row>
    <row r="761">
      <c r="A761" s="71" t="n">
        <v>40087</v>
      </c>
      <c r="B761" s="72" t="n">
        <v>216.509</v>
      </c>
    </row>
    <row r="762">
      <c r="A762" s="71" t="n">
        <v>40118</v>
      </c>
      <c r="B762" s="72" t="n">
        <v>217.234</v>
      </c>
    </row>
    <row r="763">
      <c r="A763" s="71" t="n">
        <v>40148</v>
      </c>
      <c r="B763" s="72" t="n">
        <v>217.347</v>
      </c>
    </row>
    <row r="764">
      <c r="A764" s="71" t="n">
        <v>40179</v>
      </c>
      <c r="B764" s="72" t="n">
        <v>217.488</v>
      </c>
    </row>
    <row r="765">
      <c r="A765" s="71" t="n">
        <v>40210</v>
      </c>
      <c r="B765" s="72" t="n">
        <v>217.281</v>
      </c>
    </row>
    <row r="766">
      <c r="A766" s="71" t="n">
        <v>40238</v>
      </c>
      <c r="B766" s="72" t="n">
        <v>217.353</v>
      </c>
    </row>
    <row r="767">
      <c r="A767" s="71" t="n">
        <v>40269</v>
      </c>
      <c r="B767" s="72" t="n">
        <v>217.403</v>
      </c>
    </row>
    <row r="768">
      <c r="A768" s="71" t="n">
        <v>40299</v>
      </c>
      <c r="B768" s="72" t="n">
        <v>217.29</v>
      </c>
    </row>
    <row r="769">
      <c r="A769" s="71" t="n">
        <v>40330</v>
      </c>
      <c r="B769" s="72" t="n">
        <v>217.199</v>
      </c>
    </row>
    <row r="770">
      <c r="A770" s="71" t="n">
        <v>40360</v>
      </c>
      <c r="B770" s="72" t="n">
        <v>217.605</v>
      </c>
    </row>
    <row r="771">
      <c r="A771" s="71" t="n">
        <v>40391</v>
      </c>
      <c r="B771" s="72" t="n">
        <v>217.923</v>
      </c>
    </row>
    <row r="772">
      <c r="A772" s="71" t="n">
        <v>40422</v>
      </c>
      <c r="B772" s="72" t="n">
        <v>218.275</v>
      </c>
    </row>
    <row r="773">
      <c r="A773" s="71" t="n">
        <v>40452</v>
      </c>
      <c r="B773" s="72" t="n">
        <v>219.035</v>
      </c>
    </row>
    <row r="774">
      <c r="A774" s="71" t="n">
        <v>40483</v>
      </c>
      <c r="B774" s="72" t="n">
        <v>219.59</v>
      </c>
    </row>
    <row r="775">
      <c r="A775" s="71" t="n">
        <v>40513</v>
      </c>
      <c r="B775" s="72" t="n">
        <v>220.472</v>
      </c>
    </row>
    <row r="776">
      <c r="A776" s="71" t="n">
        <v>40544</v>
      </c>
      <c r="B776" s="72" t="n">
        <v>221.187</v>
      </c>
    </row>
    <row r="777">
      <c r="A777" s="71" t="n">
        <v>40575</v>
      </c>
      <c r="B777" s="72" t="n">
        <v>221.898</v>
      </c>
    </row>
    <row r="778">
      <c r="A778" s="71" t="n">
        <v>40603</v>
      </c>
      <c r="B778" s="72" t="n">
        <v>223.046</v>
      </c>
    </row>
    <row r="779">
      <c r="A779" s="71" t="n">
        <v>40634</v>
      </c>
      <c r="B779" s="72" t="n">
        <v>224.093</v>
      </c>
    </row>
    <row r="780">
      <c r="A780" s="71" t="n">
        <v>40664</v>
      </c>
      <c r="B780" s="72" t="n">
        <v>224.806</v>
      </c>
    </row>
    <row r="781">
      <c r="A781" s="71" t="n">
        <v>40695</v>
      </c>
      <c r="B781" s="72" t="n">
        <v>224.806</v>
      </c>
    </row>
    <row r="782">
      <c r="A782" s="71" t="n">
        <v>40725</v>
      </c>
      <c r="B782" s="72" t="n">
        <v>225.395</v>
      </c>
    </row>
    <row r="783">
      <c r="A783" s="71" t="n">
        <v>40756</v>
      </c>
      <c r="B783" s="72" t="n">
        <v>226.106</v>
      </c>
    </row>
    <row r="784">
      <c r="A784" s="71" t="n">
        <v>40787</v>
      </c>
      <c r="B784" s="72" t="n">
        <v>226.597</v>
      </c>
    </row>
    <row r="785">
      <c r="A785" s="71" t="n">
        <v>40817</v>
      </c>
      <c r="B785" s="72" t="n">
        <v>226.75</v>
      </c>
    </row>
    <row r="786">
      <c r="A786" s="71" t="n">
        <v>40848</v>
      </c>
      <c r="B786" s="72" t="n">
        <v>227.169</v>
      </c>
    </row>
    <row r="787">
      <c r="A787" s="71" t="n">
        <v>40878</v>
      </c>
      <c r="B787" s="72" t="n">
        <v>227.223</v>
      </c>
    </row>
    <row r="788">
      <c r="A788" s="71" t="n">
        <v>40909</v>
      </c>
      <c r="B788" s="72" t="n">
        <v>227.842</v>
      </c>
    </row>
    <row r="789">
      <c r="A789" s="71" t="n">
        <v>40940</v>
      </c>
      <c r="B789" s="72" t="n">
        <v>228.329</v>
      </c>
    </row>
    <row r="790">
      <c r="A790" s="71" t="n">
        <v>40969</v>
      </c>
      <c r="B790" s="72" t="n">
        <v>228.807</v>
      </c>
    </row>
    <row r="791">
      <c r="A791" s="71" t="n">
        <v>41000</v>
      </c>
      <c r="B791" s="72" t="n">
        <v>229.187</v>
      </c>
    </row>
    <row r="792">
      <c r="A792" s="71" t="n">
        <v>41030</v>
      </c>
      <c r="B792" s="72" t="n">
        <v>228.713</v>
      </c>
    </row>
    <row r="793">
      <c r="A793" s="71" t="n">
        <v>41061</v>
      </c>
      <c r="B793" s="72" t="n">
        <v>228.524</v>
      </c>
    </row>
    <row r="794">
      <c r="A794" s="71" t="n">
        <v>41091</v>
      </c>
      <c r="B794" s="72" t="n">
        <v>228.59</v>
      </c>
    </row>
    <row r="795">
      <c r="A795" s="71" t="n">
        <v>41122</v>
      </c>
      <c r="B795" s="72" t="n">
        <v>229.918</v>
      </c>
    </row>
    <row r="796">
      <c r="A796" s="71" t="n">
        <v>41153</v>
      </c>
      <c r="B796" s="72" t="n">
        <v>231.015</v>
      </c>
    </row>
    <row r="797">
      <c r="A797" s="71" t="n">
        <v>41183</v>
      </c>
      <c r="B797" s="72" t="n">
        <v>231.638</v>
      </c>
    </row>
    <row r="798">
      <c r="A798" s="71" t="n">
        <v>41214</v>
      </c>
      <c r="B798" s="72" t="n">
        <v>231.249</v>
      </c>
    </row>
    <row r="799">
      <c r="A799" s="71" t="n">
        <v>41244</v>
      </c>
      <c r="B799" s="72" t="n">
        <v>231.221</v>
      </c>
    </row>
    <row r="800">
      <c r="A800" s="71" t="n">
        <v>41275</v>
      </c>
      <c r="B800" s="72" t="n">
        <v>231.612</v>
      </c>
    </row>
    <row r="801">
      <c r="A801" s="71" t="n">
        <v>41306</v>
      </c>
      <c r="B801" s="72" t="n">
        <v>232.985</v>
      </c>
    </row>
    <row r="802">
      <c r="A802" s="71" t="n">
        <v>41334</v>
      </c>
      <c r="B802" s="72" t="n">
        <v>232.299</v>
      </c>
    </row>
    <row r="803">
      <c r="A803" s="71" t="n">
        <v>41365</v>
      </c>
      <c r="B803" s="72" t="n">
        <v>231.795</v>
      </c>
    </row>
    <row r="804">
      <c r="A804" s="71" t="n">
        <v>41395</v>
      </c>
      <c r="B804" s="72" t="n">
        <v>231.916</v>
      </c>
    </row>
    <row r="805">
      <c r="A805" s="71" t="n">
        <v>41426</v>
      </c>
      <c r="B805" s="72" t="n">
        <v>232.374</v>
      </c>
    </row>
    <row r="806">
      <c r="A806" s="71" t="n">
        <v>41456</v>
      </c>
      <c r="B806" s="72" t="n">
        <v>232.889</v>
      </c>
    </row>
    <row r="807">
      <c r="A807" s="71" t="n">
        <v>41487</v>
      </c>
      <c r="B807" s="72" t="n">
        <v>233.323</v>
      </c>
    </row>
    <row r="808">
      <c r="A808" s="71" t="n">
        <v>41518</v>
      </c>
      <c r="B808" s="72" t="n">
        <v>233.632</v>
      </c>
    </row>
    <row r="809">
      <c r="A809" s="71" t="n">
        <v>41548</v>
      </c>
      <c r="B809" s="72" t="n">
        <v>233.718</v>
      </c>
    </row>
    <row r="810">
      <c r="A810" s="71" t="n">
        <v>41579</v>
      </c>
      <c r="B810" s="72" t="n">
        <v>234.121</v>
      </c>
    </row>
    <row r="811">
      <c r="A811" s="71" t="n">
        <v>41609</v>
      </c>
      <c r="B811" s="72" t="n">
        <v>234.723</v>
      </c>
    </row>
    <row r="812">
      <c r="A812" s="71" t="n">
        <v>41640</v>
      </c>
      <c r="B812" s="72" t="n">
        <v>235.385</v>
      </c>
    </row>
    <row r="813">
      <c r="A813" s="71" t="n">
        <v>41671</v>
      </c>
      <c r="B813" s="72" t="n">
        <v>235.672</v>
      </c>
    </row>
    <row r="814">
      <c r="A814" s="71" t="n">
        <v>41699</v>
      </c>
      <c r="B814" s="72" t="n">
        <v>235.978</v>
      </c>
    </row>
    <row r="815">
      <c r="A815" s="71" t="n">
        <v>41730</v>
      </c>
      <c r="B815" s="72" t="n">
        <v>236.471</v>
      </c>
    </row>
    <row r="816">
      <c r="A816" s="71" t="n">
        <v>41760</v>
      </c>
      <c r="B816" s="72" t="n">
        <v>236.832</v>
      </c>
    </row>
    <row r="817">
      <c r="A817" s="71" t="n">
        <v>41791</v>
      </c>
      <c r="B817" s="72" t="n">
        <v>237.029</v>
      </c>
    </row>
    <row r="818">
      <c r="A818" s="71" t="n">
        <v>41821</v>
      </c>
      <c r="B818" s="72" t="n">
        <v>237.424</v>
      </c>
    </row>
    <row r="819">
      <c r="A819" s="71" t="n">
        <v>41852</v>
      </c>
      <c r="B819" s="72" t="n">
        <v>237.256</v>
      </c>
    </row>
    <row r="820">
      <c r="A820" s="71" t="n">
        <v>41883</v>
      </c>
      <c r="B820" s="72" t="n">
        <v>237.486</v>
      </c>
    </row>
    <row r="821">
      <c r="A821" s="71" t="n">
        <v>41913</v>
      </c>
      <c r="B821" s="72" t="n">
        <v>237.506</v>
      </c>
    </row>
    <row r="822">
      <c r="A822" s="71" t="n">
        <v>41944</v>
      </c>
      <c r="B822" s="72" t="n">
        <v>237.118</v>
      </c>
    </row>
    <row r="823">
      <c r="A823" s="71" t="n">
        <v>41974</v>
      </c>
      <c r="B823" s="72" t="n">
        <v>236.29</v>
      </c>
    </row>
    <row r="824">
      <c r="A824" s="71" t="n">
        <v>42005</v>
      </c>
      <c r="B824" s="72" t="n">
        <v>234.913</v>
      </c>
    </row>
    <row r="825">
      <c r="A825" s="71" t="n">
        <v>42036</v>
      </c>
      <c r="B825" s="72" t="n">
        <v>235.489</v>
      </c>
    </row>
    <row r="826">
      <c r="A826" s="71" t="n">
        <v>42064</v>
      </c>
      <c r="B826" s="72" t="n">
        <v>235.989</v>
      </c>
    </row>
    <row r="827">
      <c r="A827" s="71" t="n">
        <v>42095</v>
      </c>
      <c r="B827" s="72" t="n">
        <v>236.201</v>
      </c>
    </row>
    <row r="828">
      <c r="A828" s="71" t="n">
        <v>42125</v>
      </c>
      <c r="B828" s="72" t="n">
        <v>236.891</v>
      </c>
    </row>
    <row r="829">
      <c r="A829" s="71" t="n">
        <v>42156</v>
      </c>
      <c r="B829" s="72" t="n">
        <v>237.419</v>
      </c>
    </row>
    <row r="830">
      <c r="A830" s="71" t="n">
        <v>42186</v>
      </c>
      <c r="B830" s="72" t="n">
        <v>237.876</v>
      </c>
    </row>
    <row r="831">
      <c r="A831" s="71" t="n">
        <v>42217</v>
      </c>
      <c r="B831" s="72" t="n">
        <v>237.811</v>
      </c>
    </row>
    <row r="832">
      <c r="A832" s="71" t="n">
        <v>42248</v>
      </c>
      <c r="B832" s="72" t="n">
        <v>237.467</v>
      </c>
    </row>
    <row r="833">
      <c r="A833" s="71" t="n">
        <v>42278</v>
      </c>
      <c r="B833" s="72" t="n">
        <v>237.792</v>
      </c>
    </row>
    <row r="834">
      <c r="A834" s="71" t="n">
        <v>42309</v>
      </c>
      <c r="B834" s="72" t="n">
        <v>238.153</v>
      </c>
    </row>
    <row r="835">
      <c r="A835" s="71" t="n">
        <v>42339</v>
      </c>
      <c r="B835" s="72" t="n">
        <v>237.846</v>
      </c>
    </row>
    <row r="836">
      <c r="A836" s="71" t="n">
        <v>42370</v>
      </c>
      <c r="B836" s="72" t="n">
        <v>238.106</v>
      </c>
    </row>
    <row r="837">
      <c r="A837" s="71" t="n">
        <v>42401</v>
      </c>
      <c r="B837" s="72" t="n">
        <v>237.808</v>
      </c>
    </row>
    <row r="838">
      <c r="A838" s="71" t="n">
        <v>42430</v>
      </c>
      <c r="B838" s="72" t="n">
        <v>238.078</v>
      </c>
    </row>
    <row r="839">
      <c r="A839" s="71" t="n">
        <v>42461</v>
      </c>
      <c r="B839" s="72" t="n">
        <v>238.908</v>
      </c>
    </row>
    <row r="840">
      <c r="A840" s="71" t="n">
        <v>42491</v>
      </c>
      <c r="B840" s="72" t="n">
        <v>239.362</v>
      </c>
    </row>
    <row r="841">
      <c r="A841" s="71" t="n">
        <v>42522</v>
      </c>
      <c r="B841" s="72" t="n">
        <v>239.842</v>
      </c>
    </row>
    <row r="842">
      <c r="A842" s="71" t="n">
        <v>42552</v>
      </c>
      <c r="B842" s="72" t="n">
        <v>239.898</v>
      </c>
    </row>
    <row r="843">
      <c r="A843" s="71" t="n">
        <v>42583</v>
      </c>
      <c r="B843" s="72" t="n">
        <v>240.389</v>
      </c>
    </row>
    <row r="844">
      <c r="A844" s="71" t="n">
        <v>42614</v>
      </c>
      <c r="B844" s="72" t="n">
        <v>241.006</v>
      </c>
    </row>
    <row r="845">
      <c r="A845" s="71" t="n">
        <v>42644</v>
      </c>
      <c r="B845" s="72" t="n">
        <v>241.694</v>
      </c>
    </row>
    <row r="846">
      <c r="A846" s="71" t="n">
        <v>42675</v>
      </c>
      <c r="B846" s="72" t="n">
        <v>242.199</v>
      </c>
    </row>
    <row r="847">
      <c r="A847" s="71" t="n">
        <v>42705</v>
      </c>
      <c r="B847" s="72" t="n">
        <v>242.821</v>
      </c>
    </row>
    <row r="848">
      <c r="A848" s="71" t="n">
        <v>42736</v>
      </c>
      <c r="B848" s="72"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10" defaultColWidth="12" defaultRowHeight="15"/>
  <cols>
    <col width="12" customWidth="1" style="71" min="1" max="1"/>
    <col width="12" customWidth="1" style="72" min="2" max="2"/>
    <col width="12" customWidth="1" style="71" min="3" max="3"/>
    <col width="12" customWidth="1" style="72" min="4" max="4"/>
    <col width="12" customWidth="1" style="71" min="5" max="5"/>
    <col width="12" customWidth="1" style="72" min="6" max="6"/>
  </cols>
  <sheetData>
    <row r="1">
      <c r="A1" s="71" t="inlineStr">
        <is>
          <t>DFEDTARU</t>
        </is>
      </c>
      <c r="C1" s="71" t="inlineStr">
        <is>
          <t>DFEDTARL</t>
        </is>
      </c>
      <c r="E1" s="71" t="inlineStr">
        <is>
          <t>FEDFUNDS</t>
        </is>
      </c>
    </row>
    <row r="2">
      <c r="A2" s="71" t="inlineStr">
        <is>
          <t>lin</t>
        </is>
      </c>
      <c r="B2" s="72" t="inlineStr">
        <is>
          <t>Percent</t>
        </is>
      </c>
      <c r="C2" s="71" t="inlineStr">
        <is>
          <t>lin</t>
        </is>
      </c>
      <c r="D2" s="72" t="inlineStr">
        <is>
          <t>Percent</t>
        </is>
      </c>
      <c r="E2" s="71" t="inlineStr">
        <is>
          <t>lin</t>
        </is>
      </c>
      <c r="F2" s="72" t="inlineStr">
        <is>
          <t>Percent</t>
        </is>
      </c>
    </row>
    <row r="3">
      <c r="A3" s="71" t="inlineStr">
        <is>
          <t>D</t>
        </is>
      </c>
      <c r="B3" s="72" t="inlineStr">
        <is>
          <t>Daily, 7-Day</t>
        </is>
      </c>
      <c r="C3" s="71" t="inlineStr">
        <is>
          <t>D</t>
        </is>
      </c>
      <c r="D3" s="72" t="inlineStr">
        <is>
          <t>Daily, 7-Day</t>
        </is>
      </c>
      <c r="E3" s="71" t="inlineStr">
        <is>
          <t>M</t>
        </is>
      </c>
      <c r="F3" s="72" t="inlineStr">
        <is>
          <t>Monthly</t>
        </is>
      </c>
    </row>
    <row r="4">
      <c r="A4" s="71" t="n">
        <v>39798</v>
      </c>
      <c r="B4" s="72" t="inlineStr">
        <is>
          <t>2008-12-16 to 2017-02-14</t>
        </is>
      </c>
      <c r="C4" s="71" t="n">
        <v>39798</v>
      </c>
      <c r="D4" s="72" t="inlineStr">
        <is>
          <t>2008-12-16 to 2017-02-14</t>
        </is>
      </c>
      <c r="E4" s="71" t="n">
        <v>19906</v>
      </c>
      <c r="F4" s="72" t="inlineStr">
        <is>
          <t>1954-07-01 to 2017-01-01</t>
        </is>
      </c>
    </row>
    <row r="5">
      <c r="A5" s="73" t="inlineStr">
        <is>
          <t>Federal Funds Target Range - Upper Limit</t>
        </is>
      </c>
      <c r="C5" s="73" t="inlineStr">
        <is>
          <t>Federal Funds Target Range - Lower Limit</t>
        </is>
      </c>
      <c r="E5" s="73" t="inlineStr">
        <is>
          <t>Effective Federal Funds Rate</t>
        </is>
      </c>
    </row>
    <row r="6">
      <c r="A6" s="71" t="inlineStr">
        <is>
          <t>Board of Governors of the Federal Reserve System (US)</t>
        </is>
      </c>
      <c r="C6" s="71" t="inlineStr">
        <is>
          <t>Board of Governors of the Federal Reserve System (US)</t>
        </is>
      </c>
      <c r="E6" s="71" t="inlineStr">
        <is>
          <t>Board of Governors of the Federal Reserve System (US)</t>
        </is>
      </c>
    </row>
    <row r="7">
      <c r="A7" s="71" t="inlineStr">
        <is>
          <t>date</t>
        </is>
      </c>
      <c r="B7" s="72" t="inlineStr">
        <is>
          <t>value</t>
        </is>
      </c>
      <c r="C7" s="71" t="inlineStr">
        <is>
          <t>date</t>
        </is>
      </c>
      <c r="D7" s="72" t="inlineStr">
        <is>
          <t>value</t>
        </is>
      </c>
      <c r="E7" s="71" t="inlineStr">
        <is>
          <t>date</t>
        </is>
      </c>
      <c r="F7" s="72" t="inlineStr">
        <is>
          <t>value</t>
        </is>
      </c>
    </row>
    <row r="8">
      <c r="A8" s="71" t="n">
        <v>39798</v>
      </c>
      <c r="B8" s="72" t="n">
        <v>0.25</v>
      </c>
      <c r="C8" s="71" t="n">
        <v>39798</v>
      </c>
      <c r="D8" s="72" t="n">
        <v>0</v>
      </c>
      <c r="E8" s="71" t="n">
        <v>19906</v>
      </c>
      <c r="F8" s="72" t="n">
        <v>0.8</v>
      </c>
    </row>
    <row r="9">
      <c r="A9" s="71" t="n">
        <v>39799</v>
      </c>
      <c r="B9" s="72" t="n">
        <v>0.25</v>
      </c>
      <c r="C9" s="71" t="n">
        <v>39799</v>
      </c>
      <c r="D9" s="72" t="n">
        <v>0</v>
      </c>
      <c r="E9" s="71" t="n">
        <v>19937</v>
      </c>
      <c r="F9" s="72" t="n">
        <v>1.22</v>
      </c>
    </row>
    <row r="10">
      <c r="A10" s="71" t="n">
        <v>39800</v>
      </c>
      <c r="B10" s="72" t="n">
        <v>0.25</v>
      </c>
      <c r="C10" s="71" t="n">
        <v>39800</v>
      </c>
      <c r="D10" s="72" t="n">
        <v>0</v>
      </c>
      <c r="E10" s="71" t="n">
        <v>19968</v>
      </c>
      <c r="F10" s="72" t="n">
        <v>1.06</v>
      </c>
    </row>
    <row r="11">
      <c r="A11" s="71" t="n">
        <v>39801</v>
      </c>
      <c r="B11" s="72" t="n">
        <v>0.25</v>
      </c>
      <c r="C11" s="71" t="n">
        <v>39801</v>
      </c>
      <c r="D11" s="72" t="n">
        <v>0</v>
      </c>
      <c r="E11" s="71" t="n">
        <v>19998</v>
      </c>
      <c r="F11" s="72" t="n">
        <v>0.85</v>
      </c>
    </row>
    <row r="12">
      <c r="A12" s="71" t="n">
        <v>39802</v>
      </c>
      <c r="B12" s="72" t="n">
        <v>0.25</v>
      </c>
      <c r="C12" s="71" t="n">
        <v>39802</v>
      </c>
      <c r="D12" s="72" t="n">
        <v>0</v>
      </c>
      <c r="E12" s="71" t="n">
        <v>20029</v>
      </c>
      <c r="F12" s="72" t="n">
        <v>0.83</v>
      </c>
    </row>
    <row r="13">
      <c r="A13" s="71" t="n">
        <v>39803</v>
      </c>
      <c r="B13" s="72" t="n">
        <v>0.25</v>
      </c>
      <c r="C13" s="71" t="n">
        <v>39803</v>
      </c>
      <c r="D13" s="72" t="n">
        <v>0</v>
      </c>
      <c r="E13" s="71" t="n">
        <v>20059</v>
      </c>
      <c r="F13" s="72" t="n">
        <v>1.28</v>
      </c>
    </row>
    <row r="14">
      <c r="A14" s="71" t="n">
        <v>39804</v>
      </c>
      <c r="B14" s="72" t="n">
        <v>0.25</v>
      </c>
      <c r="C14" s="71" t="n">
        <v>39804</v>
      </c>
      <c r="D14" s="72" t="n">
        <v>0</v>
      </c>
      <c r="E14" s="71" t="n">
        <v>20090</v>
      </c>
      <c r="F14" s="72" t="n">
        <v>1.39</v>
      </c>
    </row>
    <row r="15">
      <c r="A15" s="71" t="n">
        <v>39805</v>
      </c>
      <c r="B15" s="72" t="n">
        <v>0.25</v>
      </c>
      <c r="C15" s="71" t="n">
        <v>39805</v>
      </c>
      <c r="D15" s="72" t="n">
        <v>0</v>
      </c>
      <c r="E15" s="71" t="n">
        <v>20121</v>
      </c>
      <c r="F15" s="72" t="n">
        <v>1.29</v>
      </c>
    </row>
    <row r="16">
      <c r="A16" s="71" t="n">
        <v>39806</v>
      </c>
      <c r="B16" s="72" t="n">
        <v>0.25</v>
      </c>
      <c r="C16" s="71" t="n">
        <v>39806</v>
      </c>
      <c r="D16" s="72" t="n">
        <v>0</v>
      </c>
      <c r="E16" s="71" t="n">
        <v>20149</v>
      </c>
      <c r="F16" s="72" t="n">
        <v>1.35</v>
      </c>
    </row>
    <row r="17">
      <c r="A17" s="71" t="n">
        <v>39807</v>
      </c>
      <c r="B17" s="72" t="n">
        <v>0.25</v>
      </c>
      <c r="C17" s="71" t="n">
        <v>39807</v>
      </c>
      <c r="D17" s="72" t="n">
        <v>0</v>
      </c>
      <c r="E17" s="71" t="n">
        <v>20180</v>
      </c>
      <c r="F17" s="72" t="n">
        <v>1.43</v>
      </c>
    </row>
    <row r="18">
      <c r="A18" s="71" t="n">
        <v>39808</v>
      </c>
      <c r="B18" s="72" t="n">
        <v>0.25</v>
      </c>
      <c r="C18" s="71" t="n">
        <v>39808</v>
      </c>
      <c r="D18" s="72" t="n">
        <v>0</v>
      </c>
      <c r="E18" s="71" t="n">
        <v>20210</v>
      </c>
      <c r="F18" s="72" t="n">
        <v>1.43</v>
      </c>
    </row>
    <row r="19">
      <c r="A19" s="71" t="n">
        <v>39809</v>
      </c>
      <c r="B19" s="72" t="n">
        <v>0.25</v>
      </c>
      <c r="C19" s="71" t="n">
        <v>39809</v>
      </c>
      <c r="D19" s="72" t="n">
        <v>0</v>
      </c>
      <c r="E19" s="71" t="n">
        <v>20241</v>
      </c>
      <c r="F19" s="72" t="n">
        <v>1.64</v>
      </c>
    </row>
    <row r="20">
      <c r="A20" s="71" t="n">
        <v>39810</v>
      </c>
      <c r="B20" s="72" t="n">
        <v>0.25</v>
      </c>
      <c r="C20" s="71" t="n">
        <v>39810</v>
      </c>
      <c r="D20" s="72" t="n">
        <v>0</v>
      </c>
      <c r="E20" s="71" t="n">
        <v>20271</v>
      </c>
      <c r="F20" s="72" t="n">
        <v>1.68</v>
      </c>
    </row>
    <row r="21">
      <c r="A21" s="71" t="n">
        <v>39811</v>
      </c>
      <c r="B21" s="72" t="n">
        <v>0.25</v>
      </c>
      <c r="C21" s="71" t="n">
        <v>39811</v>
      </c>
      <c r="D21" s="72" t="n">
        <v>0</v>
      </c>
      <c r="E21" s="71" t="n">
        <v>20302</v>
      </c>
      <c r="F21" s="72" t="n">
        <v>1.96</v>
      </c>
    </row>
    <row r="22">
      <c r="A22" s="71" t="n">
        <v>39812</v>
      </c>
      <c r="B22" s="72" t="n">
        <v>0.25</v>
      </c>
      <c r="C22" s="71" t="n">
        <v>39812</v>
      </c>
      <c r="D22" s="72" t="n">
        <v>0</v>
      </c>
      <c r="E22" s="71" t="n">
        <v>20333</v>
      </c>
      <c r="F22" s="72" t="n">
        <v>2.18</v>
      </c>
    </row>
    <row r="23">
      <c r="A23" s="71" t="n">
        <v>39813</v>
      </c>
      <c r="B23" s="72" t="n">
        <v>0.25</v>
      </c>
      <c r="C23" s="71" t="n">
        <v>39813</v>
      </c>
      <c r="D23" s="72" t="n">
        <v>0</v>
      </c>
      <c r="E23" s="71" t="n">
        <v>20363</v>
      </c>
      <c r="F23" s="72" t="n">
        <v>2.24</v>
      </c>
    </row>
    <row r="24">
      <c r="A24" s="71" t="n">
        <v>39814</v>
      </c>
      <c r="B24" s="72" t="n">
        <v>0.25</v>
      </c>
      <c r="C24" s="71" t="n">
        <v>39814</v>
      </c>
      <c r="D24" s="72" t="n">
        <v>0</v>
      </c>
      <c r="E24" s="71" t="n">
        <v>20394</v>
      </c>
      <c r="F24" s="72" t="n">
        <v>2.35</v>
      </c>
    </row>
    <row r="25">
      <c r="A25" s="71" t="n">
        <v>39815</v>
      </c>
      <c r="B25" s="72" t="n">
        <v>0.25</v>
      </c>
      <c r="C25" s="71" t="n">
        <v>39815</v>
      </c>
      <c r="D25" s="72" t="n">
        <v>0</v>
      </c>
      <c r="E25" s="71" t="n">
        <v>20424</v>
      </c>
      <c r="F25" s="72" t="n">
        <v>2.48</v>
      </c>
    </row>
    <row r="26">
      <c r="A26" s="71" t="n">
        <v>39816</v>
      </c>
      <c r="B26" s="72" t="n">
        <v>0.25</v>
      </c>
      <c r="C26" s="71" t="n">
        <v>39816</v>
      </c>
      <c r="D26" s="72" t="n">
        <v>0</v>
      </c>
      <c r="E26" s="71" t="n">
        <v>20455</v>
      </c>
      <c r="F26" s="72" t="n">
        <v>2.45</v>
      </c>
    </row>
    <row r="27">
      <c r="A27" s="71" t="n">
        <v>39817</v>
      </c>
      <c r="B27" s="72" t="n">
        <v>0.25</v>
      </c>
      <c r="C27" s="71" t="n">
        <v>39817</v>
      </c>
      <c r="D27" s="72" t="n">
        <v>0</v>
      </c>
      <c r="E27" s="71" t="n">
        <v>20486</v>
      </c>
      <c r="F27" s="72" t="n">
        <v>2.5</v>
      </c>
    </row>
    <row r="28">
      <c r="A28" s="71" t="n">
        <v>39818</v>
      </c>
      <c r="B28" s="72" t="n">
        <v>0.25</v>
      </c>
      <c r="C28" s="71" t="n">
        <v>39818</v>
      </c>
      <c r="D28" s="72" t="n">
        <v>0</v>
      </c>
      <c r="E28" s="71" t="n">
        <v>20515</v>
      </c>
      <c r="F28" s="72" t="n">
        <v>2.5</v>
      </c>
    </row>
    <row r="29">
      <c r="A29" s="71" t="n">
        <v>39819</v>
      </c>
      <c r="B29" s="72" t="n">
        <v>0.25</v>
      </c>
      <c r="C29" s="71" t="n">
        <v>39819</v>
      </c>
      <c r="D29" s="72" t="n">
        <v>0</v>
      </c>
      <c r="E29" s="71" t="n">
        <v>20546</v>
      </c>
      <c r="F29" s="72" t="n">
        <v>2.62</v>
      </c>
    </row>
    <row r="30">
      <c r="A30" s="71" t="n">
        <v>39820</v>
      </c>
      <c r="B30" s="72" t="n">
        <v>0.25</v>
      </c>
      <c r="C30" s="71" t="n">
        <v>39820</v>
      </c>
      <c r="D30" s="72" t="n">
        <v>0</v>
      </c>
      <c r="E30" s="71" t="n">
        <v>20576</v>
      </c>
      <c r="F30" s="72" t="n">
        <v>2.75</v>
      </c>
    </row>
    <row r="31">
      <c r="A31" s="71" t="n">
        <v>39821</v>
      </c>
      <c r="B31" s="72" t="n">
        <v>0.25</v>
      </c>
      <c r="C31" s="71" t="n">
        <v>39821</v>
      </c>
      <c r="D31" s="72" t="n">
        <v>0</v>
      </c>
      <c r="E31" s="71" t="n">
        <v>20607</v>
      </c>
      <c r="F31" s="72" t="n">
        <v>2.71</v>
      </c>
    </row>
    <row r="32">
      <c r="A32" s="71" t="n">
        <v>39822</v>
      </c>
      <c r="B32" s="72" t="n">
        <v>0.25</v>
      </c>
      <c r="C32" s="71" t="n">
        <v>39822</v>
      </c>
      <c r="D32" s="72" t="n">
        <v>0</v>
      </c>
      <c r="E32" s="71" t="n">
        <v>20637</v>
      </c>
      <c r="F32" s="72" t="n">
        <v>2.75</v>
      </c>
    </row>
    <row r="33">
      <c r="A33" s="71" t="n">
        <v>39823</v>
      </c>
      <c r="B33" s="72" t="n">
        <v>0.25</v>
      </c>
      <c r="C33" s="71" t="n">
        <v>39823</v>
      </c>
      <c r="D33" s="72" t="n">
        <v>0</v>
      </c>
      <c r="E33" s="71" t="n">
        <v>20668</v>
      </c>
      <c r="F33" s="72" t="n">
        <v>2.73</v>
      </c>
    </row>
    <row r="34">
      <c r="A34" s="71" t="n">
        <v>39824</v>
      </c>
      <c r="B34" s="72" t="n">
        <v>0.25</v>
      </c>
      <c r="C34" s="71" t="n">
        <v>39824</v>
      </c>
      <c r="D34" s="72" t="n">
        <v>0</v>
      </c>
      <c r="E34" s="71" t="n">
        <v>20699</v>
      </c>
      <c r="F34" s="72" t="n">
        <v>2.95</v>
      </c>
    </row>
    <row r="35">
      <c r="A35" s="71" t="n">
        <v>39825</v>
      </c>
      <c r="B35" s="72" t="n">
        <v>0.25</v>
      </c>
      <c r="C35" s="71" t="n">
        <v>39825</v>
      </c>
      <c r="D35" s="72" t="n">
        <v>0</v>
      </c>
      <c r="E35" s="71" t="n">
        <v>20729</v>
      </c>
      <c r="F35" s="72" t="n">
        <v>2.96</v>
      </c>
    </row>
    <row r="36">
      <c r="A36" s="71" t="n">
        <v>39826</v>
      </c>
      <c r="B36" s="72" t="n">
        <v>0.25</v>
      </c>
      <c r="C36" s="71" t="n">
        <v>39826</v>
      </c>
      <c r="D36" s="72" t="n">
        <v>0</v>
      </c>
      <c r="E36" s="71" t="n">
        <v>20760</v>
      </c>
      <c r="F36" s="72" t="n">
        <v>2.88</v>
      </c>
    </row>
    <row r="37">
      <c r="A37" s="71" t="n">
        <v>39827</v>
      </c>
      <c r="B37" s="72" t="n">
        <v>0.25</v>
      </c>
      <c r="C37" s="71" t="n">
        <v>39827</v>
      </c>
      <c r="D37" s="72" t="n">
        <v>0</v>
      </c>
      <c r="E37" s="71" t="n">
        <v>20790</v>
      </c>
      <c r="F37" s="72" t="n">
        <v>2.94</v>
      </c>
    </row>
    <row r="38">
      <c r="A38" s="71" t="n">
        <v>39828</v>
      </c>
      <c r="B38" s="72" t="n">
        <v>0.25</v>
      </c>
      <c r="C38" s="71" t="n">
        <v>39828</v>
      </c>
      <c r="D38" s="72" t="n">
        <v>0</v>
      </c>
      <c r="E38" s="71" t="n">
        <v>20821</v>
      </c>
      <c r="F38" s="72" t="n">
        <v>2.84</v>
      </c>
    </row>
    <row r="39">
      <c r="A39" s="71" t="n">
        <v>39829</v>
      </c>
      <c r="B39" s="72" t="n">
        <v>0.25</v>
      </c>
      <c r="C39" s="71" t="n">
        <v>39829</v>
      </c>
      <c r="D39" s="72" t="n">
        <v>0</v>
      </c>
      <c r="E39" s="71" t="n">
        <v>20852</v>
      </c>
      <c r="F39" s="72" t="n">
        <v>3</v>
      </c>
    </row>
    <row r="40">
      <c r="A40" s="71" t="n">
        <v>39830</v>
      </c>
      <c r="B40" s="72" t="n">
        <v>0.25</v>
      </c>
      <c r="C40" s="71" t="n">
        <v>39830</v>
      </c>
      <c r="D40" s="72" t="n">
        <v>0</v>
      </c>
      <c r="E40" s="71" t="n">
        <v>20880</v>
      </c>
      <c r="F40" s="72" t="n">
        <v>2.96</v>
      </c>
    </row>
    <row r="41">
      <c r="A41" s="71" t="n">
        <v>39831</v>
      </c>
      <c r="B41" s="72" t="n">
        <v>0.25</v>
      </c>
      <c r="C41" s="71" t="n">
        <v>39831</v>
      </c>
      <c r="D41" s="72" t="n">
        <v>0</v>
      </c>
      <c r="E41" s="71" t="n">
        <v>20911</v>
      </c>
      <c r="F41" s="72" t="n">
        <v>3</v>
      </c>
    </row>
    <row r="42">
      <c r="A42" s="71" t="n">
        <v>39832</v>
      </c>
      <c r="B42" s="72" t="n">
        <v>0.25</v>
      </c>
      <c r="C42" s="71" t="n">
        <v>39832</v>
      </c>
      <c r="D42" s="72" t="n">
        <v>0</v>
      </c>
      <c r="E42" s="71" t="n">
        <v>20941</v>
      </c>
      <c r="F42" s="72" t="n">
        <v>3</v>
      </c>
    </row>
    <row r="43">
      <c r="A43" s="71" t="n">
        <v>39833</v>
      </c>
      <c r="B43" s="72" t="n">
        <v>0.25</v>
      </c>
      <c r="C43" s="71" t="n">
        <v>39833</v>
      </c>
      <c r="D43" s="72" t="n">
        <v>0</v>
      </c>
      <c r="E43" s="71" t="n">
        <v>20972</v>
      </c>
      <c r="F43" s="72" t="n">
        <v>3</v>
      </c>
    </row>
    <row r="44">
      <c r="A44" s="71" t="n">
        <v>39834</v>
      </c>
      <c r="B44" s="72" t="n">
        <v>0.25</v>
      </c>
      <c r="C44" s="71" t="n">
        <v>39834</v>
      </c>
      <c r="D44" s="72" t="n">
        <v>0</v>
      </c>
      <c r="E44" s="71" t="n">
        <v>21002</v>
      </c>
      <c r="F44" s="72" t="n">
        <v>2.99</v>
      </c>
    </row>
    <row r="45">
      <c r="A45" s="71" t="n">
        <v>39835</v>
      </c>
      <c r="B45" s="72" t="n">
        <v>0.25</v>
      </c>
      <c r="C45" s="71" t="n">
        <v>39835</v>
      </c>
      <c r="D45" s="72" t="n">
        <v>0</v>
      </c>
      <c r="E45" s="71" t="n">
        <v>21033</v>
      </c>
      <c r="F45" s="72" t="n">
        <v>3.24</v>
      </c>
    </row>
    <row r="46">
      <c r="A46" s="71" t="n">
        <v>39836</v>
      </c>
      <c r="B46" s="72" t="n">
        <v>0.25</v>
      </c>
      <c r="C46" s="71" t="n">
        <v>39836</v>
      </c>
      <c r="D46" s="72" t="n">
        <v>0</v>
      </c>
      <c r="E46" s="71" t="n">
        <v>21064</v>
      </c>
      <c r="F46" s="72" t="n">
        <v>3.47</v>
      </c>
    </row>
    <row r="47">
      <c r="A47" s="71" t="n">
        <v>39837</v>
      </c>
      <c r="B47" s="72" t="n">
        <v>0.25</v>
      </c>
      <c r="C47" s="71" t="n">
        <v>39837</v>
      </c>
      <c r="D47" s="72" t="n">
        <v>0</v>
      </c>
      <c r="E47" s="71" t="n">
        <v>21094</v>
      </c>
      <c r="F47" s="72" t="n">
        <v>3.5</v>
      </c>
    </row>
    <row r="48">
      <c r="A48" s="71" t="n">
        <v>39838</v>
      </c>
      <c r="B48" s="72" t="n">
        <v>0.25</v>
      </c>
      <c r="C48" s="71" t="n">
        <v>39838</v>
      </c>
      <c r="D48" s="72" t="n">
        <v>0</v>
      </c>
      <c r="E48" s="71" t="n">
        <v>21125</v>
      </c>
      <c r="F48" s="72" t="n">
        <v>3.28</v>
      </c>
    </row>
    <row r="49">
      <c r="A49" s="71" t="n">
        <v>39839</v>
      </c>
      <c r="B49" s="72" t="n">
        <v>0.25</v>
      </c>
      <c r="C49" s="71" t="n">
        <v>39839</v>
      </c>
      <c r="D49" s="72" t="n">
        <v>0</v>
      </c>
      <c r="E49" s="71" t="n">
        <v>21155</v>
      </c>
      <c r="F49" s="72" t="n">
        <v>2.98</v>
      </c>
    </row>
    <row r="50">
      <c r="A50" s="71" t="n">
        <v>39840</v>
      </c>
      <c r="B50" s="72" t="n">
        <v>0.25</v>
      </c>
      <c r="C50" s="71" t="n">
        <v>39840</v>
      </c>
      <c r="D50" s="72" t="n">
        <v>0</v>
      </c>
      <c r="E50" s="71" t="n">
        <v>21186</v>
      </c>
      <c r="F50" s="72" t="n">
        <v>2.72</v>
      </c>
    </row>
    <row r="51">
      <c r="A51" s="71" t="n">
        <v>39841</v>
      </c>
      <c r="B51" s="72" t="n">
        <v>0.25</v>
      </c>
      <c r="C51" s="71" t="n">
        <v>39841</v>
      </c>
      <c r="D51" s="72" t="n">
        <v>0</v>
      </c>
      <c r="E51" s="71" t="n">
        <v>21217</v>
      </c>
      <c r="F51" s="72" t="n">
        <v>1.67</v>
      </c>
    </row>
    <row r="52">
      <c r="A52" s="71" t="n">
        <v>39842</v>
      </c>
      <c r="B52" s="72" t="n">
        <v>0.25</v>
      </c>
      <c r="C52" s="71" t="n">
        <v>39842</v>
      </c>
      <c r="D52" s="72" t="n">
        <v>0</v>
      </c>
      <c r="E52" s="71" t="n">
        <v>21245</v>
      </c>
      <c r="F52" s="72" t="n">
        <v>1.2</v>
      </c>
    </row>
    <row r="53">
      <c r="A53" s="71" t="n">
        <v>39843</v>
      </c>
      <c r="B53" s="72" t="n">
        <v>0.25</v>
      </c>
      <c r="C53" s="71" t="n">
        <v>39843</v>
      </c>
      <c r="D53" s="72" t="n">
        <v>0</v>
      </c>
      <c r="E53" s="71" t="n">
        <v>21276</v>
      </c>
      <c r="F53" s="72" t="n">
        <v>1.26</v>
      </c>
    </row>
    <row r="54">
      <c r="A54" s="71" t="n">
        <v>39844</v>
      </c>
      <c r="B54" s="72" t="n">
        <v>0.25</v>
      </c>
      <c r="C54" s="71" t="n">
        <v>39844</v>
      </c>
      <c r="D54" s="72" t="n">
        <v>0</v>
      </c>
      <c r="E54" s="71" t="n">
        <v>21306</v>
      </c>
      <c r="F54" s="72" t="n">
        <v>0.63</v>
      </c>
    </row>
    <row r="55">
      <c r="A55" s="71" t="n">
        <v>39845</v>
      </c>
      <c r="B55" s="72" t="n">
        <v>0.25</v>
      </c>
      <c r="C55" s="71" t="n">
        <v>39845</v>
      </c>
      <c r="D55" s="72" t="n">
        <v>0</v>
      </c>
      <c r="E55" s="71" t="n">
        <v>21337</v>
      </c>
      <c r="F55" s="72" t="n">
        <v>0.93</v>
      </c>
    </row>
    <row r="56">
      <c r="A56" s="71" t="n">
        <v>39846</v>
      </c>
      <c r="B56" s="72" t="n">
        <v>0.25</v>
      </c>
      <c r="C56" s="71" t="n">
        <v>39846</v>
      </c>
      <c r="D56" s="72" t="n">
        <v>0</v>
      </c>
      <c r="E56" s="71" t="n">
        <v>21367</v>
      </c>
      <c r="F56" s="72" t="n">
        <v>0.68</v>
      </c>
    </row>
    <row r="57">
      <c r="A57" s="71" t="n">
        <v>39847</v>
      </c>
      <c r="B57" s="72" t="n">
        <v>0.25</v>
      </c>
      <c r="C57" s="71" t="n">
        <v>39847</v>
      </c>
      <c r="D57" s="72" t="n">
        <v>0</v>
      </c>
      <c r="E57" s="71" t="n">
        <v>21398</v>
      </c>
      <c r="F57" s="72" t="n">
        <v>1.53</v>
      </c>
    </row>
    <row r="58">
      <c r="A58" s="71" t="n">
        <v>39848</v>
      </c>
      <c r="B58" s="72" t="n">
        <v>0.25</v>
      </c>
      <c r="C58" s="71" t="n">
        <v>39848</v>
      </c>
      <c r="D58" s="72" t="n">
        <v>0</v>
      </c>
      <c r="E58" s="71" t="n">
        <v>21429</v>
      </c>
      <c r="F58" s="72" t="n">
        <v>1.76</v>
      </c>
    </row>
    <row r="59">
      <c r="A59" s="71" t="n">
        <v>39849</v>
      </c>
      <c r="B59" s="72" t="n">
        <v>0.25</v>
      </c>
      <c r="C59" s="71" t="n">
        <v>39849</v>
      </c>
      <c r="D59" s="72" t="n">
        <v>0</v>
      </c>
      <c r="E59" s="71" t="n">
        <v>21459</v>
      </c>
      <c r="F59" s="72" t="n">
        <v>1.8</v>
      </c>
    </row>
    <row r="60">
      <c r="A60" s="71" t="n">
        <v>39850</v>
      </c>
      <c r="B60" s="72" t="n">
        <v>0.25</v>
      </c>
      <c r="C60" s="71" t="n">
        <v>39850</v>
      </c>
      <c r="D60" s="72" t="n">
        <v>0</v>
      </c>
      <c r="E60" s="71" t="n">
        <v>21490</v>
      </c>
      <c r="F60" s="72" t="n">
        <v>2.27</v>
      </c>
    </row>
    <row r="61">
      <c r="A61" s="71" t="n">
        <v>39851</v>
      </c>
      <c r="B61" s="72" t="n">
        <v>0.25</v>
      </c>
      <c r="C61" s="71" t="n">
        <v>39851</v>
      </c>
      <c r="D61" s="72" t="n">
        <v>0</v>
      </c>
      <c r="E61" s="71" t="n">
        <v>21520</v>
      </c>
      <c r="F61" s="72" t="n">
        <v>2.42</v>
      </c>
    </row>
    <row r="62">
      <c r="A62" s="71" t="n">
        <v>39852</v>
      </c>
      <c r="B62" s="72" t="n">
        <v>0.25</v>
      </c>
      <c r="C62" s="71" t="n">
        <v>39852</v>
      </c>
      <c r="D62" s="72" t="n">
        <v>0</v>
      </c>
      <c r="E62" s="71" t="n">
        <v>21551</v>
      </c>
      <c r="F62" s="72" t="n">
        <v>2.48</v>
      </c>
    </row>
    <row r="63">
      <c r="A63" s="71" t="n">
        <v>39853</v>
      </c>
      <c r="B63" s="72" t="n">
        <v>0.25</v>
      </c>
      <c r="C63" s="71" t="n">
        <v>39853</v>
      </c>
      <c r="D63" s="72" t="n">
        <v>0</v>
      </c>
      <c r="E63" s="71" t="n">
        <v>21582</v>
      </c>
      <c r="F63" s="72" t="n">
        <v>2.43</v>
      </c>
    </row>
    <row r="64">
      <c r="A64" s="71" t="n">
        <v>39854</v>
      </c>
      <c r="B64" s="72" t="n">
        <v>0.25</v>
      </c>
      <c r="C64" s="71" t="n">
        <v>39854</v>
      </c>
      <c r="D64" s="72" t="n">
        <v>0</v>
      </c>
      <c r="E64" s="71" t="n">
        <v>21610</v>
      </c>
      <c r="F64" s="72" t="n">
        <v>2.8</v>
      </c>
    </row>
    <row r="65">
      <c r="A65" s="71" t="n">
        <v>39855</v>
      </c>
      <c r="B65" s="72" t="n">
        <v>0.25</v>
      </c>
      <c r="C65" s="71" t="n">
        <v>39855</v>
      </c>
      <c r="D65" s="72" t="n">
        <v>0</v>
      </c>
      <c r="E65" s="71" t="n">
        <v>21641</v>
      </c>
      <c r="F65" s="72" t="n">
        <v>2.96</v>
      </c>
    </row>
    <row r="66">
      <c r="A66" s="71" t="n">
        <v>39856</v>
      </c>
      <c r="B66" s="72" t="n">
        <v>0.25</v>
      </c>
      <c r="C66" s="71" t="n">
        <v>39856</v>
      </c>
      <c r="D66" s="72" t="n">
        <v>0</v>
      </c>
      <c r="E66" s="71" t="n">
        <v>21671</v>
      </c>
      <c r="F66" s="72" t="n">
        <v>2.9</v>
      </c>
    </row>
    <row r="67">
      <c r="A67" s="71" t="n">
        <v>39857</v>
      </c>
      <c r="B67" s="72" t="n">
        <v>0.25</v>
      </c>
      <c r="C67" s="71" t="n">
        <v>39857</v>
      </c>
      <c r="D67" s="72" t="n">
        <v>0</v>
      </c>
      <c r="E67" s="71" t="n">
        <v>21702</v>
      </c>
      <c r="F67" s="72" t="n">
        <v>3.39</v>
      </c>
    </row>
    <row r="68">
      <c r="A68" s="71" t="n">
        <v>39858</v>
      </c>
      <c r="B68" s="72" t="n">
        <v>0.25</v>
      </c>
      <c r="C68" s="71" t="n">
        <v>39858</v>
      </c>
      <c r="D68" s="72" t="n">
        <v>0</v>
      </c>
      <c r="E68" s="71" t="n">
        <v>21732</v>
      </c>
      <c r="F68" s="72" t="n">
        <v>3.47</v>
      </c>
    </row>
    <row r="69">
      <c r="A69" s="71" t="n">
        <v>39859</v>
      </c>
      <c r="B69" s="72" t="n">
        <v>0.25</v>
      </c>
      <c r="C69" s="71" t="n">
        <v>39859</v>
      </c>
      <c r="D69" s="72" t="n">
        <v>0</v>
      </c>
      <c r="E69" s="71" t="n">
        <v>21763</v>
      </c>
      <c r="F69" s="72" t="n">
        <v>3.5</v>
      </c>
    </row>
    <row r="70">
      <c r="A70" s="71" t="n">
        <v>39860</v>
      </c>
      <c r="B70" s="72" t="n">
        <v>0.25</v>
      </c>
      <c r="C70" s="71" t="n">
        <v>39860</v>
      </c>
      <c r="D70" s="72" t="n">
        <v>0</v>
      </c>
      <c r="E70" s="71" t="n">
        <v>21794</v>
      </c>
      <c r="F70" s="72" t="n">
        <v>3.76</v>
      </c>
    </row>
    <row r="71">
      <c r="A71" s="71" t="n">
        <v>39861</v>
      </c>
      <c r="B71" s="72" t="n">
        <v>0.25</v>
      </c>
      <c r="C71" s="71" t="n">
        <v>39861</v>
      </c>
      <c r="D71" s="72" t="n">
        <v>0</v>
      </c>
      <c r="E71" s="71" t="n">
        <v>21824</v>
      </c>
      <c r="F71" s="72" t="n">
        <v>3.98</v>
      </c>
    </row>
    <row r="72">
      <c r="A72" s="71" t="n">
        <v>39862</v>
      </c>
      <c r="B72" s="72" t="n">
        <v>0.25</v>
      </c>
      <c r="C72" s="71" t="n">
        <v>39862</v>
      </c>
      <c r="D72" s="72" t="n">
        <v>0</v>
      </c>
      <c r="E72" s="71" t="n">
        <v>21855</v>
      </c>
      <c r="F72" s="72" t="n">
        <v>4</v>
      </c>
    </row>
    <row r="73">
      <c r="A73" s="71" t="n">
        <v>39863</v>
      </c>
      <c r="B73" s="72" t="n">
        <v>0.25</v>
      </c>
      <c r="C73" s="71" t="n">
        <v>39863</v>
      </c>
      <c r="D73" s="72" t="n">
        <v>0</v>
      </c>
      <c r="E73" s="71" t="n">
        <v>21885</v>
      </c>
      <c r="F73" s="72" t="n">
        <v>3.99</v>
      </c>
    </row>
    <row r="74">
      <c r="A74" s="71" t="n">
        <v>39864</v>
      </c>
      <c r="B74" s="72" t="n">
        <v>0.25</v>
      </c>
      <c r="C74" s="71" t="n">
        <v>39864</v>
      </c>
      <c r="D74" s="72" t="n">
        <v>0</v>
      </c>
      <c r="E74" s="71" t="n">
        <v>21916</v>
      </c>
      <c r="F74" s="72" t="n">
        <v>3.99</v>
      </c>
    </row>
    <row r="75">
      <c r="A75" s="71" t="n">
        <v>39865</v>
      </c>
      <c r="B75" s="72" t="n">
        <v>0.25</v>
      </c>
      <c r="C75" s="71" t="n">
        <v>39865</v>
      </c>
      <c r="D75" s="72" t="n">
        <v>0</v>
      </c>
      <c r="E75" s="71" t="n">
        <v>21947</v>
      </c>
      <c r="F75" s="72" t="n">
        <v>3.97</v>
      </c>
    </row>
    <row r="76">
      <c r="A76" s="71" t="n">
        <v>39866</v>
      </c>
      <c r="B76" s="72" t="n">
        <v>0.25</v>
      </c>
      <c r="C76" s="71" t="n">
        <v>39866</v>
      </c>
      <c r="D76" s="72" t="n">
        <v>0</v>
      </c>
      <c r="E76" s="71" t="n">
        <v>21976</v>
      </c>
      <c r="F76" s="72" t="n">
        <v>3.84</v>
      </c>
    </row>
    <row r="77">
      <c r="A77" s="71" t="n">
        <v>39867</v>
      </c>
      <c r="B77" s="72" t="n">
        <v>0.25</v>
      </c>
      <c r="C77" s="71" t="n">
        <v>39867</v>
      </c>
      <c r="D77" s="72" t="n">
        <v>0</v>
      </c>
      <c r="E77" s="71" t="n">
        <v>22007</v>
      </c>
      <c r="F77" s="72" t="n">
        <v>3.92</v>
      </c>
    </row>
    <row r="78">
      <c r="A78" s="71" t="n">
        <v>39868</v>
      </c>
      <c r="B78" s="72" t="n">
        <v>0.25</v>
      </c>
      <c r="C78" s="71" t="n">
        <v>39868</v>
      </c>
      <c r="D78" s="72" t="n">
        <v>0</v>
      </c>
      <c r="E78" s="71" t="n">
        <v>22037</v>
      </c>
      <c r="F78" s="72" t="n">
        <v>3.85</v>
      </c>
    </row>
    <row r="79">
      <c r="A79" s="71" t="n">
        <v>39869</v>
      </c>
      <c r="B79" s="72" t="n">
        <v>0.25</v>
      </c>
      <c r="C79" s="71" t="n">
        <v>39869</v>
      </c>
      <c r="D79" s="72" t="n">
        <v>0</v>
      </c>
      <c r="E79" s="71" t="n">
        <v>22068</v>
      </c>
      <c r="F79" s="72" t="n">
        <v>3.32</v>
      </c>
    </row>
    <row r="80">
      <c r="A80" s="71" t="n">
        <v>39870</v>
      </c>
      <c r="B80" s="72" t="n">
        <v>0.25</v>
      </c>
      <c r="C80" s="71" t="n">
        <v>39870</v>
      </c>
      <c r="D80" s="72" t="n">
        <v>0</v>
      </c>
      <c r="E80" s="71" t="n">
        <v>22098</v>
      </c>
      <c r="F80" s="72" t="n">
        <v>3.23</v>
      </c>
    </row>
    <row r="81">
      <c r="A81" s="71" t="n">
        <v>39871</v>
      </c>
      <c r="B81" s="72" t="n">
        <v>0.25</v>
      </c>
      <c r="C81" s="71" t="n">
        <v>39871</v>
      </c>
      <c r="D81" s="72" t="n">
        <v>0</v>
      </c>
      <c r="E81" s="71" t="n">
        <v>22129</v>
      </c>
      <c r="F81" s="72" t="n">
        <v>2.98</v>
      </c>
    </row>
    <row r="82">
      <c r="A82" s="71" t="n">
        <v>39872</v>
      </c>
      <c r="B82" s="72" t="n">
        <v>0.25</v>
      </c>
      <c r="C82" s="71" t="n">
        <v>39872</v>
      </c>
      <c r="D82" s="72" t="n">
        <v>0</v>
      </c>
      <c r="E82" s="71" t="n">
        <v>22160</v>
      </c>
      <c r="F82" s="72" t="n">
        <v>2.6</v>
      </c>
    </row>
    <row r="83">
      <c r="A83" s="71" t="n">
        <v>39873</v>
      </c>
      <c r="B83" s="72" t="n">
        <v>0.25</v>
      </c>
      <c r="C83" s="71" t="n">
        <v>39873</v>
      </c>
      <c r="D83" s="72" t="n">
        <v>0</v>
      </c>
      <c r="E83" s="71" t="n">
        <v>22190</v>
      </c>
      <c r="F83" s="72" t="n">
        <v>2.47</v>
      </c>
    </row>
    <row r="84">
      <c r="A84" s="71" t="n">
        <v>39874</v>
      </c>
      <c r="B84" s="72" t="n">
        <v>0.25</v>
      </c>
      <c r="C84" s="71" t="n">
        <v>39874</v>
      </c>
      <c r="D84" s="72" t="n">
        <v>0</v>
      </c>
      <c r="E84" s="71" t="n">
        <v>22221</v>
      </c>
      <c r="F84" s="72" t="n">
        <v>2.44</v>
      </c>
    </row>
    <row r="85">
      <c r="A85" s="71" t="n">
        <v>39875</v>
      </c>
      <c r="B85" s="72" t="n">
        <v>0.25</v>
      </c>
      <c r="C85" s="71" t="n">
        <v>39875</v>
      </c>
      <c r="D85" s="72" t="n">
        <v>0</v>
      </c>
      <c r="E85" s="71" t="n">
        <v>22251</v>
      </c>
      <c r="F85" s="72" t="n">
        <v>1.98</v>
      </c>
    </row>
    <row r="86">
      <c r="A86" s="71" t="n">
        <v>39876</v>
      </c>
      <c r="B86" s="72" t="n">
        <v>0.25</v>
      </c>
      <c r="C86" s="71" t="n">
        <v>39876</v>
      </c>
      <c r="D86" s="72" t="n">
        <v>0</v>
      </c>
      <c r="E86" s="71" t="n">
        <v>22282</v>
      </c>
      <c r="F86" s="72" t="n">
        <v>1.45</v>
      </c>
    </row>
    <row r="87">
      <c r="A87" s="71" t="n">
        <v>39877</v>
      </c>
      <c r="B87" s="72" t="n">
        <v>0.25</v>
      </c>
      <c r="C87" s="71" t="n">
        <v>39877</v>
      </c>
      <c r="D87" s="72" t="n">
        <v>0</v>
      </c>
      <c r="E87" s="71" t="n">
        <v>22313</v>
      </c>
      <c r="F87" s="72" t="n">
        <v>2.54</v>
      </c>
    </row>
    <row r="88">
      <c r="A88" s="71" t="n">
        <v>39878</v>
      </c>
      <c r="B88" s="72" t="n">
        <v>0.25</v>
      </c>
      <c r="C88" s="71" t="n">
        <v>39878</v>
      </c>
      <c r="D88" s="72" t="n">
        <v>0</v>
      </c>
      <c r="E88" s="71" t="n">
        <v>22341</v>
      </c>
      <c r="F88" s="72" t="n">
        <v>2.02</v>
      </c>
    </row>
    <row r="89">
      <c r="A89" s="71" t="n">
        <v>39879</v>
      </c>
      <c r="B89" s="72" t="n">
        <v>0.25</v>
      </c>
      <c r="C89" s="71" t="n">
        <v>39879</v>
      </c>
      <c r="D89" s="72" t="n">
        <v>0</v>
      </c>
      <c r="E89" s="71" t="n">
        <v>22372</v>
      </c>
      <c r="F89" s="72" t="n">
        <v>1.49</v>
      </c>
    </row>
    <row r="90">
      <c r="A90" s="71" t="n">
        <v>39880</v>
      </c>
      <c r="B90" s="72" t="n">
        <v>0.25</v>
      </c>
      <c r="C90" s="71" t="n">
        <v>39880</v>
      </c>
      <c r="D90" s="72" t="n">
        <v>0</v>
      </c>
      <c r="E90" s="71" t="n">
        <v>22402</v>
      </c>
      <c r="F90" s="72" t="n">
        <v>1.98</v>
      </c>
    </row>
    <row r="91">
      <c r="A91" s="71" t="n">
        <v>39881</v>
      </c>
      <c r="B91" s="72" t="n">
        <v>0.25</v>
      </c>
      <c r="C91" s="71" t="n">
        <v>39881</v>
      </c>
      <c r="D91" s="72" t="n">
        <v>0</v>
      </c>
      <c r="E91" s="71" t="n">
        <v>22433</v>
      </c>
      <c r="F91" s="72" t="n">
        <v>1.73</v>
      </c>
    </row>
    <row r="92">
      <c r="A92" s="71" t="n">
        <v>39882</v>
      </c>
      <c r="B92" s="72" t="n">
        <v>0.25</v>
      </c>
      <c r="C92" s="71" t="n">
        <v>39882</v>
      </c>
      <c r="D92" s="72" t="n">
        <v>0</v>
      </c>
      <c r="E92" s="71" t="n">
        <v>22463</v>
      </c>
      <c r="F92" s="72" t="n">
        <v>1.17</v>
      </c>
    </row>
    <row r="93">
      <c r="A93" s="71" t="n">
        <v>39883</v>
      </c>
      <c r="B93" s="72" t="n">
        <v>0.25</v>
      </c>
      <c r="C93" s="71" t="n">
        <v>39883</v>
      </c>
      <c r="D93" s="72" t="n">
        <v>0</v>
      </c>
      <c r="E93" s="71" t="n">
        <v>22494</v>
      </c>
      <c r="F93" s="72" t="n">
        <v>2</v>
      </c>
    </row>
    <row r="94">
      <c r="A94" s="71" t="n">
        <v>39884</v>
      </c>
      <c r="B94" s="72" t="n">
        <v>0.25</v>
      </c>
      <c r="C94" s="71" t="n">
        <v>39884</v>
      </c>
      <c r="D94" s="72" t="n">
        <v>0</v>
      </c>
      <c r="E94" s="71" t="n">
        <v>22525</v>
      </c>
      <c r="F94" s="72" t="n">
        <v>1.88</v>
      </c>
    </row>
    <row r="95">
      <c r="A95" s="71" t="n">
        <v>39885</v>
      </c>
      <c r="B95" s="72" t="n">
        <v>0.25</v>
      </c>
      <c r="C95" s="71" t="n">
        <v>39885</v>
      </c>
      <c r="D95" s="72" t="n">
        <v>0</v>
      </c>
      <c r="E95" s="71" t="n">
        <v>22555</v>
      </c>
      <c r="F95" s="72" t="n">
        <v>2.26</v>
      </c>
    </row>
    <row r="96">
      <c r="A96" s="71" t="n">
        <v>39886</v>
      </c>
      <c r="B96" s="72" t="n">
        <v>0.25</v>
      </c>
      <c r="C96" s="71" t="n">
        <v>39886</v>
      </c>
      <c r="D96" s="72" t="n">
        <v>0</v>
      </c>
      <c r="E96" s="71" t="n">
        <v>22586</v>
      </c>
      <c r="F96" s="72" t="n">
        <v>2.61</v>
      </c>
    </row>
    <row r="97">
      <c r="A97" s="71" t="n">
        <v>39887</v>
      </c>
      <c r="B97" s="72" t="n">
        <v>0.25</v>
      </c>
      <c r="C97" s="71" t="n">
        <v>39887</v>
      </c>
      <c r="D97" s="72" t="n">
        <v>0</v>
      </c>
      <c r="E97" s="71" t="n">
        <v>22616</v>
      </c>
      <c r="F97" s="72" t="n">
        <v>2.33</v>
      </c>
    </row>
    <row r="98">
      <c r="A98" s="71" t="n">
        <v>39888</v>
      </c>
      <c r="B98" s="72" t="n">
        <v>0.25</v>
      </c>
      <c r="C98" s="71" t="n">
        <v>39888</v>
      </c>
      <c r="D98" s="72" t="n">
        <v>0</v>
      </c>
      <c r="E98" s="71" t="n">
        <v>22647</v>
      </c>
      <c r="F98" s="72" t="n">
        <v>2.15</v>
      </c>
    </row>
    <row r="99">
      <c r="A99" s="71" t="n">
        <v>39889</v>
      </c>
      <c r="B99" s="72" t="n">
        <v>0.25</v>
      </c>
      <c r="C99" s="71" t="n">
        <v>39889</v>
      </c>
      <c r="D99" s="72" t="n">
        <v>0</v>
      </c>
      <c r="E99" s="71" t="n">
        <v>22678</v>
      </c>
      <c r="F99" s="72" t="n">
        <v>2.37</v>
      </c>
    </row>
    <row r="100">
      <c r="A100" s="71" t="n">
        <v>39890</v>
      </c>
      <c r="B100" s="72" t="n">
        <v>0.25</v>
      </c>
      <c r="C100" s="71" t="n">
        <v>39890</v>
      </c>
      <c r="D100" s="72" t="n">
        <v>0</v>
      </c>
      <c r="E100" s="71" t="n">
        <v>22706</v>
      </c>
      <c r="F100" s="72" t="n">
        <v>2.85</v>
      </c>
    </row>
    <row r="101">
      <c r="A101" s="71" t="n">
        <v>39891</v>
      </c>
      <c r="B101" s="72" t="n">
        <v>0.25</v>
      </c>
      <c r="C101" s="71" t="n">
        <v>39891</v>
      </c>
      <c r="D101" s="72" t="n">
        <v>0</v>
      </c>
      <c r="E101" s="71" t="n">
        <v>22737</v>
      </c>
      <c r="F101" s="72" t="n">
        <v>2.78</v>
      </c>
    </row>
    <row r="102">
      <c r="A102" s="71" t="n">
        <v>39892</v>
      </c>
      <c r="B102" s="72" t="n">
        <v>0.25</v>
      </c>
      <c r="C102" s="71" t="n">
        <v>39892</v>
      </c>
      <c r="D102" s="72" t="n">
        <v>0</v>
      </c>
      <c r="E102" s="71" t="n">
        <v>22767</v>
      </c>
      <c r="F102" s="72" t="n">
        <v>2.36</v>
      </c>
    </row>
    <row r="103">
      <c r="A103" s="71" t="n">
        <v>39893</v>
      </c>
      <c r="B103" s="72" t="n">
        <v>0.25</v>
      </c>
      <c r="C103" s="71" t="n">
        <v>39893</v>
      </c>
      <c r="D103" s="72" t="n">
        <v>0</v>
      </c>
      <c r="E103" s="71" t="n">
        <v>22798</v>
      </c>
      <c r="F103" s="72" t="n">
        <v>2.68</v>
      </c>
    </row>
    <row r="104">
      <c r="A104" s="71" t="n">
        <v>39894</v>
      </c>
      <c r="B104" s="72" t="n">
        <v>0.25</v>
      </c>
      <c r="C104" s="71" t="n">
        <v>39894</v>
      </c>
      <c r="D104" s="72" t="n">
        <v>0</v>
      </c>
      <c r="E104" s="71" t="n">
        <v>22828</v>
      </c>
      <c r="F104" s="72" t="n">
        <v>2.71</v>
      </c>
    </row>
    <row r="105">
      <c r="A105" s="71" t="n">
        <v>39895</v>
      </c>
      <c r="B105" s="72" t="n">
        <v>0.25</v>
      </c>
      <c r="C105" s="71" t="n">
        <v>39895</v>
      </c>
      <c r="D105" s="72" t="n">
        <v>0</v>
      </c>
      <c r="E105" s="71" t="n">
        <v>22859</v>
      </c>
      <c r="F105" s="72" t="n">
        <v>2.93</v>
      </c>
    </row>
    <row r="106">
      <c r="A106" s="71" t="n">
        <v>39896</v>
      </c>
      <c r="B106" s="72" t="n">
        <v>0.25</v>
      </c>
      <c r="C106" s="71" t="n">
        <v>39896</v>
      </c>
      <c r="D106" s="72" t="n">
        <v>0</v>
      </c>
      <c r="E106" s="71" t="n">
        <v>22890</v>
      </c>
      <c r="F106" s="72" t="n">
        <v>2.9</v>
      </c>
    </row>
    <row r="107">
      <c r="A107" s="71" t="n">
        <v>39897</v>
      </c>
      <c r="B107" s="72" t="n">
        <v>0.25</v>
      </c>
      <c r="C107" s="71" t="n">
        <v>39897</v>
      </c>
      <c r="D107" s="72" t="n">
        <v>0</v>
      </c>
      <c r="E107" s="71" t="n">
        <v>22920</v>
      </c>
      <c r="F107" s="72" t="n">
        <v>2.9</v>
      </c>
    </row>
    <row r="108">
      <c r="A108" s="71" t="n">
        <v>39898</v>
      </c>
      <c r="B108" s="72" t="n">
        <v>0.25</v>
      </c>
      <c r="C108" s="71" t="n">
        <v>39898</v>
      </c>
      <c r="D108" s="72" t="n">
        <v>0</v>
      </c>
      <c r="E108" s="71" t="n">
        <v>22951</v>
      </c>
      <c r="F108" s="72" t="n">
        <v>2.94</v>
      </c>
    </row>
    <row r="109">
      <c r="A109" s="71" t="n">
        <v>39899</v>
      </c>
      <c r="B109" s="72" t="n">
        <v>0.25</v>
      </c>
      <c r="C109" s="71" t="n">
        <v>39899</v>
      </c>
      <c r="D109" s="72" t="n">
        <v>0</v>
      </c>
      <c r="E109" s="71" t="n">
        <v>22981</v>
      </c>
      <c r="F109" s="72" t="n">
        <v>2.93</v>
      </c>
    </row>
    <row r="110">
      <c r="A110" s="71" t="n">
        <v>39900</v>
      </c>
      <c r="B110" s="72" t="n">
        <v>0.25</v>
      </c>
      <c r="C110" s="71" t="n">
        <v>39900</v>
      </c>
      <c r="D110" s="72" t="n">
        <v>0</v>
      </c>
      <c r="E110" s="71" t="n">
        <v>23012</v>
      </c>
      <c r="F110" s="72" t="n">
        <v>2.92</v>
      </c>
    </row>
    <row r="111">
      <c r="A111" s="71" t="n">
        <v>39901</v>
      </c>
      <c r="B111" s="72" t="n">
        <v>0.25</v>
      </c>
      <c r="C111" s="71" t="n">
        <v>39901</v>
      </c>
      <c r="D111" s="72" t="n">
        <v>0</v>
      </c>
      <c r="E111" s="71" t="n">
        <v>23043</v>
      </c>
      <c r="F111" s="72" t="n">
        <v>3</v>
      </c>
    </row>
    <row r="112">
      <c r="A112" s="71" t="n">
        <v>39902</v>
      </c>
      <c r="B112" s="72" t="n">
        <v>0.25</v>
      </c>
      <c r="C112" s="71" t="n">
        <v>39902</v>
      </c>
      <c r="D112" s="72" t="n">
        <v>0</v>
      </c>
      <c r="E112" s="71" t="n">
        <v>23071</v>
      </c>
      <c r="F112" s="72" t="n">
        <v>2.98</v>
      </c>
    </row>
    <row r="113">
      <c r="A113" s="71" t="n">
        <v>39903</v>
      </c>
      <c r="B113" s="72" t="n">
        <v>0.25</v>
      </c>
      <c r="C113" s="71" t="n">
        <v>39903</v>
      </c>
      <c r="D113" s="72" t="n">
        <v>0</v>
      </c>
      <c r="E113" s="71" t="n">
        <v>23102</v>
      </c>
      <c r="F113" s="72" t="n">
        <v>2.9</v>
      </c>
    </row>
    <row r="114">
      <c r="A114" s="71" t="n">
        <v>39904</v>
      </c>
      <c r="B114" s="72" t="n">
        <v>0.25</v>
      </c>
      <c r="C114" s="71" t="n">
        <v>39904</v>
      </c>
      <c r="D114" s="72" t="n">
        <v>0</v>
      </c>
      <c r="E114" s="71" t="n">
        <v>23132</v>
      </c>
      <c r="F114" s="72" t="n">
        <v>3</v>
      </c>
    </row>
    <row r="115">
      <c r="A115" s="71" t="n">
        <v>39905</v>
      </c>
      <c r="B115" s="72" t="n">
        <v>0.25</v>
      </c>
      <c r="C115" s="71" t="n">
        <v>39905</v>
      </c>
      <c r="D115" s="72" t="n">
        <v>0</v>
      </c>
      <c r="E115" s="71" t="n">
        <v>23163</v>
      </c>
      <c r="F115" s="72" t="n">
        <v>2.99</v>
      </c>
    </row>
    <row r="116">
      <c r="A116" s="71" t="n">
        <v>39906</v>
      </c>
      <c r="B116" s="72" t="n">
        <v>0.25</v>
      </c>
      <c r="C116" s="71" t="n">
        <v>39906</v>
      </c>
      <c r="D116" s="72" t="n">
        <v>0</v>
      </c>
      <c r="E116" s="71" t="n">
        <v>23193</v>
      </c>
      <c r="F116" s="72" t="n">
        <v>3.02</v>
      </c>
    </row>
    <row r="117">
      <c r="A117" s="71" t="n">
        <v>39907</v>
      </c>
      <c r="B117" s="72" t="n">
        <v>0.25</v>
      </c>
      <c r="C117" s="71" t="n">
        <v>39907</v>
      </c>
      <c r="D117" s="72" t="n">
        <v>0</v>
      </c>
      <c r="E117" s="71" t="n">
        <v>23224</v>
      </c>
      <c r="F117" s="72" t="n">
        <v>3.49</v>
      </c>
    </row>
    <row r="118">
      <c r="A118" s="71" t="n">
        <v>39908</v>
      </c>
      <c r="B118" s="72" t="n">
        <v>0.25</v>
      </c>
      <c r="C118" s="71" t="n">
        <v>39908</v>
      </c>
      <c r="D118" s="72" t="n">
        <v>0</v>
      </c>
      <c r="E118" s="71" t="n">
        <v>23255</v>
      </c>
      <c r="F118" s="72" t="n">
        <v>3.48</v>
      </c>
    </row>
    <row r="119">
      <c r="A119" s="71" t="n">
        <v>39909</v>
      </c>
      <c r="B119" s="72" t="n">
        <v>0.25</v>
      </c>
      <c r="C119" s="71" t="n">
        <v>39909</v>
      </c>
      <c r="D119" s="72" t="n">
        <v>0</v>
      </c>
      <c r="E119" s="71" t="n">
        <v>23285</v>
      </c>
      <c r="F119" s="72" t="n">
        <v>3.5</v>
      </c>
    </row>
    <row r="120">
      <c r="A120" s="71" t="n">
        <v>39910</v>
      </c>
      <c r="B120" s="72" t="n">
        <v>0.25</v>
      </c>
      <c r="C120" s="71" t="n">
        <v>39910</v>
      </c>
      <c r="D120" s="72" t="n">
        <v>0</v>
      </c>
      <c r="E120" s="71" t="n">
        <v>23316</v>
      </c>
      <c r="F120" s="72" t="n">
        <v>3.48</v>
      </c>
    </row>
    <row r="121">
      <c r="A121" s="71" t="n">
        <v>39911</v>
      </c>
      <c r="B121" s="72" t="n">
        <v>0.25</v>
      </c>
      <c r="C121" s="71" t="n">
        <v>39911</v>
      </c>
      <c r="D121" s="72" t="n">
        <v>0</v>
      </c>
      <c r="E121" s="71" t="n">
        <v>23346</v>
      </c>
      <c r="F121" s="72" t="n">
        <v>3.38</v>
      </c>
    </row>
    <row r="122">
      <c r="A122" s="71" t="n">
        <v>39912</v>
      </c>
      <c r="B122" s="72" t="n">
        <v>0.25</v>
      </c>
      <c r="C122" s="71" t="n">
        <v>39912</v>
      </c>
      <c r="D122" s="72" t="n">
        <v>0</v>
      </c>
      <c r="E122" s="71" t="n">
        <v>23377</v>
      </c>
      <c r="F122" s="72" t="n">
        <v>3.48</v>
      </c>
    </row>
    <row r="123">
      <c r="A123" s="71" t="n">
        <v>39913</v>
      </c>
      <c r="B123" s="72" t="n">
        <v>0.25</v>
      </c>
      <c r="C123" s="71" t="n">
        <v>39913</v>
      </c>
      <c r="D123" s="72" t="n">
        <v>0</v>
      </c>
      <c r="E123" s="71" t="n">
        <v>23408</v>
      </c>
      <c r="F123" s="72" t="n">
        <v>3.48</v>
      </c>
    </row>
    <row r="124">
      <c r="A124" s="71" t="n">
        <v>39914</v>
      </c>
      <c r="B124" s="72" t="n">
        <v>0.25</v>
      </c>
      <c r="C124" s="71" t="n">
        <v>39914</v>
      </c>
      <c r="D124" s="72" t="n">
        <v>0</v>
      </c>
      <c r="E124" s="71" t="n">
        <v>23437</v>
      </c>
      <c r="F124" s="72" t="n">
        <v>3.43</v>
      </c>
    </row>
    <row r="125">
      <c r="A125" s="71" t="n">
        <v>39915</v>
      </c>
      <c r="B125" s="72" t="n">
        <v>0.25</v>
      </c>
      <c r="C125" s="71" t="n">
        <v>39915</v>
      </c>
      <c r="D125" s="72" t="n">
        <v>0</v>
      </c>
      <c r="E125" s="71" t="n">
        <v>23468</v>
      </c>
      <c r="F125" s="72" t="n">
        <v>3.47</v>
      </c>
    </row>
    <row r="126">
      <c r="A126" s="71" t="n">
        <v>39916</v>
      </c>
      <c r="B126" s="72" t="n">
        <v>0.25</v>
      </c>
      <c r="C126" s="71" t="n">
        <v>39916</v>
      </c>
      <c r="D126" s="72" t="n">
        <v>0</v>
      </c>
      <c r="E126" s="71" t="n">
        <v>23498</v>
      </c>
      <c r="F126" s="72" t="n">
        <v>3.5</v>
      </c>
    </row>
    <row r="127">
      <c r="A127" s="71" t="n">
        <v>39917</v>
      </c>
      <c r="B127" s="72" t="n">
        <v>0.25</v>
      </c>
      <c r="C127" s="71" t="n">
        <v>39917</v>
      </c>
      <c r="D127" s="72" t="n">
        <v>0</v>
      </c>
      <c r="E127" s="71" t="n">
        <v>23529</v>
      </c>
      <c r="F127" s="72" t="n">
        <v>3.5</v>
      </c>
    </row>
    <row r="128">
      <c r="A128" s="71" t="n">
        <v>39918</v>
      </c>
      <c r="B128" s="72" t="n">
        <v>0.25</v>
      </c>
      <c r="C128" s="71" t="n">
        <v>39918</v>
      </c>
      <c r="D128" s="72" t="n">
        <v>0</v>
      </c>
      <c r="E128" s="71" t="n">
        <v>23559</v>
      </c>
      <c r="F128" s="72" t="n">
        <v>3.42</v>
      </c>
    </row>
    <row r="129">
      <c r="A129" s="71" t="n">
        <v>39919</v>
      </c>
      <c r="B129" s="72" t="n">
        <v>0.25</v>
      </c>
      <c r="C129" s="71" t="n">
        <v>39919</v>
      </c>
      <c r="D129" s="72" t="n">
        <v>0</v>
      </c>
      <c r="E129" s="71" t="n">
        <v>23590</v>
      </c>
      <c r="F129" s="72" t="n">
        <v>3.5</v>
      </c>
    </row>
    <row r="130">
      <c r="A130" s="71" t="n">
        <v>39920</v>
      </c>
      <c r="B130" s="72" t="n">
        <v>0.25</v>
      </c>
      <c r="C130" s="71" t="n">
        <v>39920</v>
      </c>
      <c r="D130" s="72" t="n">
        <v>0</v>
      </c>
      <c r="E130" s="71" t="n">
        <v>23621</v>
      </c>
      <c r="F130" s="72" t="n">
        <v>3.45</v>
      </c>
    </row>
    <row r="131">
      <c r="A131" s="71" t="n">
        <v>39921</v>
      </c>
      <c r="B131" s="72" t="n">
        <v>0.25</v>
      </c>
      <c r="C131" s="71" t="n">
        <v>39921</v>
      </c>
      <c r="D131" s="72" t="n">
        <v>0</v>
      </c>
      <c r="E131" s="71" t="n">
        <v>23651</v>
      </c>
      <c r="F131" s="72" t="n">
        <v>3.36</v>
      </c>
    </row>
    <row r="132">
      <c r="A132" s="71" t="n">
        <v>39922</v>
      </c>
      <c r="B132" s="72" t="n">
        <v>0.25</v>
      </c>
      <c r="C132" s="71" t="n">
        <v>39922</v>
      </c>
      <c r="D132" s="72" t="n">
        <v>0</v>
      </c>
      <c r="E132" s="71" t="n">
        <v>23682</v>
      </c>
      <c r="F132" s="72" t="n">
        <v>3.52</v>
      </c>
    </row>
    <row r="133">
      <c r="A133" s="71" t="n">
        <v>39923</v>
      </c>
      <c r="B133" s="72" t="n">
        <v>0.25</v>
      </c>
      <c r="C133" s="71" t="n">
        <v>39923</v>
      </c>
      <c r="D133" s="72" t="n">
        <v>0</v>
      </c>
      <c r="E133" s="71" t="n">
        <v>23712</v>
      </c>
      <c r="F133" s="72" t="n">
        <v>3.85</v>
      </c>
    </row>
    <row r="134">
      <c r="A134" s="71" t="n">
        <v>39924</v>
      </c>
      <c r="B134" s="72" t="n">
        <v>0.25</v>
      </c>
      <c r="C134" s="71" t="n">
        <v>39924</v>
      </c>
      <c r="D134" s="72" t="n">
        <v>0</v>
      </c>
      <c r="E134" s="71" t="n">
        <v>23743</v>
      </c>
      <c r="F134" s="72" t="n">
        <v>3.9</v>
      </c>
    </row>
    <row r="135">
      <c r="A135" s="71" t="n">
        <v>39925</v>
      </c>
      <c r="B135" s="72" t="n">
        <v>0.25</v>
      </c>
      <c r="C135" s="71" t="n">
        <v>39925</v>
      </c>
      <c r="D135" s="72" t="n">
        <v>0</v>
      </c>
      <c r="E135" s="71" t="n">
        <v>23774</v>
      </c>
      <c r="F135" s="72" t="n">
        <v>3.98</v>
      </c>
    </row>
    <row r="136">
      <c r="A136" s="71" t="n">
        <v>39926</v>
      </c>
      <c r="B136" s="72" t="n">
        <v>0.25</v>
      </c>
      <c r="C136" s="71" t="n">
        <v>39926</v>
      </c>
      <c r="D136" s="72" t="n">
        <v>0</v>
      </c>
      <c r="E136" s="71" t="n">
        <v>23802</v>
      </c>
      <c r="F136" s="72" t="n">
        <v>4.04</v>
      </c>
    </row>
    <row r="137">
      <c r="A137" s="71" t="n">
        <v>39927</v>
      </c>
      <c r="B137" s="72" t="n">
        <v>0.25</v>
      </c>
      <c r="C137" s="71" t="n">
        <v>39927</v>
      </c>
      <c r="D137" s="72" t="n">
        <v>0</v>
      </c>
      <c r="E137" s="71" t="n">
        <v>23833</v>
      </c>
      <c r="F137" s="72" t="n">
        <v>4.09</v>
      </c>
    </row>
    <row r="138">
      <c r="A138" s="71" t="n">
        <v>39928</v>
      </c>
      <c r="B138" s="72" t="n">
        <v>0.25</v>
      </c>
      <c r="C138" s="71" t="n">
        <v>39928</v>
      </c>
      <c r="D138" s="72" t="n">
        <v>0</v>
      </c>
      <c r="E138" s="71" t="n">
        <v>23863</v>
      </c>
      <c r="F138" s="72" t="n">
        <v>4.1</v>
      </c>
    </row>
    <row r="139">
      <c r="A139" s="71" t="n">
        <v>39929</v>
      </c>
      <c r="B139" s="72" t="n">
        <v>0.25</v>
      </c>
      <c r="C139" s="71" t="n">
        <v>39929</v>
      </c>
      <c r="D139" s="72" t="n">
        <v>0</v>
      </c>
      <c r="E139" s="71" t="n">
        <v>23894</v>
      </c>
      <c r="F139" s="72" t="n">
        <v>4.04</v>
      </c>
    </row>
    <row r="140">
      <c r="A140" s="71" t="n">
        <v>39930</v>
      </c>
      <c r="B140" s="72" t="n">
        <v>0.25</v>
      </c>
      <c r="C140" s="71" t="n">
        <v>39930</v>
      </c>
      <c r="D140" s="72" t="n">
        <v>0</v>
      </c>
      <c r="E140" s="71" t="n">
        <v>23924</v>
      </c>
      <c r="F140" s="72" t="n">
        <v>4.09</v>
      </c>
    </row>
    <row r="141">
      <c r="A141" s="71" t="n">
        <v>39931</v>
      </c>
      <c r="B141" s="72" t="n">
        <v>0.25</v>
      </c>
      <c r="C141" s="71" t="n">
        <v>39931</v>
      </c>
      <c r="D141" s="72" t="n">
        <v>0</v>
      </c>
      <c r="E141" s="71" t="n">
        <v>23955</v>
      </c>
      <c r="F141" s="72" t="n">
        <v>4.12</v>
      </c>
    </row>
    <row r="142">
      <c r="A142" s="71" t="n">
        <v>39932</v>
      </c>
      <c r="B142" s="72" t="n">
        <v>0.25</v>
      </c>
      <c r="C142" s="71" t="n">
        <v>39932</v>
      </c>
      <c r="D142" s="72" t="n">
        <v>0</v>
      </c>
      <c r="E142" s="71" t="n">
        <v>23986</v>
      </c>
      <c r="F142" s="72" t="n">
        <v>4.01</v>
      </c>
    </row>
    <row r="143">
      <c r="A143" s="71" t="n">
        <v>39933</v>
      </c>
      <c r="B143" s="72" t="n">
        <v>0.25</v>
      </c>
      <c r="C143" s="71" t="n">
        <v>39933</v>
      </c>
      <c r="D143" s="72" t="n">
        <v>0</v>
      </c>
      <c r="E143" s="71" t="n">
        <v>24016</v>
      </c>
      <c r="F143" s="72" t="n">
        <v>4.08</v>
      </c>
    </row>
    <row r="144">
      <c r="A144" s="71" t="n">
        <v>39934</v>
      </c>
      <c r="B144" s="72" t="n">
        <v>0.25</v>
      </c>
      <c r="C144" s="71" t="n">
        <v>39934</v>
      </c>
      <c r="D144" s="72" t="n">
        <v>0</v>
      </c>
      <c r="E144" s="71" t="n">
        <v>24047</v>
      </c>
      <c r="F144" s="72" t="n">
        <v>4.1</v>
      </c>
    </row>
    <row r="145">
      <c r="A145" s="71" t="n">
        <v>39935</v>
      </c>
      <c r="B145" s="72" t="n">
        <v>0.25</v>
      </c>
      <c r="C145" s="71" t="n">
        <v>39935</v>
      </c>
      <c r="D145" s="72" t="n">
        <v>0</v>
      </c>
      <c r="E145" s="71" t="n">
        <v>24077</v>
      </c>
      <c r="F145" s="72" t="n">
        <v>4.32</v>
      </c>
    </row>
    <row r="146">
      <c r="A146" s="71" t="n">
        <v>39936</v>
      </c>
      <c r="B146" s="72" t="n">
        <v>0.25</v>
      </c>
      <c r="C146" s="71" t="n">
        <v>39936</v>
      </c>
      <c r="D146" s="72" t="n">
        <v>0</v>
      </c>
      <c r="E146" s="71" t="n">
        <v>24108</v>
      </c>
      <c r="F146" s="72" t="n">
        <v>4.42</v>
      </c>
    </row>
    <row r="147">
      <c r="A147" s="71" t="n">
        <v>39937</v>
      </c>
      <c r="B147" s="72" t="n">
        <v>0.25</v>
      </c>
      <c r="C147" s="71" t="n">
        <v>39937</v>
      </c>
      <c r="D147" s="72" t="n">
        <v>0</v>
      </c>
      <c r="E147" s="71" t="n">
        <v>24139</v>
      </c>
      <c r="F147" s="72" t="n">
        <v>4.6</v>
      </c>
    </row>
    <row r="148">
      <c r="A148" s="71" t="n">
        <v>39938</v>
      </c>
      <c r="B148" s="72" t="n">
        <v>0.25</v>
      </c>
      <c r="C148" s="71" t="n">
        <v>39938</v>
      </c>
      <c r="D148" s="72" t="n">
        <v>0</v>
      </c>
      <c r="E148" s="71" t="n">
        <v>24167</v>
      </c>
      <c r="F148" s="72" t="n">
        <v>4.65</v>
      </c>
    </row>
    <row r="149">
      <c r="A149" s="71" t="n">
        <v>39939</v>
      </c>
      <c r="B149" s="72" t="n">
        <v>0.25</v>
      </c>
      <c r="C149" s="71" t="n">
        <v>39939</v>
      </c>
      <c r="D149" s="72" t="n">
        <v>0</v>
      </c>
      <c r="E149" s="71" t="n">
        <v>24198</v>
      </c>
      <c r="F149" s="72" t="n">
        <v>4.67</v>
      </c>
    </row>
    <row r="150">
      <c r="A150" s="71" t="n">
        <v>39940</v>
      </c>
      <c r="B150" s="72" t="n">
        <v>0.25</v>
      </c>
      <c r="C150" s="71" t="n">
        <v>39940</v>
      </c>
      <c r="D150" s="72" t="n">
        <v>0</v>
      </c>
      <c r="E150" s="71" t="n">
        <v>24228</v>
      </c>
      <c r="F150" s="72" t="n">
        <v>4.9</v>
      </c>
    </row>
    <row r="151">
      <c r="A151" s="71" t="n">
        <v>39941</v>
      </c>
      <c r="B151" s="72" t="n">
        <v>0.25</v>
      </c>
      <c r="C151" s="71" t="n">
        <v>39941</v>
      </c>
      <c r="D151" s="72" t="n">
        <v>0</v>
      </c>
      <c r="E151" s="71" t="n">
        <v>24259</v>
      </c>
      <c r="F151" s="72" t="n">
        <v>5.17</v>
      </c>
    </row>
    <row r="152">
      <c r="A152" s="71" t="n">
        <v>39942</v>
      </c>
      <c r="B152" s="72" t="n">
        <v>0.25</v>
      </c>
      <c r="C152" s="71" t="n">
        <v>39942</v>
      </c>
      <c r="D152" s="72" t="n">
        <v>0</v>
      </c>
      <c r="E152" s="71" t="n">
        <v>24289</v>
      </c>
      <c r="F152" s="72" t="n">
        <v>5.3</v>
      </c>
    </row>
    <row r="153">
      <c r="A153" s="71" t="n">
        <v>39943</v>
      </c>
      <c r="B153" s="72" t="n">
        <v>0.25</v>
      </c>
      <c r="C153" s="71" t="n">
        <v>39943</v>
      </c>
      <c r="D153" s="72" t="n">
        <v>0</v>
      </c>
      <c r="E153" s="71" t="n">
        <v>24320</v>
      </c>
      <c r="F153" s="72" t="n">
        <v>5.53</v>
      </c>
    </row>
    <row r="154">
      <c r="A154" s="71" t="n">
        <v>39944</v>
      </c>
      <c r="B154" s="72" t="n">
        <v>0.25</v>
      </c>
      <c r="C154" s="71" t="n">
        <v>39944</v>
      </c>
      <c r="D154" s="72" t="n">
        <v>0</v>
      </c>
      <c r="E154" s="71" t="n">
        <v>24351</v>
      </c>
      <c r="F154" s="72" t="n">
        <v>5.4</v>
      </c>
    </row>
    <row r="155">
      <c r="A155" s="71" t="n">
        <v>39945</v>
      </c>
      <c r="B155" s="72" t="n">
        <v>0.25</v>
      </c>
      <c r="C155" s="71" t="n">
        <v>39945</v>
      </c>
      <c r="D155" s="72" t="n">
        <v>0</v>
      </c>
      <c r="E155" s="71" t="n">
        <v>24381</v>
      </c>
      <c r="F155" s="72" t="n">
        <v>5.53</v>
      </c>
    </row>
    <row r="156">
      <c r="A156" s="71" t="n">
        <v>39946</v>
      </c>
      <c r="B156" s="72" t="n">
        <v>0.25</v>
      </c>
      <c r="C156" s="71" t="n">
        <v>39946</v>
      </c>
      <c r="D156" s="72" t="n">
        <v>0</v>
      </c>
      <c r="E156" s="71" t="n">
        <v>24412</v>
      </c>
      <c r="F156" s="72" t="n">
        <v>5.76</v>
      </c>
    </row>
    <row r="157">
      <c r="A157" s="71" t="n">
        <v>39947</v>
      </c>
      <c r="B157" s="72" t="n">
        <v>0.25</v>
      </c>
      <c r="C157" s="71" t="n">
        <v>39947</v>
      </c>
      <c r="D157" s="72" t="n">
        <v>0</v>
      </c>
      <c r="E157" s="71" t="n">
        <v>24442</v>
      </c>
      <c r="F157" s="72" t="n">
        <v>5.4</v>
      </c>
    </row>
    <row r="158">
      <c r="A158" s="71" t="n">
        <v>39948</v>
      </c>
      <c r="B158" s="72" t="n">
        <v>0.25</v>
      </c>
      <c r="C158" s="71" t="n">
        <v>39948</v>
      </c>
      <c r="D158" s="72" t="n">
        <v>0</v>
      </c>
      <c r="E158" s="71" t="n">
        <v>24473</v>
      </c>
      <c r="F158" s="72" t="n">
        <v>4.94</v>
      </c>
    </row>
    <row r="159">
      <c r="A159" s="71" t="n">
        <v>39949</v>
      </c>
      <c r="B159" s="72" t="n">
        <v>0.25</v>
      </c>
      <c r="C159" s="71" t="n">
        <v>39949</v>
      </c>
      <c r="D159" s="72" t="n">
        <v>0</v>
      </c>
      <c r="E159" s="71" t="n">
        <v>24504</v>
      </c>
      <c r="F159" s="72" t="n">
        <v>5</v>
      </c>
    </row>
    <row r="160">
      <c r="A160" s="71" t="n">
        <v>39950</v>
      </c>
      <c r="B160" s="72" t="n">
        <v>0.25</v>
      </c>
      <c r="C160" s="71" t="n">
        <v>39950</v>
      </c>
      <c r="D160" s="72" t="n">
        <v>0</v>
      </c>
      <c r="E160" s="71" t="n">
        <v>24532</v>
      </c>
      <c r="F160" s="72" t="n">
        <v>4.53</v>
      </c>
    </row>
    <row r="161">
      <c r="A161" s="71" t="n">
        <v>39951</v>
      </c>
      <c r="B161" s="72" t="n">
        <v>0.25</v>
      </c>
      <c r="C161" s="71" t="n">
        <v>39951</v>
      </c>
      <c r="D161" s="72" t="n">
        <v>0</v>
      </c>
      <c r="E161" s="71" t="n">
        <v>24563</v>
      </c>
      <c r="F161" s="72" t="n">
        <v>4.05</v>
      </c>
    </row>
    <row r="162">
      <c r="A162" s="71" t="n">
        <v>39952</v>
      </c>
      <c r="B162" s="72" t="n">
        <v>0.25</v>
      </c>
      <c r="C162" s="71" t="n">
        <v>39952</v>
      </c>
      <c r="D162" s="72" t="n">
        <v>0</v>
      </c>
      <c r="E162" s="71" t="n">
        <v>24593</v>
      </c>
      <c r="F162" s="72" t="n">
        <v>3.94</v>
      </c>
    </row>
    <row r="163">
      <c r="A163" s="71" t="n">
        <v>39953</v>
      </c>
      <c r="B163" s="72" t="n">
        <v>0.25</v>
      </c>
      <c r="C163" s="71" t="n">
        <v>39953</v>
      </c>
      <c r="D163" s="72" t="n">
        <v>0</v>
      </c>
      <c r="E163" s="71" t="n">
        <v>24624</v>
      </c>
      <c r="F163" s="72" t="n">
        <v>3.98</v>
      </c>
    </row>
    <row r="164">
      <c r="A164" s="71" t="n">
        <v>39954</v>
      </c>
      <c r="B164" s="72" t="n">
        <v>0.25</v>
      </c>
      <c r="C164" s="71" t="n">
        <v>39954</v>
      </c>
      <c r="D164" s="72" t="n">
        <v>0</v>
      </c>
      <c r="E164" s="71" t="n">
        <v>24654</v>
      </c>
      <c r="F164" s="72" t="n">
        <v>3.79</v>
      </c>
    </row>
    <row r="165">
      <c r="A165" s="71" t="n">
        <v>39955</v>
      </c>
      <c r="B165" s="72" t="n">
        <v>0.25</v>
      </c>
      <c r="C165" s="71" t="n">
        <v>39955</v>
      </c>
      <c r="D165" s="72" t="n">
        <v>0</v>
      </c>
      <c r="E165" s="71" t="n">
        <v>24685</v>
      </c>
      <c r="F165" s="72" t="n">
        <v>3.9</v>
      </c>
    </row>
    <row r="166">
      <c r="A166" s="71" t="n">
        <v>39956</v>
      </c>
      <c r="B166" s="72" t="n">
        <v>0.25</v>
      </c>
      <c r="C166" s="71" t="n">
        <v>39956</v>
      </c>
      <c r="D166" s="72" t="n">
        <v>0</v>
      </c>
      <c r="E166" s="71" t="n">
        <v>24716</v>
      </c>
      <c r="F166" s="72" t="n">
        <v>3.99</v>
      </c>
    </row>
    <row r="167">
      <c r="A167" s="71" t="n">
        <v>39957</v>
      </c>
      <c r="B167" s="72" t="n">
        <v>0.25</v>
      </c>
      <c r="C167" s="71" t="n">
        <v>39957</v>
      </c>
      <c r="D167" s="72" t="n">
        <v>0</v>
      </c>
      <c r="E167" s="71" t="n">
        <v>24746</v>
      </c>
      <c r="F167" s="72" t="n">
        <v>3.88</v>
      </c>
    </row>
    <row r="168">
      <c r="A168" s="71" t="n">
        <v>39958</v>
      </c>
      <c r="B168" s="72" t="n">
        <v>0.25</v>
      </c>
      <c r="C168" s="71" t="n">
        <v>39958</v>
      </c>
      <c r="D168" s="72" t="n">
        <v>0</v>
      </c>
      <c r="E168" s="71" t="n">
        <v>24777</v>
      </c>
      <c r="F168" s="72" t="n">
        <v>4.13</v>
      </c>
    </row>
    <row r="169">
      <c r="A169" s="71" t="n">
        <v>39959</v>
      </c>
      <c r="B169" s="72" t="n">
        <v>0.25</v>
      </c>
      <c r="C169" s="71" t="n">
        <v>39959</v>
      </c>
      <c r="D169" s="72" t="n">
        <v>0</v>
      </c>
      <c r="E169" s="71" t="n">
        <v>24807</v>
      </c>
      <c r="F169" s="72" t="n">
        <v>4.51</v>
      </c>
    </row>
    <row r="170">
      <c r="A170" s="71" t="n">
        <v>39960</v>
      </c>
      <c r="B170" s="72" t="n">
        <v>0.25</v>
      </c>
      <c r="C170" s="71" t="n">
        <v>39960</v>
      </c>
      <c r="D170" s="72" t="n">
        <v>0</v>
      </c>
      <c r="E170" s="71" t="n">
        <v>24838</v>
      </c>
      <c r="F170" s="72" t="n">
        <v>4.6</v>
      </c>
    </row>
    <row r="171">
      <c r="A171" s="71" t="n">
        <v>39961</v>
      </c>
      <c r="B171" s="72" t="n">
        <v>0.25</v>
      </c>
      <c r="C171" s="71" t="n">
        <v>39961</v>
      </c>
      <c r="D171" s="72" t="n">
        <v>0</v>
      </c>
      <c r="E171" s="71" t="n">
        <v>24869</v>
      </c>
      <c r="F171" s="72" t="n">
        <v>4.71</v>
      </c>
    </row>
    <row r="172">
      <c r="A172" s="71" t="n">
        <v>39962</v>
      </c>
      <c r="B172" s="72" t="n">
        <v>0.25</v>
      </c>
      <c r="C172" s="71" t="n">
        <v>39962</v>
      </c>
      <c r="D172" s="72" t="n">
        <v>0</v>
      </c>
      <c r="E172" s="71" t="n">
        <v>24898</v>
      </c>
      <c r="F172" s="72" t="n">
        <v>5.05</v>
      </c>
    </row>
    <row r="173">
      <c r="A173" s="71" t="n">
        <v>39963</v>
      </c>
      <c r="B173" s="72" t="n">
        <v>0.25</v>
      </c>
      <c r="C173" s="71" t="n">
        <v>39963</v>
      </c>
      <c r="D173" s="72" t="n">
        <v>0</v>
      </c>
      <c r="E173" s="71" t="n">
        <v>24929</v>
      </c>
      <c r="F173" s="72" t="n">
        <v>5.76</v>
      </c>
    </row>
    <row r="174">
      <c r="A174" s="71" t="n">
        <v>39964</v>
      </c>
      <c r="B174" s="72" t="n">
        <v>0.25</v>
      </c>
      <c r="C174" s="71" t="n">
        <v>39964</v>
      </c>
      <c r="D174" s="72" t="n">
        <v>0</v>
      </c>
      <c r="E174" s="71" t="n">
        <v>24959</v>
      </c>
      <c r="F174" s="72" t="n">
        <v>6.11</v>
      </c>
    </row>
    <row r="175">
      <c r="A175" s="71" t="n">
        <v>39965</v>
      </c>
      <c r="B175" s="72" t="n">
        <v>0.25</v>
      </c>
      <c r="C175" s="71" t="n">
        <v>39965</v>
      </c>
      <c r="D175" s="72" t="n">
        <v>0</v>
      </c>
      <c r="E175" s="71" t="n">
        <v>24990</v>
      </c>
      <c r="F175" s="72" t="n">
        <v>6.07</v>
      </c>
    </row>
    <row r="176">
      <c r="A176" s="71" t="n">
        <v>39966</v>
      </c>
      <c r="B176" s="72" t="n">
        <v>0.25</v>
      </c>
      <c r="C176" s="71" t="n">
        <v>39966</v>
      </c>
      <c r="D176" s="72" t="n">
        <v>0</v>
      </c>
      <c r="E176" s="71" t="n">
        <v>25020</v>
      </c>
      <c r="F176" s="72" t="n">
        <v>6.02</v>
      </c>
    </row>
    <row r="177">
      <c r="A177" s="71" t="n">
        <v>39967</v>
      </c>
      <c r="B177" s="72" t="n">
        <v>0.25</v>
      </c>
      <c r="C177" s="71" t="n">
        <v>39967</v>
      </c>
      <c r="D177" s="72" t="n">
        <v>0</v>
      </c>
      <c r="E177" s="71" t="n">
        <v>25051</v>
      </c>
      <c r="F177" s="72" t="n">
        <v>6.03</v>
      </c>
    </row>
    <row r="178">
      <c r="A178" s="71" t="n">
        <v>39968</v>
      </c>
      <c r="B178" s="72" t="n">
        <v>0.25</v>
      </c>
      <c r="C178" s="71" t="n">
        <v>39968</v>
      </c>
      <c r="D178" s="72" t="n">
        <v>0</v>
      </c>
      <c r="E178" s="71" t="n">
        <v>25082</v>
      </c>
      <c r="F178" s="72" t="n">
        <v>5.78</v>
      </c>
    </row>
    <row r="179">
      <c r="A179" s="71" t="n">
        <v>39969</v>
      </c>
      <c r="B179" s="72" t="n">
        <v>0.25</v>
      </c>
      <c r="C179" s="71" t="n">
        <v>39969</v>
      </c>
      <c r="D179" s="72" t="n">
        <v>0</v>
      </c>
      <c r="E179" s="71" t="n">
        <v>25112</v>
      </c>
      <c r="F179" s="72" t="n">
        <v>5.91</v>
      </c>
    </row>
    <row r="180">
      <c r="A180" s="71" t="n">
        <v>39970</v>
      </c>
      <c r="B180" s="72" t="n">
        <v>0.25</v>
      </c>
      <c r="C180" s="71" t="n">
        <v>39970</v>
      </c>
      <c r="D180" s="72" t="n">
        <v>0</v>
      </c>
      <c r="E180" s="71" t="n">
        <v>25143</v>
      </c>
      <c r="F180" s="72" t="n">
        <v>5.82</v>
      </c>
    </row>
    <row r="181">
      <c r="A181" s="71" t="n">
        <v>39971</v>
      </c>
      <c r="B181" s="72" t="n">
        <v>0.25</v>
      </c>
      <c r="C181" s="71" t="n">
        <v>39971</v>
      </c>
      <c r="D181" s="72" t="n">
        <v>0</v>
      </c>
      <c r="E181" s="71" t="n">
        <v>25173</v>
      </c>
      <c r="F181" s="72" t="n">
        <v>6.02</v>
      </c>
    </row>
    <row r="182">
      <c r="A182" s="71" t="n">
        <v>39972</v>
      </c>
      <c r="B182" s="72" t="n">
        <v>0.25</v>
      </c>
      <c r="C182" s="71" t="n">
        <v>39972</v>
      </c>
      <c r="D182" s="72" t="n">
        <v>0</v>
      </c>
      <c r="E182" s="71" t="n">
        <v>25204</v>
      </c>
      <c r="F182" s="72" t="n">
        <v>6.3</v>
      </c>
    </row>
    <row r="183">
      <c r="A183" s="71" t="n">
        <v>39973</v>
      </c>
      <c r="B183" s="72" t="n">
        <v>0.25</v>
      </c>
      <c r="C183" s="71" t="n">
        <v>39973</v>
      </c>
      <c r="D183" s="72" t="n">
        <v>0</v>
      </c>
      <c r="E183" s="71" t="n">
        <v>25235</v>
      </c>
      <c r="F183" s="72" t="n">
        <v>6.61</v>
      </c>
    </row>
    <row r="184">
      <c r="A184" s="71" t="n">
        <v>39974</v>
      </c>
      <c r="B184" s="72" t="n">
        <v>0.25</v>
      </c>
      <c r="C184" s="71" t="n">
        <v>39974</v>
      </c>
      <c r="D184" s="72" t="n">
        <v>0</v>
      </c>
      <c r="E184" s="71" t="n">
        <v>25263</v>
      </c>
      <c r="F184" s="72" t="n">
        <v>6.79</v>
      </c>
    </row>
    <row r="185">
      <c r="A185" s="71" t="n">
        <v>39975</v>
      </c>
      <c r="B185" s="72" t="n">
        <v>0.25</v>
      </c>
      <c r="C185" s="71" t="n">
        <v>39975</v>
      </c>
      <c r="D185" s="72" t="n">
        <v>0</v>
      </c>
      <c r="E185" s="71" t="n">
        <v>25294</v>
      </c>
      <c r="F185" s="72" t="n">
        <v>7.41</v>
      </c>
    </row>
    <row r="186">
      <c r="A186" s="71" t="n">
        <v>39976</v>
      </c>
      <c r="B186" s="72" t="n">
        <v>0.25</v>
      </c>
      <c r="C186" s="71" t="n">
        <v>39976</v>
      </c>
      <c r="D186" s="72" t="n">
        <v>0</v>
      </c>
      <c r="E186" s="71" t="n">
        <v>25324</v>
      </c>
      <c r="F186" s="72" t="n">
        <v>8.67</v>
      </c>
    </row>
    <row r="187">
      <c r="A187" s="71" t="n">
        <v>39977</v>
      </c>
      <c r="B187" s="72" t="n">
        <v>0.25</v>
      </c>
      <c r="C187" s="71" t="n">
        <v>39977</v>
      </c>
      <c r="D187" s="72" t="n">
        <v>0</v>
      </c>
      <c r="E187" s="71" t="n">
        <v>25355</v>
      </c>
      <c r="F187" s="72" t="n">
        <v>8.9</v>
      </c>
    </row>
    <row r="188">
      <c r="A188" s="71" t="n">
        <v>39978</v>
      </c>
      <c r="B188" s="72" t="n">
        <v>0.25</v>
      </c>
      <c r="C188" s="71" t="n">
        <v>39978</v>
      </c>
      <c r="D188" s="72" t="n">
        <v>0</v>
      </c>
      <c r="E188" s="71" t="n">
        <v>25385</v>
      </c>
      <c r="F188" s="72" t="n">
        <v>8.609999999999999</v>
      </c>
    </row>
    <row r="189">
      <c r="A189" s="71" t="n">
        <v>39979</v>
      </c>
      <c r="B189" s="72" t="n">
        <v>0.25</v>
      </c>
      <c r="C189" s="71" t="n">
        <v>39979</v>
      </c>
      <c r="D189" s="72" t="n">
        <v>0</v>
      </c>
      <c r="E189" s="71" t="n">
        <v>25416</v>
      </c>
      <c r="F189" s="72" t="n">
        <v>9.19</v>
      </c>
    </row>
    <row r="190">
      <c r="A190" s="71" t="n">
        <v>39980</v>
      </c>
      <c r="B190" s="72" t="n">
        <v>0.25</v>
      </c>
      <c r="C190" s="71" t="n">
        <v>39980</v>
      </c>
      <c r="D190" s="72" t="n">
        <v>0</v>
      </c>
      <c r="E190" s="71" t="n">
        <v>25447</v>
      </c>
      <c r="F190" s="72" t="n">
        <v>9.15</v>
      </c>
    </row>
    <row r="191">
      <c r="A191" s="71" t="n">
        <v>39981</v>
      </c>
      <c r="B191" s="72" t="n">
        <v>0.25</v>
      </c>
      <c r="C191" s="71" t="n">
        <v>39981</v>
      </c>
      <c r="D191" s="72" t="n">
        <v>0</v>
      </c>
      <c r="E191" s="71" t="n">
        <v>25477</v>
      </c>
      <c r="F191" s="72" t="n">
        <v>9</v>
      </c>
    </row>
    <row r="192">
      <c r="A192" s="71" t="n">
        <v>39982</v>
      </c>
      <c r="B192" s="72" t="n">
        <v>0.25</v>
      </c>
      <c r="C192" s="71" t="n">
        <v>39982</v>
      </c>
      <c r="D192" s="72" t="n">
        <v>0</v>
      </c>
      <c r="E192" s="71" t="n">
        <v>25508</v>
      </c>
      <c r="F192" s="72" t="n">
        <v>8.85</v>
      </c>
    </row>
    <row r="193">
      <c r="A193" s="71" t="n">
        <v>39983</v>
      </c>
      <c r="B193" s="72" t="n">
        <v>0.25</v>
      </c>
      <c r="C193" s="71" t="n">
        <v>39983</v>
      </c>
      <c r="D193" s="72" t="n">
        <v>0</v>
      </c>
      <c r="E193" s="71" t="n">
        <v>25538</v>
      </c>
      <c r="F193" s="72" t="n">
        <v>8.970000000000001</v>
      </c>
    </row>
    <row r="194">
      <c r="A194" s="71" t="n">
        <v>39984</v>
      </c>
      <c r="B194" s="72" t="n">
        <v>0.25</v>
      </c>
      <c r="C194" s="71" t="n">
        <v>39984</v>
      </c>
      <c r="D194" s="72" t="n">
        <v>0</v>
      </c>
      <c r="E194" s="71" t="n">
        <v>25569</v>
      </c>
      <c r="F194" s="72" t="n">
        <v>8.98</v>
      </c>
    </row>
    <row r="195">
      <c r="A195" s="71" t="n">
        <v>39985</v>
      </c>
      <c r="B195" s="72" t="n">
        <v>0.25</v>
      </c>
      <c r="C195" s="71" t="n">
        <v>39985</v>
      </c>
      <c r="D195" s="72" t="n">
        <v>0</v>
      </c>
      <c r="E195" s="71" t="n">
        <v>25600</v>
      </c>
      <c r="F195" s="72" t="n">
        <v>8.98</v>
      </c>
    </row>
    <row r="196">
      <c r="A196" s="71" t="n">
        <v>39986</v>
      </c>
      <c r="B196" s="72" t="n">
        <v>0.25</v>
      </c>
      <c r="C196" s="71" t="n">
        <v>39986</v>
      </c>
      <c r="D196" s="72" t="n">
        <v>0</v>
      </c>
      <c r="E196" s="71" t="n">
        <v>25628</v>
      </c>
      <c r="F196" s="72" t="n">
        <v>7.76</v>
      </c>
    </row>
    <row r="197">
      <c r="A197" s="71" t="n">
        <v>39987</v>
      </c>
      <c r="B197" s="72" t="n">
        <v>0.25</v>
      </c>
      <c r="C197" s="71" t="n">
        <v>39987</v>
      </c>
      <c r="D197" s="72" t="n">
        <v>0</v>
      </c>
      <c r="E197" s="71" t="n">
        <v>25659</v>
      </c>
      <c r="F197" s="72" t="n">
        <v>8.1</v>
      </c>
    </row>
    <row r="198">
      <c r="A198" s="71" t="n">
        <v>39988</v>
      </c>
      <c r="B198" s="72" t="n">
        <v>0.25</v>
      </c>
      <c r="C198" s="71" t="n">
        <v>39988</v>
      </c>
      <c r="D198" s="72" t="n">
        <v>0</v>
      </c>
      <c r="E198" s="71" t="n">
        <v>25689</v>
      </c>
      <c r="F198" s="72" t="n">
        <v>7.94</v>
      </c>
    </row>
    <row r="199">
      <c r="A199" s="71" t="n">
        <v>39989</v>
      </c>
      <c r="B199" s="72" t="n">
        <v>0.25</v>
      </c>
      <c r="C199" s="71" t="n">
        <v>39989</v>
      </c>
      <c r="D199" s="72" t="n">
        <v>0</v>
      </c>
      <c r="E199" s="71" t="n">
        <v>25720</v>
      </c>
      <c r="F199" s="72" t="n">
        <v>7.6</v>
      </c>
    </row>
    <row r="200">
      <c r="A200" s="71" t="n">
        <v>39990</v>
      </c>
      <c r="B200" s="72" t="n">
        <v>0.25</v>
      </c>
      <c r="C200" s="71" t="n">
        <v>39990</v>
      </c>
      <c r="D200" s="72" t="n">
        <v>0</v>
      </c>
      <c r="E200" s="71" t="n">
        <v>25750</v>
      </c>
      <c r="F200" s="72" t="n">
        <v>7.21</v>
      </c>
    </row>
    <row r="201">
      <c r="A201" s="71" t="n">
        <v>39991</v>
      </c>
      <c r="B201" s="72" t="n">
        <v>0.25</v>
      </c>
      <c r="C201" s="71" t="n">
        <v>39991</v>
      </c>
      <c r="D201" s="72" t="n">
        <v>0</v>
      </c>
      <c r="E201" s="71" t="n">
        <v>25781</v>
      </c>
      <c r="F201" s="72" t="n">
        <v>6.61</v>
      </c>
    </row>
    <row r="202">
      <c r="A202" s="71" t="n">
        <v>39992</v>
      </c>
      <c r="B202" s="72" t="n">
        <v>0.25</v>
      </c>
      <c r="C202" s="71" t="n">
        <v>39992</v>
      </c>
      <c r="D202" s="72" t="n">
        <v>0</v>
      </c>
      <c r="E202" s="71" t="n">
        <v>25812</v>
      </c>
      <c r="F202" s="72" t="n">
        <v>6.29</v>
      </c>
    </row>
    <row r="203">
      <c r="A203" s="71" t="n">
        <v>39993</v>
      </c>
      <c r="B203" s="72" t="n">
        <v>0.25</v>
      </c>
      <c r="C203" s="71" t="n">
        <v>39993</v>
      </c>
      <c r="D203" s="72" t="n">
        <v>0</v>
      </c>
      <c r="E203" s="71" t="n">
        <v>25842</v>
      </c>
      <c r="F203" s="72" t="n">
        <v>6.2</v>
      </c>
    </row>
    <row r="204">
      <c r="A204" s="71" t="n">
        <v>39994</v>
      </c>
      <c r="B204" s="72" t="n">
        <v>0.25</v>
      </c>
      <c r="C204" s="71" t="n">
        <v>39994</v>
      </c>
      <c r="D204" s="72" t="n">
        <v>0</v>
      </c>
      <c r="E204" s="71" t="n">
        <v>25873</v>
      </c>
      <c r="F204" s="72" t="n">
        <v>5.6</v>
      </c>
    </row>
    <row r="205">
      <c r="A205" s="71" t="n">
        <v>39995</v>
      </c>
      <c r="B205" s="72" t="n">
        <v>0.25</v>
      </c>
      <c r="C205" s="71" t="n">
        <v>39995</v>
      </c>
      <c r="D205" s="72" t="n">
        <v>0</v>
      </c>
      <c r="E205" s="71" t="n">
        <v>25903</v>
      </c>
      <c r="F205" s="72" t="n">
        <v>4.9</v>
      </c>
    </row>
    <row r="206">
      <c r="A206" s="71" t="n">
        <v>39996</v>
      </c>
      <c r="B206" s="72" t="n">
        <v>0.25</v>
      </c>
      <c r="C206" s="71" t="n">
        <v>39996</v>
      </c>
      <c r="D206" s="72" t="n">
        <v>0</v>
      </c>
      <c r="E206" s="71" t="n">
        <v>25934</v>
      </c>
      <c r="F206" s="72" t="n">
        <v>4.14</v>
      </c>
    </row>
    <row r="207">
      <c r="A207" s="71" t="n">
        <v>39997</v>
      </c>
      <c r="B207" s="72" t="n">
        <v>0.25</v>
      </c>
      <c r="C207" s="71" t="n">
        <v>39997</v>
      </c>
      <c r="D207" s="72" t="n">
        <v>0</v>
      </c>
      <c r="E207" s="71" t="n">
        <v>25965</v>
      </c>
      <c r="F207" s="72" t="n">
        <v>3.72</v>
      </c>
    </row>
    <row r="208">
      <c r="A208" s="71" t="n">
        <v>39998</v>
      </c>
      <c r="B208" s="72" t="n">
        <v>0.25</v>
      </c>
      <c r="C208" s="71" t="n">
        <v>39998</v>
      </c>
      <c r="D208" s="72" t="n">
        <v>0</v>
      </c>
      <c r="E208" s="71" t="n">
        <v>25993</v>
      </c>
      <c r="F208" s="72" t="n">
        <v>3.71</v>
      </c>
    </row>
    <row r="209">
      <c r="A209" s="71" t="n">
        <v>39999</v>
      </c>
      <c r="B209" s="72" t="n">
        <v>0.25</v>
      </c>
      <c r="C209" s="71" t="n">
        <v>39999</v>
      </c>
      <c r="D209" s="72" t="n">
        <v>0</v>
      </c>
      <c r="E209" s="71" t="n">
        <v>26024</v>
      </c>
      <c r="F209" s="72" t="n">
        <v>4.15</v>
      </c>
    </row>
    <row r="210">
      <c r="A210" s="71" t="n">
        <v>40000</v>
      </c>
      <c r="B210" s="72" t="n">
        <v>0.25</v>
      </c>
      <c r="C210" s="71" t="n">
        <v>40000</v>
      </c>
      <c r="D210" s="72" t="n">
        <v>0</v>
      </c>
      <c r="E210" s="71" t="n">
        <v>26054</v>
      </c>
      <c r="F210" s="72" t="n">
        <v>4.63</v>
      </c>
    </row>
    <row r="211">
      <c r="A211" s="71" t="n">
        <v>40001</v>
      </c>
      <c r="B211" s="72" t="n">
        <v>0.25</v>
      </c>
      <c r="C211" s="71" t="n">
        <v>40001</v>
      </c>
      <c r="D211" s="72" t="n">
        <v>0</v>
      </c>
      <c r="E211" s="71" t="n">
        <v>26085</v>
      </c>
      <c r="F211" s="72" t="n">
        <v>4.91</v>
      </c>
    </row>
    <row r="212">
      <c r="A212" s="71" t="n">
        <v>40002</v>
      </c>
      <c r="B212" s="72" t="n">
        <v>0.25</v>
      </c>
      <c r="C212" s="71" t="n">
        <v>40002</v>
      </c>
      <c r="D212" s="72" t="n">
        <v>0</v>
      </c>
      <c r="E212" s="71" t="n">
        <v>26115</v>
      </c>
      <c r="F212" s="72" t="n">
        <v>5.31</v>
      </c>
    </row>
    <row r="213">
      <c r="A213" s="71" t="n">
        <v>40003</v>
      </c>
      <c r="B213" s="72" t="n">
        <v>0.25</v>
      </c>
      <c r="C213" s="71" t="n">
        <v>40003</v>
      </c>
      <c r="D213" s="72" t="n">
        <v>0</v>
      </c>
      <c r="E213" s="71" t="n">
        <v>26146</v>
      </c>
      <c r="F213" s="72" t="n">
        <v>5.56</v>
      </c>
    </row>
    <row r="214">
      <c r="A214" s="71" t="n">
        <v>40004</v>
      </c>
      <c r="B214" s="72" t="n">
        <v>0.25</v>
      </c>
      <c r="C214" s="71" t="n">
        <v>40004</v>
      </c>
      <c r="D214" s="72" t="n">
        <v>0</v>
      </c>
      <c r="E214" s="71" t="n">
        <v>26177</v>
      </c>
      <c r="F214" s="72" t="n">
        <v>5.55</v>
      </c>
    </row>
    <row r="215">
      <c r="A215" s="71" t="n">
        <v>40005</v>
      </c>
      <c r="B215" s="72" t="n">
        <v>0.25</v>
      </c>
      <c r="C215" s="71" t="n">
        <v>40005</v>
      </c>
      <c r="D215" s="72" t="n">
        <v>0</v>
      </c>
      <c r="E215" s="71" t="n">
        <v>26207</v>
      </c>
      <c r="F215" s="72" t="n">
        <v>5.2</v>
      </c>
    </row>
    <row r="216">
      <c r="A216" s="71" t="n">
        <v>40006</v>
      </c>
      <c r="B216" s="72" t="n">
        <v>0.25</v>
      </c>
      <c r="C216" s="71" t="n">
        <v>40006</v>
      </c>
      <c r="D216" s="72" t="n">
        <v>0</v>
      </c>
      <c r="E216" s="71" t="n">
        <v>26238</v>
      </c>
      <c r="F216" s="72" t="n">
        <v>4.91</v>
      </c>
    </row>
    <row r="217">
      <c r="A217" s="71" t="n">
        <v>40007</v>
      </c>
      <c r="B217" s="72" t="n">
        <v>0.25</v>
      </c>
      <c r="C217" s="71" t="n">
        <v>40007</v>
      </c>
      <c r="D217" s="72" t="n">
        <v>0</v>
      </c>
      <c r="E217" s="71" t="n">
        <v>26268</v>
      </c>
      <c r="F217" s="72" t="n">
        <v>4.14</v>
      </c>
    </row>
    <row r="218">
      <c r="A218" s="71" t="n">
        <v>40008</v>
      </c>
      <c r="B218" s="72" t="n">
        <v>0.25</v>
      </c>
      <c r="C218" s="71" t="n">
        <v>40008</v>
      </c>
      <c r="D218" s="72" t="n">
        <v>0</v>
      </c>
      <c r="E218" s="71" t="n">
        <v>26299</v>
      </c>
      <c r="F218" s="72" t="n">
        <v>3.5</v>
      </c>
    </row>
    <row r="219">
      <c r="A219" s="71" t="n">
        <v>40009</v>
      </c>
      <c r="B219" s="72" t="n">
        <v>0.25</v>
      </c>
      <c r="C219" s="71" t="n">
        <v>40009</v>
      </c>
      <c r="D219" s="72" t="n">
        <v>0</v>
      </c>
      <c r="E219" s="71" t="n">
        <v>26330</v>
      </c>
      <c r="F219" s="72" t="n">
        <v>3.29</v>
      </c>
    </row>
    <row r="220">
      <c r="A220" s="71" t="n">
        <v>40010</v>
      </c>
      <c r="B220" s="72" t="n">
        <v>0.25</v>
      </c>
      <c r="C220" s="71" t="n">
        <v>40010</v>
      </c>
      <c r="D220" s="72" t="n">
        <v>0</v>
      </c>
      <c r="E220" s="71" t="n">
        <v>26359</v>
      </c>
      <c r="F220" s="72" t="n">
        <v>3.83</v>
      </c>
    </row>
    <row r="221">
      <c r="A221" s="71" t="n">
        <v>40011</v>
      </c>
      <c r="B221" s="72" t="n">
        <v>0.25</v>
      </c>
      <c r="C221" s="71" t="n">
        <v>40011</v>
      </c>
      <c r="D221" s="72" t="n">
        <v>0</v>
      </c>
      <c r="E221" s="71" t="n">
        <v>26390</v>
      </c>
      <c r="F221" s="72" t="n">
        <v>4.17</v>
      </c>
    </row>
    <row r="222">
      <c r="A222" s="71" t="n">
        <v>40012</v>
      </c>
      <c r="B222" s="72" t="n">
        <v>0.25</v>
      </c>
      <c r="C222" s="71" t="n">
        <v>40012</v>
      </c>
      <c r="D222" s="72" t="n">
        <v>0</v>
      </c>
      <c r="E222" s="71" t="n">
        <v>26420</v>
      </c>
      <c r="F222" s="72" t="n">
        <v>4.27</v>
      </c>
    </row>
    <row r="223">
      <c r="A223" s="71" t="n">
        <v>40013</v>
      </c>
      <c r="B223" s="72" t="n">
        <v>0.25</v>
      </c>
      <c r="C223" s="71" t="n">
        <v>40013</v>
      </c>
      <c r="D223" s="72" t="n">
        <v>0</v>
      </c>
      <c r="E223" s="71" t="n">
        <v>26451</v>
      </c>
      <c r="F223" s="72" t="n">
        <v>4.46</v>
      </c>
    </row>
    <row r="224">
      <c r="A224" s="71" t="n">
        <v>40014</v>
      </c>
      <c r="B224" s="72" t="n">
        <v>0.25</v>
      </c>
      <c r="C224" s="71" t="n">
        <v>40014</v>
      </c>
      <c r="D224" s="72" t="n">
        <v>0</v>
      </c>
      <c r="E224" s="71" t="n">
        <v>26481</v>
      </c>
      <c r="F224" s="72" t="n">
        <v>4.55</v>
      </c>
    </row>
    <row r="225">
      <c r="A225" s="71" t="n">
        <v>40015</v>
      </c>
      <c r="B225" s="72" t="n">
        <v>0.25</v>
      </c>
      <c r="C225" s="71" t="n">
        <v>40015</v>
      </c>
      <c r="D225" s="72" t="n">
        <v>0</v>
      </c>
      <c r="E225" s="71" t="n">
        <v>26512</v>
      </c>
      <c r="F225" s="72" t="n">
        <v>4.8</v>
      </c>
    </row>
    <row r="226">
      <c r="A226" s="71" t="n">
        <v>40016</v>
      </c>
      <c r="B226" s="72" t="n">
        <v>0.25</v>
      </c>
      <c r="C226" s="71" t="n">
        <v>40016</v>
      </c>
      <c r="D226" s="72" t="n">
        <v>0</v>
      </c>
      <c r="E226" s="71" t="n">
        <v>26543</v>
      </c>
      <c r="F226" s="72" t="n">
        <v>4.87</v>
      </c>
    </row>
    <row r="227">
      <c r="A227" s="71" t="n">
        <v>40017</v>
      </c>
      <c r="B227" s="72" t="n">
        <v>0.25</v>
      </c>
      <c r="C227" s="71" t="n">
        <v>40017</v>
      </c>
      <c r="D227" s="72" t="n">
        <v>0</v>
      </c>
      <c r="E227" s="71" t="n">
        <v>26573</v>
      </c>
      <c r="F227" s="72" t="n">
        <v>5.04</v>
      </c>
    </row>
    <row r="228">
      <c r="A228" s="71" t="n">
        <v>40018</v>
      </c>
      <c r="B228" s="72" t="n">
        <v>0.25</v>
      </c>
      <c r="C228" s="71" t="n">
        <v>40018</v>
      </c>
      <c r="D228" s="72" t="n">
        <v>0</v>
      </c>
      <c r="E228" s="71" t="n">
        <v>26604</v>
      </c>
      <c r="F228" s="72" t="n">
        <v>5.06</v>
      </c>
    </row>
    <row r="229">
      <c r="A229" s="71" t="n">
        <v>40019</v>
      </c>
      <c r="B229" s="72" t="n">
        <v>0.25</v>
      </c>
      <c r="C229" s="71" t="n">
        <v>40019</v>
      </c>
      <c r="D229" s="72" t="n">
        <v>0</v>
      </c>
      <c r="E229" s="71" t="n">
        <v>26634</v>
      </c>
      <c r="F229" s="72" t="n">
        <v>5.33</v>
      </c>
    </row>
    <row r="230">
      <c r="A230" s="71" t="n">
        <v>40020</v>
      </c>
      <c r="B230" s="72" t="n">
        <v>0.25</v>
      </c>
      <c r="C230" s="71" t="n">
        <v>40020</v>
      </c>
      <c r="D230" s="72" t="n">
        <v>0</v>
      </c>
      <c r="E230" s="71" t="n">
        <v>26665</v>
      </c>
      <c r="F230" s="72" t="n">
        <v>5.94</v>
      </c>
    </row>
    <row r="231">
      <c r="A231" s="71" t="n">
        <v>40021</v>
      </c>
      <c r="B231" s="72" t="n">
        <v>0.25</v>
      </c>
      <c r="C231" s="71" t="n">
        <v>40021</v>
      </c>
      <c r="D231" s="72" t="n">
        <v>0</v>
      </c>
      <c r="E231" s="71" t="n">
        <v>26696</v>
      </c>
      <c r="F231" s="72" t="n">
        <v>6.58</v>
      </c>
    </row>
    <row r="232">
      <c r="A232" s="71" t="n">
        <v>40022</v>
      </c>
      <c r="B232" s="72" t="n">
        <v>0.25</v>
      </c>
      <c r="C232" s="71" t="n">
        <v>40022</v>
      </c>
      <c r="D232" s="72" t="n">
        <v>0</v>
      </c>
      <c r="E232" s="71" t="n">
        <v>26724</v>
      </c>
      <c r="F232" s="72" t="n">
        <v>7.09</v>
      </c>
    </row>
    <row r="233">
      <c r="A233" s="71" t="n">
        <v>40023</v>
      </c>
      <c r="B233" s="72" t="n">
        <v>0.25</v>
      </c>
      <c r="C233" s="71" t="n">
        <v>40023</v>
      </c>
      <c r="D233" s="72" t="n">
        <v>0</v>
      </c>
      <c r="E233" s="71" t="n">
        <v>26755</v>
      </c>
      <c r="F233" s="72" t="n">
        <v>7.12</v>
      </c>
    </row>
    <row r="234">
      <c r="A234" s="71" t="n">
        <v>40024</v>
      </c>
      <c r="B234" s="72" t="n">
        <v>0.25</v>
      </c>
      <c r="C234" s="71" t="n">
        <v>40024</v>
      </c>
      <c r="D234" s="72" t="n">
        <v>0</v>
      </c>
      <c r="E234" s="71" t="n">
        <v>26785</v>
      </c>
      <c r="F234" s="72" t="n">
        <v>7.84</v>
      </c>
    </row>
    <row r="235">
      <c r="A235" s="71" t="n">
        <v>40025</v>
      </c>
      <c r="B235" s="72" t="n">
        <v>0.25</v>
      </c>
      <c r="C235" s="71" t="n">
        <v>40025</v>
      </c>
      <c r="D235" s="72" t="n">
        <v>0</v>
      </c>
      <c r="E235" s="71" t="n">
        <v>26816</v>
      </c>
      <c r="F235" s="72" t="n">
        <v>8.49</v>
      </c>
    </row>
    <row r="236">
      <c r="A236" s="71" t="n">
        <v>40026</v>
      </c>
      <c r="B236" s="72" t="n">
        <v>0.25</v>
      </c>
      <c r="C236" s="71" t="n">
        <v>40026</v>
      </c>
      <c r="D236" s="72" t="n">
        <v>0</v>
      </c>
      <c r="E236" s="71" t="n">
        <v>26846</v>
      </c>
      <c r="F236" s="72" t="n">
        <v>10.4</v>
      </c>
    </row>
    <row r="237">
      <c r="A237" s="71" t="n">
        <v>40027</v>
      </c>
      <c r="B237" s="72" t="n">
        <v>0.25</v>
      </c>
      <c r="C237" s="71" t="n">
        <v>40027</v>
      </c>
      <c r="D237" s="72" t="n">
        <v>0</v>
      </c>
      <c r="E237" s="71" t="n">
        <v>26877</v>
      </c>
      <c r="F237" s="72" t="n">
        <v>10.5</v>
      </c>
    </row>
    <row r="238">
      <c r="A238" s="71" t="n">
        <v>40028</v>
      </c>
      <c r="B238" s="72" t="n">
        <v>0.25</v>
      </c>
      <c r="C238" s="71" t="n">
        <v>40028</v>
      </c>
      <c r="D238" s="72" t="n">
        <v>0</v>
      </c>
      <c r="E238" s="71" t="n">
        <v>26908</v>
      </c>
      <c r="F238" s="72" t="n">
        <v>10.78</v>
      </c>
    </row>
    <row r="239">
      <c r="A239" s="71" t="n">
        <v>40029</v>
      </c>
      <c r="B239" s="72" t="n">
        <v>0.25</v>
      </c>
      <c r="C239" s="71" t="n">
        <v>40029</v>
      </c>
      <c r="D239" s="72" t="n">
        <v>0</v>
      </c>
      <c r="E239" s="71" t="n">
        <v>26938</v>
      </c>
      <c r="F239" s="72" t="n">
        <v>10.01</v>
      </c>
    </row>
    <row r="240">
      <c r="A240" s="71" t="n">
        <v>40030</v>
      </c>
      <c r="B240" s="72" t="n">
        <v>0.25</v>
      </c>
      <c r="C240" s="71" t="n">
        <v>40030</v>
      </c>
      <c r="D240" s="72" t="n">
        <v>0</v>
      </c>
      <c r="E240" s="71" t="n">
        <v>26969</v>
      </c>
      <c r="F240" s="72" t="n">
        <v>10.03</v>
      </c>
    </row>
    <row r="241">
      <c r="A241" s="71" t="n">
        <v>40031</v>
      </c>
      <c r="B241" s="72" t="n">
        <v>0.25</v>
      </c>
      <c r="C241" s="71" t="n">
        <v>40031</v>
      </c>
      <c r="D241" s="72" t="n">
        <v>0</v>
      </c>
      <c r="E241" s="71" t="n">
        <v>26999</v>
      </c>
      <c r="F241" s="72" t="n">
        <v>9.949999999999999</v>
      </c>
    </row>
    <row r="242">
      <c r="A242" s="71" t="n">
        <v>40032</v>
      </c>
      <c r="B242" s="72" t="n">
        <v>0.25</v>
      </c>
      <c r="C242" s="71" t="n">
        <v>40032</v>
      </c>
      <c r="D242" s="72" t="n">
        <v>0</v>
      </c>
      <c r="E242" s="71" t="n">
        <v>27030</v>
      </c>
      <c r="F242" s="72" t="n">
        <v>9.65</v>
      </c>
    </row>
    <row r="243">
      <c r="A243" s="71" t="n">
        <v>40033</v>
      </c>
      <c r="B243" s="72" t="n">
        <v>0.25</v>
      </c>
      <c r="C243" s="71" t="n">
        <v>40033</v>
      </c>
      <c r="D243" s="72" t="n">
        <v>0</v>
      </c>
      <c r="E243" s="71" t="n">
        <v>27061</v>
      </c>
      <c r="F243" s="72" t="n">
        <v>8.970000000000001</v>
      </c>
    </row>
    <row r="244">
      <c r="A244" s="71" t="n">
        <v>40034</v>
      </c>
      <c r="B244" s="72" t="n">
        <v>0.25</v>
      </c>
      <c r="C244" s="71" t="n">
        <v>40034</v>
      </c>
      <c r="D244" s="72" t="n">
        <v>0</v>
      </c>
      <c r="E244" s="71" t="n">
        <v>27089</v>
      </c>
      <c r="F244" s="72" t="n">
        <v>9.35</v>
      </c>
    </row>
    <row r="245">
      <c r="A245" s="71" t="n">
        <v>40035</v>
      </c>
      <c r="B245" s="72" t="n">
        <v>0.25</v>
      </c>
      <c r="C245" s="71" t="n">
        <v>40035</v>
      </c>
      <c r="D245" s="72" t="n">
        <v>0</v>
      </c>
      <c r="E245" s="71" t="n">
        <v>27120</v>
      </c>
      <c r="F245" s="72" t="n">
        <v>10.51</v>
      </c>
    </row>
    <row r="246">
      <c r="A246" s="71" t="n">
        <v>40036</v>
      </c>
      <c r="B246" s="72" t="n">
        <v>0.25</v>
      </c>
      <c r="C246" s="71" t="n">
        <v>40036</v>
      </c>
      <c r="D246" s="72" t="n">
        <v>0</v>
      </c>
      <c r="E246" s="71" t="n">
        <v>27150</v>
      </c>
      <c r="F246" s="72" t="n">
        <v>11.31</v>
      </c>
    </row>
    <row r="247">
      <c r="A247" s="71" t="n">
        <v>40037</v>
      </c>
      <c r="B247" s="72" t="n">
        <v>0.25</v>
      </c>
      <c r="C247" s="71" t="n">
        <v>40037</v>
      </c>
      <c r="D247" s="72" t="n">
        <v>0</v>
      </c>
      <c r="E247" s="71" t="n">
        <v>27181</v>
      </c>
      <c r="F247" s="72" t="n">
        <v>11.93</v>
      </c>
    </row>
    <row r="248">
      <c r="A248" s="71" t="n">
        <v>40038</v>
      </c>
      <c r="B248" s="72" t="n">
        <v>0.25</v>
      </c>
      <c r="C248" s="71" t="n">
        <v>40038</v>
      </c>
      <c r="D248" s="72" t="n">
        <v>0</v>
      </c>
      <c r="E248" s="71" t="n">
        <v>27211</v>
      </c>
      <c r="F248" s="72" t="n">
        <v>12.92</v>
      </c>
    </row>
    <row r="249">
      <c r="A249" s="71" t="n">
        <v>40039</v>
      </c>
      <c r="B249" s="72" t="n">
        <v>0.25</v>
      </c>
      <c r="C249" s="71" t="n">
        <v>40039</v>
      </c>
      <c r="D249" s="72" t="n">
        <v>0</v>
      </c>
      <c r="E249" s="71" t="n">
        <v>27242</v>
      </c>
      <c r="F249" s="72" t="n">
        <v>12.01</v>
      </c>
    </row>
    <row r="250">
      <c r="A250" s="71" t="n">
        <v>40040</v>
      </c>
      <c r="B250" s="72" t="n">
        <v>0.25</v>
      </c>
      <c r="C250" s="71" t="n">
        <v>40040</v>
      </c>
      <c r="D250" s="72" t="n">
        <v>0</v>
      </c>
      <c r="E250" s="71" t="n">
        <v>27273</v>
      </c>
      <c r="F250" s="72" t="n">
        <v>11.34</v>
      </c>
    </row>
    <row r="251">
      <c r="A251" s="71" t="n">
        <v>40041</v>
      </c>
      <c r="B251" s="72" t="n">
        <v>0.25</v>
      </c>
      <c r="C251" s="71" t="n">
        <v>40041</v>
      </c>
      <c r="D251" s="72" t="n">
        <v>0</v>
      </c>
      <c r="E251" s="71" t="n">
        <v>27303</v>
      </c>
      <c r="F251" s="72" t="n">
        <v>10.06</v>
      </c>
    </row>
    <row r="252">
      <c r="A252" s="71" t="n">
        <v>40042</v>
      </c>
      <c r="B252" s="72" t="n">
        <v>0.25</v>
      </c>
      <c r="C252" s="71" t="n">
        <v>40042</v>
      </c>
      <c r="D252" s="72" t="n">
        <v>0</v>
      </c>
      <c r="E252" s="71" t="n">
        <v>27334</v>
      </c>
      <c r="F252" s="72" t="n">
        <v>9.449999999999999</v>
      </c>
    </row>
    <row r="253">
      <c r="A253" s="71" t="n">
        <v>40043</v>
      </c>
      <c r="B253" s="72" t="n">
        <v>0.25</v>
      </c>
      <c r="C253" s="71" t="n">
        <v>40043</v>
      </c>
      <c r="D253" s="72" t="n">
        <v>0</v>
      </c>
      <c r="E253" s="71" t="n">
        <v>27364</v>
      </c>
      <c r="F253" s="72" t="n">
        <v>8.529999999999999</v>
      </c>
    </row>
    <row r="254">
      <c r="A254" s="71" t="n">
        <v>40044</v>
      </c>
      <c r="B254" s="72" t="n">
        <v>0.25</v>
      </c>
      <c r="C254" s="71" t="n">
        <v>40044</v>
      </c>
      <c r="D254" s="72" t="n">
        <v>0</v>
      </c>
      <c r="E254" s="71" t="n">
        <v>27395</v>
      </c>
      <c r="F254" s="72" t="n">
        <v>7.13</v>
      </c>
    </row>
    <row r="255">
      <c r="A255" s="71" t="n">
        <v>40045</v>
      </c>
      <c r="B255" s="72" t="n">
        <v>0.25</v>
      </c>
      <c r="C255" s="71" t="n">
        <v>40045</v>
      </c>
      <c r="D255" s="72" t="n">
        <v>0</v>
      </c>
      <c r="E255" s="71" t="n">
        <v>27426</v>
      </c>
      <c r="F255" s="72" t="n">
        <v>6.24</v>
      </c>
    </row>
    <row r="256">
      <c r="A256" s="71" t="n">
        <v>40046</v>
      </c>
      <c r="B256" s="72" t="n">
        <v>0.25</v>
      </c>
      <c r="C256" s="71" t="n">
        <v>40046</v>
      </c>
      <c r="D256" s="72" t="n">
        <v>0</v>
      </c>
      <c r="E256" s="71" t="n">
        <v>27454</v>
      </c>
      <c r="F256" s="72" t="n">
        <v>5.54</v>
      </c>
    </row>
    <row r="257">
      <c r="A257" s="71" t="n">
        <v>40047</v>
      </c>
      <c r="B257" s="72" t="n">
        <v>0.25</v>
      </c>
      <c r="C257" s="71" t="n">
        <v>40047</v>
      </c>
      <c r="D257" s="72" t="n">
        <v>0</v>
      </c>
      <c r="E257" s="71" t="n">
        <v>27485</v>
      </c>
      <c r="F257" s="72" t="n">
        <v>5.49</v>
      </c>
    </row>
    <row r="258">
      <c r="A258" s="71" t="n">
        <v>40048</v>
      </c>
      <c r="B258" s="72" t="n">
        <v>0.25</v>
      </c>
      <c r="C258" s="71" t="n">
        <v>40048</v>
      </c>
      <c r="D258" s="72" t="n">
        <v>0</v>
      </c>
      <c r="E258" s="71" t="n">
        <v>27515</v>
      </c>
      <c r="F258" s="72" t="n">
        <v>5.22</v>
      </c>
    </row>
    <row r="259">
      <c r="A259" s="71" t="n">
        <v>40049</v>
      </c>
      <c r="B259" s="72" t="n">
        <v>0.25</v>
      </c>
      <c r="C259" s="71" t="n">
        <v>40049</v>
      </c>
      <c r="D259" s="72" t="n">
        <v>0</v>
      </c>
      <c r="E259" s="71" t="n">
        <v>27546</v>
      </c>
      <c r="F259" s="72" t="n">
        <v>5.55</v>
      </c>
    </row>
    <row r="260">
      <c r="A260" s="71" t="n">
        <v>40050</v>
      </c>
      <c r="B260" s="72" t="n">
        <v>0.25</v>
      </c>
      <c r="C260" s="71" t="n">
        <v>40050</v>
      </c>
      <c r="D260" s="72" t="n">
        <v>0</v>
      </c>
      <c r="E260" s="71" t="n">
        <v>27576</v>
      </c>
      <c r="F260" s="72" t="n">
        <v>6.1</v>
      </c>
    </row>
    <row r="261">
      <c r="A261" s="71" t="n">
        <v>40051</v>
      </c>
      <c r="B261" s="72" t="n">
        <v>0.25</v>
      </c>
      <c r="C261" s="71" t="n">
        <v>40051</v>
      </c>
      <c r="D261" s="72" t="n">
        <v>0</v>
      </c>
      <c r="E261" s="71" t="n">
        <v>27607</v>
      </c>
      <c r="F261" s="72" t="n">
        <v>6.14</v>
      </c>
    </row>
    <row r="262">
      <c r="A262" s="71" t="n">
        <v>40052</v>
      </c>
      <c r="B262" s="72" t="n">
        <v>0.25</v>
      </c>
      <c r="C262" s="71" t="n">
        <v>40052</v>
      </c>
      <c r="D262" s="72" t="n">
        <v>0</v>
      </c>
      <c r="E262" s="71" t="n">
        <v>27638</v>
      </c>
      <c r="F262" s="72" t="n">
        <v>6.24</v>
      </c>
    </row>
    <row r="263">
      <c r="A263" s="71" t="n">
        <v>40053</v>
      </c>
      <c r="B263" s="72" t="n">
        <v>0.25</v>
      </c>
      <c r="C263" s="71" t="n">
        <v>40053</v>
      </c>
      <c r="D263" s="72" t="n">
        <v>0</v>
      </c>
      <c r="E263" s="71" t="n">
        <v>27668</v>
      </c>
      <c r="F263" s="72" t="n">
        <v>5.82</v>
      </c>
    </row>
    <row r="264">
      <c r="A264" s="71" t="n">
        <v>40054</v>
      </c>
      <c r="B264" s="72" t="n">
        <v>0.25</v>
      </c>
      <c r="C264" s="71" t="n">
        <v>40054</v>
      </c>
      <c r="D264" s="72" t="n">
        <v>0</v>
      </c>
      <c r="E264" s="71" t="n">
        <v>27699</v>
      </c>
      <c r="F264" s="72" t="n">
        <v>5.22</v>
      </c>
    </row>
    <row r="265">
      <c r="A265" s="71" t="n">
        <v>40055</v>
      </c>
      <c r="B265" s="72" t="n">
        <v>0.25</v>
      </c>
      <c r="C265" s="71" t="n">
        <v>40055</v>
      </c>
      <c r="D265" s="72" t="n">
        <v>0</v>
      </c>
      <c r="E265" s="71" t="n">
        <v>27729</v>
      </c>
      <c r="F265" s="72" t="n">
        <v>5.2</v>
      </c>
    </row>
    <row r="266">
      <c r="A266" s="71" t="n">
        <v>40056</v>
      </c>
      <c r="B266" s="72" t="n">
        <v>0.25</v>
      </c>
      <c r="C266" s="71" t="n">
        <v>40056</v>
      </c>
      <c r="D266" s="72" t="n">
        <v>0</v>
      </c>
      <c r="E266" s="71" t="n">
        <v>27760</v>
      </c>
      <c r="F266" s="72" t="n">
        <v>4.87</v>
      </c>
    </row>
    <row r="267">
      <c r="A267" s="71" t="n">
        <v>40057</v>
      </c>
      <c r="B267" s="72" t="n">
        <v>0.25</v>
      </c>
      <c r="C267" s="71" t="n">
        <v>40057</v>
      </c>
      <c r="D267" s="72" t="n">
        <v>0</v>
      </c>
      <c r="E267" s="71" t="n">
        <v>27791</v>
      </c>
      <c r="F267" s="72" t="n">
        <v>4.77</v>
      </c>
    </row>
    <row r="268">
      <c r="A268" s="71" t="n">
        <v>40058</v>
      </c>
      <c r="B268" s="72" t="n">
        <v>0.25</v>
      </c>
      <c r="C268" s="71" t="n">
        <v>40058</v>
      </c>
      <c r="D268" s="72" t="n">
        <v>0</v>
      </c>
      <c r="E268" s="71" t="n">
        <v>27820</v>
      </c>
      <c r="F268" s="72" t="n">
        <v>4.84</v>
      </c>
    </row>
    <row r="269">
      <c r="A269" s="71" t="n">
        <v>40059</v>
      </c>
      <c r="B269" s="72" t="n">
        <v>0.25</v>
      </c>
      <c r="C269" s="71" t="n">
        <v>40059</v>
      </c>
      <c r="D269" s="72" t="n">
        <v>0</v>
      </c>
      <c r="E269" s="71" t="n">
        <v>27851</v>
      </c>
      <c r="F269" s="72" t="n">
        <v>4.82</v>
      </c>
    </row>
    <row r="270">
      <c r="A270" s="71" t="n">
        <v>40060</v>
      </c>
      <c r="B270" s="72" t="n">
        <v>0.25</v>
      </c>
      <c r="C270" s="71" t="n">
        <v>40060</v>
      </c>
      <c r="D270" s="72" t="n">
        <v>0</v>
      </c>
      <c r="E270" s="71" t="n">
        <v>27881</v>
      </c>
      <c r="F270" s="72" t="n">
        <v>5.29</v>
      </c>
    </row>
    <row r="271">
      <c r="A271" s="71" t="n">
        <v>40061</v>
      </c>
      <c r="B271" s="72" t="n">
        <v>0.25</v>
      </c>
      <c r="C271" s="71" t="n">
        <v>40061</v>
      </c>
      <c r="D271" s="72" t="n">
        <v>0</v>
      </c>
      <c r="E271" s="71" t="n">
        <v>27912</v>
      </c>
      <c r="F271" s="72" t="n">
        <v>5.48</v>
      </c>
    </row>
    <row r="272">
      <c r="A272" s="71" t="n">
        <v>40062</v>
      </c>
      <c r="B272" s="72" t="n">
        <v>0.25</v>
      </c>
      <c r="C272" s="71" t="n">
        <v>40062</v>
      </c>
      <c r="D272" s="72" t="n">
        <v>0</v>
      </c>
      <c r="E272" s="71" t="n">
        <v>27942</v>
      </c>
      <c r="F272" s="72" t="n">
        <v>5.31</v>
      </c>
    </row>
    <row r="273">
      <c r="A273" s="71" t="n">
        <v>40063</v>
      </c>
      <c r="B273" s="72" t="n">
        <v>0.25</v>
      </c>
      <c r="C273" s="71" t="n">
        <v>40063</v>
      </c>
      <c r="D273" s="72" t="n">
        <v>0</v>
      </c>
      <c r="E273" s="71" t="n">
        <v>27973</v>
      </c>
      <c r="F273" s="72" t="n">
        <v>5.29</v>
      </c>
    </row>
    <row r="274">
      <c r="A274" s="71" t="n">
        <v>40064</v>
      </c>
      <c r="B274" s="72" t="n">
        <v>0.25</v>
      </c>
      <c r="C274" s="71" t="n">
        <v>40064</v>
      </c>
      <c r="D274" s="72" t="n">
        <v>0</v>
      </c>
      <c r="E274" s="71" t="n">
        <v>28004</v>
      </c>
      <c r="F274" s="72" t="n">
        <v>5.25</v>
      </c>
    </row>
    <row r="275">
      <c r="A275" s="71" t="n">
        <v>40065</v>
      </c>
      <c r="B275" s="72" t="n">
        <v>0.25</v>
      </c>
      <c r="C275" s="71" t="n">
        <v>40065</v>
      </c>
      <c r="D275" s="72" t="n">
        <v>0</v>
      </c>
      <c r="E275" s="71" t="n">
        <v>28034</v>
      </c>
      <c r="F275" s="72" t="n">
        <v>5.02</v>
      </c>
    </row>
    <row r="276">
      <c r="A276" s="71" t="n">
        <v>40066</v>
      </c>
      <c r="B276" s="72" t="n">
        <v>0.25</v>
      </c>
      <c r="C276" s="71" t="n">
        <v>40066</v>
      </c>
      <c r="D276" s="72" t="n">
        <v>0</v>
      </c>
      <c r="E276" s="71" t="n">
        <v>28065</v>
      </c>
      <c r="F276" s="72" t="n">
        <v>4.95</v>
      </c>
    </row>
    <row r="277">
      <c r="A277" s="71" t="n">
        <v>40067</v>
      </c>
      <c r="B277" s="72" t="n">
        <v>0.25</v>
      </c>
      <c r="C277" s="71" t="n">
        <v>40067</v>
      </c>
      <c r="D277" s="72" t="n">
        <v>0</v>
      </c>
      <c r="E277" s="71" t="n">
        <v>28095</v>
      </c>
      <c r="F277" s="72" t="n">
        <v>4.65</v>
      </c>
    </row>
    <row r="278">
      <c r="A278" s="71" t="n">
        <v>40068</v>
      </c>
      <c r="B278" s="72" t="n">
        <v>0.25</v>
      </c>
      <c r="C278" s="71" t="n">
        <v>40068</v>
      </c>
      <c r="D278" s="72" t="n">
        <v>0</v>
      </c>
      <c r="E278" s="71" t="n">
        <v>28126</v>
      </c>
      <c r="F278" s="72" t="n">
        <v>4.61</v>
      </c>
    </row>
    <row r="279">
      <c r="A279" s="71" t="n">
        <v>40069</v>
      </c>
      <c r="B279" s="72" t="n">
        <v>0.25</v>
      </c>
      <c r="C279" s="71" t="n">
        <v>40069</v>
      </c>
      <c r="D279" s="72" t="n">
        <v>0</v>
      </c>
      <c r="E279" s="71" t="n">
        <v>28157</v>
      </c>
      <c r="F279" s="72" t="n">
        <v>4.68</v>
      </c>
    </row>
    <row r="280">
      <c r="A280" s="71" t="n">
        <v>40070</v>
      </c>
      <c r="B280" s="72" t="n">
        <v>0.25</v>
      </c>
      <c r="C280" s="71" t="n">
        <v>40070</v>
      </c>
      <c r="D280" s="72" t="n">
        <v>0</v>
      </c>
      <c r="E280" s="71" t="n">
        <v>28185</v>
      </c>
      <c r="F280" s="72" t="n">
        <v>4.69</v>
      </c>
    </row>
    <row r="281">
      <c r="A281" s="71" t="n">
        <v>40071</v>
      </c>
      <c r="B281" s="72" t="n">
        <v>0.25</v>
      </c>
      <c r="C281" s="71" t="n">
        <v>40071</v>
      </c>
      <c r="D281" s="72" t="n">
        <v>0</v>
      </c>
      <c r="E281" s="71" t="n">
        <v>28216</v>
      </c>
      <c r="F281" s="72" t="n">
        <v>4.73</v>
      </c>
    </row>
    <row r="282">
      <c r="A282" s="71" t="n">
        <v>40072</v>
      </c>
      <c r="B282" s="72" t="n">
        <v>0.25</v>
      </c>
      <c r="C282" s="71" t="n">
        <v>40072</v>
      </c>
      <c r="D282" s="72" t="n">
        <v>0</v>
      </c>
      <c r="E282" s="71" t="n">
        <v>28246</v>
      </c>
      <c r="F282" s="72" t="n">
        <v>5.35</v>
      </c>
    </row>
    <row r="283">
      <c r="A283" s="71" t="n">
        <v>40073</v>
      </c>
      <c r="B283" s="72" t="n">
        <v>0.25</v>
      </c>
      <c r="C283" s="71" t="n">
        <v>40073</v>
      </c>
      <c r="D283" s="72" t="n">
        <v>0</v>
      </c>
      <c r="E283" s="71" t="n">
        <v>28277</v>
      </c>
      <c r="F283" s="72" t="n">
        <v>5.39</v>
      </c>
    </row>
    <row r="284">
      <c r="A284" s="71" t="n">
        <v>40074</v>
      </c>
      <c r="B284" s="72" t="n">
        <v>0.25</v>
      </c>
      <c r="C284" s="71" t="n">
        <v>40074</v>
      </c>
      <c r="D284" s="72" t="n">
        <v>0</v>
      </c>
      <c r="E284" s="71" t="n">
        <v>28307</v>
      </c>
      <c r="F284" s="72" t="n">
        <v>5.42</v>
      </c>
    </row>
    <row r="285">
      <c r="A285" s="71" t="n">
        <v>40075</v>
      </c>
      <c r="B285" s="72" t="n">
        <v>0.25</v>
      </c>
      <c r="C285" s="71" t="n">
        <v>40075</v>
      </c>
      <c r="D285" s="72" t="n">
        <v>0</v>
      </c>
      <c r="E285" s="71" t="n">
        <v>28338</v>
      </c>
      <c r="F285" s="72" t="n">
        <v>5.9</v>
      </c>
    </row>
    <row r="286">
      <c r="A286" s="71" t="n">
        <v>40076</v>
      </c>
      <c r="B286" s="72" t="n">
        <v>0.25</v>
      </c>
      <c r="C286" s="71" t="n">
        <v>40076</v>
      </c>
      <c r="D286" s="72" t="n">
        <v>0</v>
      </c>
      <c r="E286" s="71" t="n">
        <v>28369</v>
      </c>
      <c r="F286" s="72" t="n">
        <v>6.14</v>
      </c>
    </row>
    <row r="287">
      <c r="A287" s="71" t="n">
        <v>40077</v>
      </c>
      <c r="B287" s="72" t="n">
        <v>0.25</v>
      </c>
      <c r="C287" s="71" t="n">
        <v>40077</v>
      </c>
      <c r="D287" s="72" t="n">
        <v>0</v>
      </c>
      <c r="E287" s="71" t="n">
        <v>28399</v>
      </c>
      <c r="F287" s="72" t="n">
        <v>6.47</v>
      </c>
    </row>
    <row r="288">
      <c r="A288" s="71" t="n">
        <v>40078</v>
      </c>
      <c r="B288" s="72" t="n">
        <v>0.25</v>
      </c>
      <c r="C288" s="71" t="n">
        <v>40078</v>
      </c>
      <c r="D288" s="72" t="n">
        <v>0</v>
      </c>
      <c r="E288" s="71" t="n">
        <v>28430</v>
      </c>
      <c r="F288" s="72" t="n">
        <v>6.51</v>
      </c>
    </row>
    <row r="289">
      <c r="A289" s="71" t="n">
        <v>40079</v>
      </c>
      <c r="B289" s="72" t="n">
        <v>0.25</v>
      </c>
      <c r="C289" s="71" t="n">
        <v>40079</v>
      </c>
      <c r="D289" s="72" t="n">
        <v>0</v>
      </c>
      <c r="E289" s="71" t="n">
        <v>28460</v>
      </c>
      <c r="F289" s="72" t="n">
        <v>6.56</v>
      </c>
    </row>
    <row r="290">
      <c r="A290" s="71" t="n">
        <v>40080</v>
      </c>
      <c r="B290" s="72" t="n">
        <v>0.25</v>
      </c>
      <c r="C290" s="71" t="n">
        <v>40080</v>
      </c>
      <c r="D290" s="72" t="n">
        <v>0</v>
      </c>
      <c r="E290" s="71" t="n">
        <v>28491</v>
      </c>
      <c r="F290" s="72" t="n">
        <v>6.7</v>
      </c>
    </row>
    <row r="291">
      <c r="A291" s="71" t="n">
        <v>40081</v>
      </c>
      <c r="B291" s="72" t="n">
        <v>0.25</v>
      </c>
      <c r="C291" s="71" t="n">
        <v>40081</v>
      </c>
      <c r="D291" s="72" t="n">
        <v>0</v>
      </c>
      <c r="E291" s="71" t="n">
        <v>28522</v>
      </c>
      <c r="F291" s="72" t="n">
        <v>6.78</v>
      </c>
    </row>
    <row r="292">
      <c r="A292" s="71" t="n">
        <v>40082</v>
      </c>
      <c r="B292" s="72" t="n">
        <v>0.25</v>
      </c>
      <c r="C292" s="71" t="n">
        <v>40082</v>
      </c>
      <c r="D292" s="72" t="n">
        <v>0</v>
      </c>
      <c r="E292" s="71" t="n">
        <v>28550</v>
      </c>
      <c r="F292" s="72" t="n">
        <v>6.79</v>
      </c>
    </row>
    <row r="293">
      <c r="A293" s="71" t="n">
        <v>40083</v>
      </c>
      <c r="B293" s="72" t="n">
        <v>0.25</v>
      </c>
      <c r="C293" s="71" t="n">
        <v>40083</v>
      </c>
      <c r="D293" s="72" t="n">
        <v>0</v>
      </c>
      <c r="E293" s="71" t="n">
        <v>28581</v>
      </c>
      <c r="F293" s="72" t="n">
        <v>6.89</v>
      </c>
    </row>
    <row r="294">
      <c r="A294" s="71" t="n">
        <v>40084</v>
      </c>
      <c r="B294" s="72" t="n">
        <v>0.25</v>
      </c>
      <c r="C294" s="71" t="n">
        <v>40084</v>
      </c>
      <c r="D294" s="72" t="n">
        <v>0</v>
      </c>
      <c r="E294" s="71" t="n">
        <v>28611</v>
      </c>
      <c r="F294" s="72" t="n">
        <v>7.36</v>
      </c>
    </row>
    <row r="295">
      <c r="A295" s="71" t="n">
        <v>40085</v>
      </c>
      <c r="B295" s="72" t="n">
        <v>0.25</v>
      </c>
      <c r="C295" s="71" t="n">
        <v>40085</v>
      </c>
      <c r="D295" s="72" t="n">
        <v>0</v>
      </c>
      <c r="E295" s="71" t="n">
        <v>28642</v>
      </c>
      <c r="F295" s="72" t="n">
        <v>7.6</v>
      </c>
    </row>
    <row r="296">
      <c r="A296" s="71" t="n">
        <v>40086</v>
      </c>
      <c r="B296" s="72" t="n">
        <v>0.25</v>
      </c>
      <c r="C296" s="71" t="n">
        <v>40086</v>
      </c>
      <c r="D296" s="72" t="n">
        <v>0</v>
      </c>
      <c r="E296" s="71" t="n">
        <v>28672</v>
      </c>
      <c r="F296" s="72" t="n">
        <v>7.81</v>
      </c>
    </row>
    <row r="297">
      <c r="A297" s="71" t="n">
        <v>40087</v>
      </c>
      <c r="B297" s="72" t="n">
        <v>0.25</v>
      </c>
      <c r="C297" s="71" t="n">
        <v>40087</v>
      </c>
      <c r="D297" s="72" t="n">
        <v>0</v>
      </c>
      <c r="E297" s="71" t="n">
        <v>28703</v>
      </c>
      <c r="F297" s="72" t="n">
        <v>8.039999999999999</v>
      </c>
    </row>
    <row r="298">
      <c r="A298" s="71" t="n">
        <v>40088</v>
      </c>
      <c r="B298" s="72" t="n">
        <v>0.25</v>
      </c>
      <c r="C298" s="71" t="n">
        <v>40088</v>
      </c>
      <c r="D298" s="72" t="n">
        <v>0</v>
      </c>
      <c r="E298" s="71" t="n">
        <v>28734</v>
      </c>
      <c r="F298" s="72" t="n">
        <v>8.449999999999999</v>
      </c>
    </row>
    <row r="299">
      <c r="A299" s="71" t="n">
        <v>40089</v>
      </c>
      <c r="B299" s="72" t="n">
        <v>0.25</v>
      </c>
      <c r="C299" s="71" t="n">
        <v>40089</v>
      </c>
      <c r="D299" s="72" t="n">
        <v>0</v>
      </c>
      <c r="E299" s="71" t="n">
        <v>28764</v>
      </c>
      <c r="F299" s="72" t="n">
        <v>8.960000000000001</v>
      </c>
    </row>
    <row r="300">
      <c r="A300" s="71" t="n">
        <v>40090</v>
      </c>
      <c r="B300" s="72" t="n">
        <v>0.25</v>
      </c>
      <c r="C300" s="71" t="n">
        <v>40090</v>
      </c>
      <c r="D300" s="72" t="n">
        <v>0</v>
      </c>
      <c r="E300" s="71" t="n">
        <v>28795</v>
      </c>
      <c r="F300" s="72" t="n">
        <v>9.76</v>
      </c>
    </row>
    <row r="301">
      <c r="A301" s="71" t="n">
        <v>40091</v>
      </c>
      <c r="B301" s="72" t="n">
        <v>0.25</v>
      </c>
      <c r="C301" s="71" t="n">
        <v>40091</v>
      </c>
      <c r="D301" s="72" t="n">
        <v>0</v>
      </c>
      <c r="E301" s="71" t="n">
        <v>28825</v>
      </c>
      <c r="F301" s="72" t="n">
        <v>10.03</v>
      </c>
    </row>
    <row r="302">
      <c r="A302" s="71" t="n">
        <v>40092</v>
      </c>
      <c r="B302" s="72" t="n">
        <v>0.25</v>
      </c>
      <c r="C302" s="71" t="n">
        <v>40092</v>
      </c>
      <c r="D302" s="72" t="n">
        <v>0</v>
      </c>
      <c r="E302" s="71" t="n">
        <v>28856</v>
      </c>
      <c r="F302" s="72" t="n">
        <v>10.07</v>
      </c>
    </row>
    <row r="303">
      <c r="A303" s="71" t="n">
        <v>40093</v>
      </c>
      <c r="B303" s="72" t="n">
        <v>0.25</v>
      </c>
      <c r="C303" s="71" t="n">
        <v>40093</v>
      </c>
      <c r="D303" s="72" t="n">
        <v>0</v>
      </c>
      <c r="E303" s="71" t="n">
        <v>28887</v>
      </c>
      <c r="F303" s="72" t="n">
        <v>10.06</v>
      </c>
    </row>
    <row r="304">
      <c r="A304" s="71" t="n">
        <v>40094</v>
      </c>
      <c r="B304" s="72" t="n">
        <v>0.25</v>
      </c>
      <c r="C304" s="71" t="n">
        <v>40094</v>
      </c>
      <c r="D304" s="72" t="n">
        <v>0</v>
      </c>
      <c r="E304" s="71" t="n">
        <v>28915</v>
      </c>
      <c r="F304" s="72" t="n">
        <v>10.09</v>
      </c>
    </row>
    <row r="305">
      <c r="A305" s="71" t="n">
        <v>40095</v>
      </c>
      <c r="B305" s="72" t="n">
        <v>0.25</v>
      </c>
      <c r="C305" s="71" t="n">
        <v>40095</v>
      </c>
      <c r="D305" s="72" t="n">
        <v>0</v>
      </c>
      <c r="E305" s="71" t="n">
        <v>28946</v>
      </c>
      <c r="F305" s="72" t="n">
        <v>10.01</v>
      </c>
    </row>
    <row r="306">
      <c r="A306" s="71" t="n">
        <v>40096</v>
      </c>
      <c r="B306" s="72" t="n">
        <v>0.25</v>
      </c>
      <c r="C306" s="71" t="n">
        <v>40096</v>
      </c>
      <c r="D306" s="72" t="n">
        <v>0</v>
      </c>
      <c r="E306" s="71" t="n">
        <v>28976</v>
      </c>
      <c r="F306" s="72" t="n">
        <v>10.24</v>
      </c>
    </row>
    <row r="307">
      <c r="A307" s="71" t="n">
        <v>40097</v>
      </c>
      <c r="B307" s="72" t="n">
        <v>0.25</v>
      </c>
      <c r="C307" s="71" t="n">
        <v>40097</v>
      </c>
      <c r="D307" s="72" t="n">
        <v>0</v>
      </c>
      <c r="E307" s="71" t="n">
        <v>29007</v>
      </c>
      <c r="F307" s="72" t="n">
        <v>10.29</v>
      </c>
    </row>
    <row r="308">
      <c r="A308" s="71" t="n">
        <v>40098</v>
      </c>
      <c r="B308" s="72" t="n">
        <v>0.25</v>
      </c>
      <c r="C308" s="71" t="n">
        <v>40098</v>
      </c>
      <c r="D308" s="72" t="n">
        <v>0</v>
      </c>
      <c r="E308" s="71" t="n">
        <v>29037</v>
      </c>
      <c r="F308" s="72" t="n">
        <v>10.47</v>
      </c>
    </row>
    <row r="309">
      <c r="A309" s="71" t="n">
        <v>40099</v>
      </c>
      <c r="B309" s="72" t="n">
        <v>0.25</v>
      </c>
      <c r="C309" s="71" t="n">
        <v>40099</v>
      </c>
      <c r="D309" s="72" t="n">
        <v>0</v>
      </c>
      <c r="E309" s="71" t="n">
        <v>29068</v>
      </c>
      <c r="F309" s="72" t="n">
        <v>10.94</v>
      </c>
    </row>
    <row r="310">
      <c r="A310" s="71" t="n">
        <v>40100</v>
      </c>
      <c r="B310" s="72" t="n">
        <v>0.25</v>
      </c>
      <c r="C310" s="71" t="n">
        <v>40100</v>
      </c>
      <c r="D310" s="72" t="n">
        <v>0</v>
      </c>
      <c r="E310" s="71" t="n">
        <v>29099</v>
      </c>
      <c r="F310" s="72" t="n">
        <v>11.43</v>
      </c>
    </row>
    <row r="311">
      <c r="A311" s="71" t="n">
        <v>40101</v>
      </c>
      <c r="B311" s="72" t="n">
        <v>0.25</v>
      </c>
      <c r="C311" s="71" t="n">
        <v>40101</v>
      </c>
      <c r="D311" s="72" t="n">
        <v>0</v>
      </c>
      <c r="E311" s="71" t="n">
        <v>29129</v>
      </c>
      <c r="F311" s="72" t="n">
        <v>13.77</v>
      </c>
    </row>
    <row r="312">
      <c r="A312" s="71" t="n">
        <v>40102</v>
      </c>
      <c r="B312" s="72" t="n">
        <v>0.25</v>
      </c>
      <c r="C312" s="71" t="n">
        <v>40102</v>
      </c>
      <c r="D312" s="72" t="n">
        <v>0</v>
      </c>
      <c r="E312" s="71" t="n">
        <v>29160</v>
      </c>
      <c r="F312" s="72" t="n">
        <v>13.18</v>
      </c>
    </row>
    <row r="313">
      <c r="A313" s="71" t="n">
        <v>40103</v>
      </c>
      <c r="B313" s="72" t="n">
        <v>0.25</v>
      </c>
      <c r="C313" s="71" t="n">
        <v>40103</v>
      </c>
      <c r="D313" s="72" t="n">
        <v>0</v>
      </c>
      <c r="E313" s="71" t="n">
        <v>29190</v>
      </c>
      <c r="F313" s="72" t="n">
        <v>13.78</v>
      </c>
    </row>
    <row r="314">
      <c r="A314" s="71" t="n">
        <v>40104</v>
      </c>
      <c r="B314" s="72" t="n">
        <v>0.25</v>
      </c>
      <c r="C314" s="71" t="n">
        <v>40104</v>
      </c>
      <c r="D314" s="72" t="n">
        <v>0</v>
      </c>
      <c r="E314" s="71" t="n">
        <v>29221</v>
      </c>
      <c r="F314" s="72" t="n">
        <v>13.82</v>
      </c>
    </row>
    <row r="315">
      <c r="A315" s="71" t="n">
        <v>40105</v>
      </c>
      <c r="B315" s="72" t="n">
        <v>0.25</v>
      </c>
      <c r="C315" s="71" t="n">
        <v>40105</v>
      </c>
      <c r="D315" s="72" t="n">
        <v>0</v>
      </c>
      <c r="E315" s="71" t="n">
        <v>29252</v>
      </c>
      <c r="F315" s="72" t="n">
        <v>14.13</v>
      </c>
    </row>
    <row r="316">
      <c r="A316" s="71" t="n">
        <v>40106</v>
      </c>
      <c r="B316" s="72" t="n">
        <v>0.25</v>
      </c>
      <c r="C316" s="71" t="n">
        <v>40106</v>
      </c>
      <c r="D316" s="72" t="n">
        <v>0</v>
      </c>
      <c r="E316" s="71" t="n">
        <v>29281</v>
      </c>
      <c r="F316" s="72" t="n">
        <v>17.19</v>
      </c>
    </row>
    <row r="317">
      <c r="A317" s="71" t="n">
        <v>40107</v>
      </c>
      <c r="B317" s="72" t="n">
        <v>0.25</v>
      </c>
      <c r="C317" s="71" t="n">
        <v>40107</v>
      </c>
      <c r="D317" s="72" t="n">
        <v>0</v>
      </c>
      <c r="E317" s="71" t="n">
        <v>29312</v>
      </c>
      <c r="F317" s="72" t="n">
        <v>17.61</v>
      </c>
    </row>
    <row r="318">
      <c r="A318" s="71" t="n">
        <v>40108</v>
      </c>
      <c r="B318" s="72" t="n">
        <v>0.25</v>
      </c>
      <c r="C318" s="71" t="n">
        <v>40108</v>
      </c>
      <c r="D318" s="72" t="n">
        <v>0</v>
      </c>
      <c r="E318" s="71" t="n">
        <v>29342</v>
      </c>
      <c r="F318" s="72" t="n">
        <v>10.98</v>
      </c>
    </row>
    <row r="319">
      <c r="A319" s="71" t="n">
        <v>40109</v>
      </c>
      <c r="B319" s="72" t="n">
        <v>0.25</v>
      </c>
      <c r="C319" s="71" t="n">
        <v>40109</v>
      </c>
      <c r="D319" s="72" t="n">
        <v>0</v>
      </c>
      <c r="E319" s="71" t="n">
        <v>29373</v>
      </c>
      <c r="F319" s="72" t="n">
        <v>9.470000000000001</v>
      </c>
    </row>
    <row r="320">
      <c r="A320" s="71" t="n">
        <v>40110</v>
      </c>
      <c r="B320" s="72" t="n">
        <v>0.25</v>
      </c>
      <c r="C320" s="71" t="n">
        <v>40110</v>
      </c>
      <c r="D320" s="72" t="n">
        <v>0</v>
      </c>
      <c r="E320" s="71" t="n">
        <v>29403</v>
      </c>
      <c r="F320" s="72" t="n">
        <v>9.029999999999999</v>
      </c>
    </row>
    <row r="321">
      <c r="A321" s="71" t="n">
        <v>40111</v>
      </c>
      <c r="B321" s="72" t="n">
        <v>0.25</v>
      </c>
      <c r="C321" s="71" t="n">
        <v>40111</v>
      </c>
      <c r="D321" s="72" t="n">
        <v>0</v>
      </c>
      <c r="E321" s="71" t="n">
        <v>29434</v>
      </c>
      <c r="F321" s="72" t="n">
        <v>9.609999999999999</v>
      </c>
    </row>
    <row r="322">
      <c r="A322" s="71" t="n">
        <v>40112</v>
      </c>
      <c r="B322" s="72" t="n">
        <v>0.25</v>
      </c>
      <c r="C322" s="71" t="n">
        <v>40112</v>
      </c>
      <c r="D322" s="72" t="n">
        <v>0</v>
      </c>
      <c r="E322" s="71" t="n">
        <v>29465</v>
      </c>
      <c r="F322" s="72" t="n">
        <v>10.87</v>
      </c>
    </row>
    <row r="323">
      <c r="A323" s="71" t="n">
        <v>40113</v>
      </c>
      <c r="B323" s="72" t="n">
        <v>0.25</v>
      </c>
      <c r="C323" s="71" t="n">
        <v>40113</v>
      </c>
      <c r="D323" s="72" t="n">
        <v>0</v>
      </c>
      <c r="E323" s="71" t="n">
        <v>29495</v>
      </c>
      <c r="F323" s="72" t="n">
        <v>12.81</v>
      </c>
    </row>
    <row r="324">
      <c r="A324" s="71" t="n">
        <v>40114</v>
      </c>
      <c r="B324" s="72" t="n">
        <v>0.25</v>
      </c>
      <c r="C324" s="71" t="n">
        <v>40114</v>
      </c>
      <c r="D324" s="72" t="n">
        <v>0</v>
      </c>
      <c r="E324" s="71" t="n">
        <v>29526</v>
      </c>
      <c r="F324" s="72" t="n">
        <v>15.85</v>
      </c>
    </row>
    <row r="325">
      <c r="A325" s="71" t="n">
        <v>40115</v>
      </c>
      <c r="B325" s="72" t="n">
        <v>0.25</v>
      </c>
      <c r="C325" s="71" t="n">
        <v>40115</v>
      </c>
      <c r="D325" s="72" t="n">
        <v>0</v>
      </c>
      <c r="E325" s="71" t="n">
        <v>29556</v>
      </c>
      <c r="F325" s="72" t="n">
        <v>18.9</v>
      </c>
    </row>
    <row r="326">
      <c r="A326" s="71" t="n">
        <v>40116</v>
      </c>
      <c r="B326" s="72" t="n">
        <v>0.25</v>
      </c>
      <c r="C326" s="71" t="n">
        <v>40116</v>
      </c>
      <c r="D326" s="72" t="n">
        <v>0</v>
      </c>
      <c r="E326" s="71" t="n">
        <v>29587</v>
      </c>
      <c r="F326" s="72" t="n">
        <v>19.08</v>
      </c>
    </row>
    <row r="327">
      <c r="A327" s="71" t="n">
        <v>40117</v>
      </c>
      <c r="B327" s="72" t="n">
        <v>0.25</v>
      </c>
      <c r="C327" s="71" t="n">
        <v>40117</v>
      </c>
      <c r="D327" s="72" t="n">
        <v>0</v>
      </c>
      <c r="E327" s="71" t="n">
        <v>29618</v>
      </c>
      <c r="F327" s="72" t="n">
        <v>15.93</v>
      </c>
    </row>
    <row r="328">
      <c r="A328" s="71" t="n">
        <v>40118</v>
      </c>
      <c r="B328" s="72" t="n">
        <v>0.25</v>
      </c>
      <c r="C328" s="71" t="n">
        <v>40118</v>
      </c>
      <c r="D328" s="72" t="n">
        <v>0</v>
      </c>
      <c r="E328" s="71" t="n">
        <v>29646</v>
      </c>
      <c r="F328" s="72" t="n">
        <v>14.7</v>
      </c>
    </row>
    <row r="329">
      <c r="A329" s="71" t="n">
        <v>40119</v>
      </c>
      <c r="B329" s="72" t="n">
        <v>0.25</v>
      </c>
      <c r="C329" s="71" t="n">
        <v>40119</v>
      </c>
      <c r="D329" s="72" t="n">
        <v>0</v>
      </c>
      <c r="E329" s="71" t="n">
        <v>29677</v>
      </c>
      <c r="F329" s="72" t="n">
        <v>15.72</v>
      </c>
    </row>
    <row r="330">
      <c r="A330" s="71" t="n">
        <v>40120</v>
      </c>
      <c r="B330" s="72" t="n">
        <v>0.25</v>
      </c>
      <c r="C330" s="71" t="n">
        <v>40120</v>
      </c>
      <c r="D330" s="72" t="n">
        <v>0</v>
      </c>
      <c r="E330" s="71" t="n">
        <v>29707</v>
      </c>
      <c r="F330" s="72" t="n">
        <v>18.52</v>
      </c>
    </row>
    <row r="331">
      <c r="A331" s="71" t="n">
        <v>40121</v>
      </c>
      <c r="B331" s="72" t="n">
        <v>0.25</v>
      </c>
      <c r="C331" s="71" t="n">
        <v>40121</v>
      </c>
      <c r="D331" s="72" t="n">
        <v>0</v>
      </c>
      <c r="E331" s="71" t="n">
        <v>29738</v>
      </c>
      <c r="F331" s="72" t="n">
        <v>19.1</v>
      </c>
    </row>
    <row r="332">
      <c r="A332" s="71" t="n">
        <v>40122</v>
      </c>
      <c r="B332" s="72" t="n">
        <v>0.25</v>
      </c>
      <c r="C332" s="71" t="n">
        <v>40122</v>
      </c>
      <c r="D332" s="72" t="n">
        <v>0</v>
      </c>
      <c r="E332" s="71" t="n">
        <v>29768</v>
      </c>
      <c r="F332" s="72" t="n">
        <v>19.04</v>
      </c>
    </row>
    <row r="333">
      <c r="A333" s="71" t="n">
        <v>40123</v>
      </c>
      <c r="B333" s="72" t="n">
        <v>0.25</v>
      </c>
      <c r="C333" s="71" t="n">
        <v>40123</v>
      </c>
      <c r="D333" s="72" t="n">
        <v>0</v>
      </c>
      <c r="E333" s="71" t="n">
        <v>29799</v>
      </c>
      <c r="F333" s="72" t="n">
        <v>17.82</v>
      </c>
    </row>
    <row r="334">
      <c r="A334" s="71" t="n">
        <v>40124</v>
      </c>
      <c r="B334" s="72" t="n">
        <v>0.25</v>
      </c>
      <c r="C334" s="71" t="n">
        <v>40124</v>
      </c>
      <c r="D334" s="72" t="n">
        <v>0</v>
      </c>
      <c r="E334" s="71" t="n">
        <v>29830</v>
      </c>
      <c r="F334" s="72" t="n">
        <v>15.87</v>
      </c>
    </row>
    <row r="335">
      <c r="A335" s="71" t="n">
        <v>40125</v>
      </c>
      <c r="B335" s="72" t="n">
        <v>0.25</v>
      </c>
      <c r="C335" s="71" t="n">
        <v>40125</v>
      </c>
      <c r="D335" s="72" t="n">
        <v>0</v>
      </c>
      <c r="E335" s="71" t="n">
        <v>29860</v>
      </c>
      <c r="F335" s="72" t="n">
        <v>15.08</v>
      </c>
    </row>
    <row r="336">
      <c r="A336" s="71" t="n">
        <v>40126</v>
      </c>
      <c r="B336" s="72" t="n">
        <v>0.25</v>
      </c>
      <c r="C336" s="71" t="n">
        <v>40126</v>
      </c>
      <c r="D336" s="72" t="n">
        <v>0</v>
      </c>
      <c r="E336" s="71" t="n">
        <v>29891</v>
      </c>
      <c r="F336" s="72" t="n">
        <v>13.31</v>
      </c>
    </row>
    <row r="337">
      <c r="A337" s="71" t="n">
        <v>40127</v>
      </c>
      <c r="B337" s="72" t="n">
        <v>0.25</v>
      </c>
      <c r="C337" s="71" t="n">
        <v>40127</v>
      </c>
      <c r="D337" s="72" t="n">
        <v>0</v>
      </c>
      <c r="E337" s="71" t="n">
        <v>29921</v>
      </c>
      <c r="F337" s="72" t="n">
        <v>12.37</v>
      </c>
    </row>
    <row r="338">
      <c r="A338" s="71" t="n">
        <v>40128</v>
      </c>
      <c r="B338" s="72" t="n">
        <v>0.25</v>
      </c>
      <c r="C338" s="71" t="n">
        <v>40128</v>
      </c>
      <c r="D338" s="72" t="n">
        <v>0</v>
      </c>
      <c r="E338" s="71" t="n">
        <v>29952</v>
      </c>
      <c r="F338" s="72" t="n">
        <v>13.22</v>
      </c>
    </row>
    <row r="339">
      <c r="A339" s="71" t="n">
        <v>40129</v>
      </c>
      <c r="B339" s="72" t="n">
        <v>0.25</v>
      </c>
      <c r="C339" s="71" t="n">
        <v>40129</v>
      </c>
      <c r="D339" s="72" t="n">
        <v>0</v>
      </c>
      <c r="E339" s="71" t="n">
        <v>29983</v>
      </c>
      <c r="F339" s="72" t="n">
        <v>14.78</v>
      </c>
    </row>
    <row r="340">
      <c r="A340" s="71" t="n">
        <v>40130</v>
      </c>
      <c r="B340" s="72" t="n">
        <v>0.25</v>
      </c>
      <c r="C340" s="71" t="n">
        <v>40130</v>
      </c>
      <c r="D340" s="72" t="n">
        <v>0</v>
      </c>
      <c r="E340" s="71" t="n">
        <v>30011</v>
      </c>
      <c r="F340" s="72" t="n">
        <v>14.68</v>
      </c>
    </row>
    <row r="341">
      <c r="A341" s="71" t="n">
        <v>40131</v>
      </c>
      <c r="B341" s="72" t="n">
        <v>0.25</v>
      </c>
      <c r="C341" s="71" t="n">
        <v>40131</v>
      </c>
      <c r="D341" s="72" t="n">
        <v>0</v>
      </c>
      <c r="E341" s="71" t="n">
        <v>30042</v>
      </c>
      <c r="F341" s="72" t="n">
        <v>14.94</v>
      </c>
    </row>
    <row r="342">
      <c r="A342" s="71" t="n">
        <v>40132</v>
      </c>
      <c r="B342" s="72" t="n">
        <v>0.25</v>
      </c>
      <c r="C342" s="71" t="n">
        <v>40132</v>
      </c>
      <c r="D342" s="72" t="n">
        <v>0</v>
      </c>
      <c r="E342" s="71" t="n">
        <v>30072</v>
      </c>
      <c r="F342" s="72" t="n">
        <v>14.45</v>
      </c>
    </row>
    <row r="343">
      <c r="A343" s="71" t="n">
        <v>40133</v>
      </c>
      <c r="B343" s="72" t="n">
        <v>0.25</v>
      </c>
      <c r="C343" s="71" t="n">
        <v>40133</v>
      </c>
      <c r="D343" s="72" t="n">
        <v>0</v>
      </c>
      <c r="E343" s="71" t="n">
        <v>30103</v>
      </c>
      <c r="F343" s="72" t="n">
        <v>14.15</v>
      </c>
    </row>
    <row r="344">
      <c r="A344" s="71" t="n">
        <v>40134</v>
      </c>
      <c r="B344" s="72" t="n">
        <v>0.25</v>
      </c>
      <c r="C344" s="71" t="n">
        <v>40134</v>
      </c>
      <c r="D344" s="72" t="n">
        <v>0</v>
      </c>
      <c r="E344" s="71" t="n">
        <v>30133</v>
      </c>
      <c r="F344" s="72" t="n">
        <v>12.59</v>
      </c>
    </row>
    <row r="345">
      <c r="A345" s="71" t="n">
        <v>40135</v>
      </c>
      <c r="B345" s="72" t="n">
        <v>0.25</v>
      </c>
      <c r="C345" s="71" t="n">
        <v>40135</v>
      </c>
      <c r="D345" s="72" t="n">
        <v>0</v>
      </c>
      <c r="E345" s="71" t="n">
        <v>30164</v>
      </c>
      <c r="F345" s="72" t="n">
        <v>10.12</v>
      </c>
    </row>
    <row r="346">
      <c r="A346" s="71" t="n">
        <v>40136</v>
      </c>
      <c r="B346" s="72" t="n">
        <v>0.25</v>
      </c>
      <c r="C346" s="71" t="n">
        <v>40136</v>
      </c>
      <c r="D346" s="72" t="n">
        <v>0</v>
      </c>
      <c r="E346" s="71" t="n">
        <v>30195</v>
      </c>
      <c r="F346" s="72" t="n">
        <v>10.31</v>
      </c>
    </row>
    <row r="347">
      <c r="A347" s="71" t="n">
        <v>40137</v>
      </c>
      <c r="B347" s="72" t="n">
        <v>0.25</v>
      </c>
      <c r="C347" s="71" t="n">
        <v>40137</v>
      </c>
      <c r="D347" s="72" t="n">
        <v>0</v>
      </c>
      <c r="E347" s="71" t="n">
        <v>30225</v>
      </c>
      <c r="F347" s="72" t="n">
        <v>9.710000000000001</v>
      </c>
    </row>
    <row r="348">
      <c r="A348" s="71" t="n">
        <v>40138</v>
      </c>
      <c r="B348" s="72" t="n">
        <v>0.25</v>
      </c>
      <c r="C348" s="71" t="n">
        <v>40138</v>
      </c>
      <c r="D348" s="72" t="n">
        <v>0</v>
      </c>
      <c r="E348" s="71" t="n">
        <v>30256</v>
      </c>
      <c r="F348" s="72" t="n">
        <v>9.199999999999999</v>
      </c>
    </row>
    <row r="349">
      <c r="A349" s="71" t="n">
        <v>40139</v>
      </c>
      <c r="B349" s="72" t="n">
        <v>0.25</v>
      </c>
      <c r="C349" s="71" t="n">
        <v>40139</v>
      </c>
      <c r="D349" s="72" t="n">
        <v>0</v>
      </c>
      <c r="E349" s="71" t="n">
        <v>30286</v>
      </c>
      <c r="F349" s="72" t="n">
        <v>8.949999999999999</v>
      </c>
    </row>
    <row r="350">
      <c r="A350" s="71" t="n">
        <v>40140</v>
      </c>
      <c r="B350" s="72" t="n">
        <v>0.25</v>
      </c>
      <c r="C350" s="71" t="n">
        <v>40140</v>
      </c>
      <c r="D350" s="72" t="n">
        <v>0</v>
      </c>
      <c r="E350" s="71" t="n">
        <v>30317</v>
      </c>
      <c r="F350" s="72" t="n">
        <v>8.68</v>
      </c>
    </row>
    <row r="351">
      <c r="A351" s="71" t="n">
        <v>40141</v>
      </c>
      <c r="B351" s="72" t="n">
        <v>0.25</v>
      </c>
      <c r="C351" s="71" t="n">
        <v>40141</v>
      </c>
      <c r="D351" s="72" t="n">
        <v>0</v>
      </c>
      <c r="E351" s="71" t="n">
        <v>30348</v>
      </c>
      <c r="F351" s="72" t="n">
        <v>8.51</v>
      </c>
    </row>
    <row r="352">
      <c r="A352" s="71" t="n">
        <v>40142</v>
      </c>
      <c r="B352" s="72" t="n">
        <v>0.25</v>
      </c>
      <c r="C352" s="71" t="n">
        <v>40142</v>
      </c>
      <c r="D352" s="72" t="n">
        <v>0</v>
      </c>
      <c r="E352" s="71" t="n">
        <v>30376</v>
      </c>
      <c r="F352" s="72" t="n">
        <v>8.77</v>
      </c>
    </row>
    <row r="353">
      <c r="A353" s="71" t="n">
        <v>40143</v>
      </c>
      <c r="B353" s="72" t="n">
        <v>0.25</v>
      </c>
      <c r="C353" s="71" t="n">
        <v>40143</v>
      </c>
      <c r="D353" s="72" t="n">
        <v>0</v>
      </c>
      <c r="E353" s="71" t="n">
        <v>30407</v>
      </c>
      <c r="F353" s="72" t="n">
        <v>8.800000000000001</v>
      </c>
    </row>
    <row r="354">
      <c r="A354" s="71" t="n">
        <v>40144</v>
      </c>
      <c r="B354" s="72" t="n">
        <v>0.25</v>
      </c>
      <c r="C354" s="71" t="n">
        <v>40144</v>
      </c>
      <c r="D354" s="72" t="n">
        <v>0</v>
      </c>
      <c r="E354" s="71" t="n">
        <v>30437</v>
      </c>
      <c r="F354" s="72" t="n">
        <v>8.630000000000001</v>
      </c>
    </row>
    <row r="355">
      <c r="A355" s="71" t="n">
        <v>40145</v>
      </c>
      <c r="B355" s="72" t="n">
        <v>0.25</v>
      </c>
      <c r="C355" s="71" t="n">
        <v>40145</v>
      </c>
      <c r="D355" s="72" t="n">
        <v>0</v>
      </c>
      <c r="E355" s="71" t="n">
        <v>30468</v>
      </c>
      <c r="F355" s="72" t="n">
        <v>8.98</v>
      </c>
    </row>
    <row r="356">
      <c r="A356" s="71" t="n">
        <v>40146</v>
      </c>
      <c r="B356" s="72" t="n">
        <v>0.25</v>
      </c>
      <c r="C356" s="71" t="n">
        <v>40146</v>
      </c>
      <c r="D356" s="72" t="n">
        <v>0</v>
      </c>
      <c r="E356" s="71" t="n">
        <v>30498</v>
      </c>
      <c r="F356" s="72" t="n">
        <v>9.369999999999999</v>
      </c>
    </row>
    <row r="357">
      <c r="A357" s="71" t="n">
        <v>40147</v>
      </c>
      <c r="B357" s="72" t="n">
        <v>0.25</v>
      </c>
      <c r="C357" s="71" t="n">
        <v>40147</v>
      </c>
      <c r="D357" s="72" t="n">
        <v>0</v>
      </c>
      <c r="E357" s="71" t="n">
        <v>30529</v>
      </c>
      <c r="F357" s="72" t="n">
        <v>9.56</v>
      </c>
    </row>
    <row r="358">
      <c r="A358" s="71" t="n">
        <v>40148</v>
      </c>
      <c r="B358" s="72" t="n">
        <v>0.25</v>
      </c>
      <c r="C358" s="71" t="n">
        <v>40148</v>
      </c>
      <c r="D358" s="72" t="n">
        <v>0</v>
      </c>
      <c r="E358" s="71" t="n">
        <v>30560</v>
      </c>
      <c r="F358" s="72" t="n">
        <v>9.449999999999999</v>
      </c>
    </row>
    <row r="359">
      <c r="A359" s="71" t="n">
        <v>40149</v>
      </c>
      <c r="B359" s="72" t="n">
        <v>0.25</v>
      </c>
      <c r="C359" s="71" t="n">
        <v>40149</v>
      </c>
      <c r="D359" s="72" t="n">
        <v>0</v>
      </c>
      <c r="E359" s="71" t="n">
        <v>30590</v>
      </c>
      <c r="F359" s="72" t="n">
        <v>9.48</v>
      </c>
    </row>
    <row r="360">
      <c r="A360" s="71" t="n">
        <v>40150</v>
      </c>
      <c r="B360" s="72" t="n">
        <v>0.25</v>
      </c>
      <c r="C360" s="71" t="n">
        <v>40150</v>
      </c>
      <c r="D360" s="72" t="n">
        <v>0</v>
      </c>
      <c r="E360" s="71" t="n">
        <v>30621</v>
      </c>
      <c r="F360" s="72" t="n">
        <v>9.34</v>
      </c>
    </row>
    <row r="361">
      <c r="A361" s="71" t="n">
        <v>40151</v>
      </c>
      <c r="B361" s="72" t="n">
        <v>0.25</v>
      </c>
      <c r="C361" s="71" t="n">
        <v>40151</v>
      </c>
      <c r="D361" s="72" t="n">
        <v>0</v>
      </c>
      <c r="E361" s="71" t="n">
        <v>30651</v>
      </c>
      <c r="F361" s="72" t="n">
        <v>9.470000000000001</v>
      </c>
    </row>
    <row r="362">
      <c r="A362" s="71" t="n">
        <v>40152</v>
      </c>
      <c r="B362" s="72" t="n">
        <v>0.25</v>
      </c>
      <c r="C362" s="71" t="n">
        <v>40152</v>
      </c>
      <c r="D362" s="72" t="n">
        <v>0</v>
      </c>
      <c r="E362" s="71" t="n">
        <v>30682</v>
      </c>
      <c r="F362" s="72" t="n">
        <v>9.56</v>
      </c>
    </row>
    <row r="363">
      <c r="A363" s="71" t="n">
        <v>40153</v>
      </c>
      <c r="B363" s="72" t="n">
        <v>0.25</v>
      </c>
      <c r="C363" s="71" t="n">
        <v>40153</v>
      </c>
      <c r="D363" s="72" t="n">
        <v>0</v>
      </c>
      <c r="E363" s="71" t="n">
        <v>30713</v>
      </c>
      <c r="F363" s="72" t="n">
        <v>9.59</v>
      </c>
    </row>
    <row r="364">
      <c r="A364" s="71" t="n">
        <v>40154</v>
      </c>
      <c r="B364" s="72" t="n">
        <v>0.25</v>
      </c>
      <c r="C364" s="71" t="n">
        <v>40154</v>
      </c>
      <c r="D364" s="72" t="n">
        <v>0</v>
      </c>
      <c r="E364" s="71" t="n">
        <v>30742</v>
      </c>
      <c r="F364" s="72" t="n">
        <v>9.91</v>
      </c>
    </row>
    <row r="365">
      <c r="A365" s="71" t="n">
        <v>40155</v>
      </c>
      <c r="B365" s="72" t="n">
        <v>0.25</v>
      </c>
      <c r="C365" s="71" t="n">
        <v>40155</v>
      </c>
      <c r="D365" s="72" t="n">
        <v>0</v>
      </c>
      <c r="E365" s="71" t="n">
        <v>30773</v>
      </c>
      <c r="F365" s="72" t="n">
        <v>10.29</v>
      </c>
    </row>
    <row r="366">
      <c r="A366" s="71" t="n">
        <v>40156</v>
      </c>
      <c r="B366" s="72" t="n">
        <v>0.25</v>
      </c>
      <c r="C366" s="71" t="n">
        <v>40156</v>
      </c>
      <c r="D366" s="72" t="n">
        <v>0</v>
      </c>
      <c r="E366" s="71" t="n">
        <v>30803</v>
      </c>
      <c r="F366" s="72" t="n">
        <v>10.32</v>
      </c>
    </row>
    <row r="367">
      <c r="A367" s="71" t="n">
        <v>40157</v>
      </c>
      <c r="B367" s="72" t="n">
        <v>0.25</v>
      </c>
      <c r="C367" s="71" t="n">
        <v>40157</v>
      </c>
      <c r="D367" s="72" t="n">
        <v>0</v>
      </c>
      <c r="E367" s="71" t="n">
        <v>30834</v>
      </c>
      <c r="F367" s="72" t="n">
        <v>11.06</v>
      </c>
    </row>
    <row r="368">
      <c r="A368" s="71" t="n">
        <v>40158</v>
      </c>
      <c r="B368" s="72" t="n">
        <v>0.25</v>
      </c>
      <c r="C368" s="71" t="n">
        <v>40158</v>
      </c>
      <c r="D368" s="72" t="n">
        <v>0</v>
      </c>
      <c r="E368" s="71" t="n">
        <v>30864</v>
      </c>
      <c r="F368" s="72" t="n">
        <v>11.23</v>
      </c>
    </row>
    <row r="369">
      <c r="A369" s="71" t="n">
        <v>40159</v>
      </c>
      <c r="B369" s="72" t="n">
        <v>0.25</v>
      </c>
      <c r="C369" s="71" t="n">
        <v>40159</v>
      </c>
      <c r="D369" s="72" t="n">
        <v>0</v>
      </c>
      <c r="E369" s="71" t="n">
        <v>30895</v>
      </c>
      <c r="F369" s="72" t="n">
        <v>11.64</v>
      </c>
    </row>
    <row r="370">
      <c r="A370" s="71" t="n">
        <v>40160</v>
      </c>
      <c r="B370" s="72" t="n">
        <v>0.25</v>
      </c>
      <c r="C370" s="71" t="n">
        <v>40160</v>
      </c>
      <c r="D370" s="72" t="n">
        <v>0</v>
      </c>
      <c r="E370" s="71" t="n">
        <v>30926</v>
      </c>
      <c r="F370" s="72" t="n">
        <v>11.3</v>
      </c>
    </row>
    <row r="371">
      <c r="A371" s="71" t="n">
        <v>40161</v>
      </c>
      <c r="B371" s="72" t="n">
        <v>0.25</v>
      </c>
      <c r="C371" s="71" t="n">
        <v>40161</v>
      </c>
      <c r="D371" s="72" t="n">
        <v>0</v>
      </c>
      <c r="E371" s="71" t="n">
        <v>30956</v>
      </c>
      <c r="F371" s="72" t="n">
        <v>9.99</v>
      </c>
    </row>
    <row r="372">
      <c r="A372" s="71" t="n">
        <v>40162</v>
      </c>
      <c r="B372" s="72" t="n">
        <v>0.25</v>
      </c>
      <c r="C372" s="71" t="n">
        <v>40162</v>
      </c>
      <c r="D372" s="72" t="n">
        <v>0</v>
      </c>
      <c r="E372" s="71" t="n">
        <v>30987</v>
      </c>
      <c r="F372" s="72" t="n">
        <v>9.43</v>
      </c>
    </row>
    <row r="373">
      <c r="A373" s="71" t="n">
        <v>40163</v>
      </c>
      <c r="B373" s="72" t="n">
        <v>0.25</v>
      </c>
      <c r="C373" s="71" t="n">
        <v>40163</v>
      </c>
      <c r="D373" s="72" t="n">
        <v>0</v>
      </c>
      <c r="E373" s="71" t="n">
        <v>31017</v>
      </c>
      <c r="F373" s="72" t="n">
        <v>8.380000000000001</v>
      </c>
    </row>
    <row r="374">
      <c r="A374" s="71" t="n">
        <v>40164</v>
      </c>
      <c r="B374" s="72" t="n">
        <v>0.25</v>
      </c>
      <c r="C374" s="71" t="n">
        <v>40164</v>
      </c>
      <c r="D374" s="72" t="n">
        <v>0</v>
      </c>
      <c r="E374" s="71" t="n">
        <v>31048</v>
      </c>
      <c r="F374" s="72" t="n">
        <v>8.35</v>
      </c>
    </row>
    <row r="375">
      <c r="A375" s="71" t="n">
        <v>40165</v>
      </c>
      <c r="B375" s="72" t="n">
        <v>0.25</v>
      </c>
      <c r="C375" s="71" t="n">
        <v>40165</v>
      </c>
      <c r="D375" s="72" t="n">
        <v>0</v>
      </c>
      <c r="E375" s="71" t="n">
        <v>31079</v>
      </c>
      <c r="F375" s="72" t="n">
        <v>8.5</v>
      </c>
    </row>
    <row r="376">
      <c r="A376" s="71" t="n">
        <v>40166</v>
      </c>
      <c r="B376" s="72" t="n">
        <v>0.25</v>
      </c>
      <c r="C376" s="71" t="n">
        <v>40166</v>
      </c>
      <c r="D376" s="72" t="n">
        <v>0</v>
      </c>
      <c r="E376" s="71" t="n">
        <v>31107</v>
      </c>
      <c r="F376" s="72" t="n">
        <v>8.58</v>
      </c>
    </row>
    <row r="377">
      <c r="A377" s="71" t="n">
        <v>40167</v>
      </c>
      <c r="B377" s="72" t="n">
        <v>0.25</v>
      </c>
      <c r="C377" s="71" t="n">
        <v>40167</v>
      </c>
      <c r="D377" s="72" t="n">
        <v>0</v>
      </c>
      <c r="E377" s="71" t="n">
        <v>31138</v>
      </c>
      <c r="F377" s="72" t="n">
        <v>8.27</v>
      </c>
    </row>
    <row r="378">
      <c r="A378" s="71" t="n">
        <v>40168</v>
      </c>
      <c r="B378" s="72" t="n">
        <v>0.25</v>
      </c>
      <c r="C378" s="71" t="n">
        <v>40168</v>
      </c>
      <c r="D378" s="72" t="n">
        <v>0</v>
      </c>
      <c r="E378" s="71" t="n">
        <v>31168</v>
      </c>
      <c r="F378" s="72" t="n">
        <v>7.97</v>
      </c>
    </row>
    <row r="379">
      <c r="A379" s="71" t="n">
        <v>40169</v>
      </c>
      <c r="B379" s="72" t="n">
        <v>0.25</v>
      </c>
      <c r="C379" s="71" t="n">
        <v>40169</v>
      </c>
      <c r="D379" s="72" t="n">
        <v>0</v>
      </c>
      <c r="E379" s="71" t="n">
        <v>31199</v>
      </c>
      <c r="F379" s="72" t="n">
        <v>7.53</v>
      </c>
    </row>
    <row r="380">
      <c r="A380" s="71" t="n">
        <v>40170</v>
      </c>
      <c r="B380" s="72" t="n">
        <v>0.25</v>
      </c>
      <c r="C380" s="71" t="n">
        <v>40170</v>
      </c>
      <c r="D380" s="72" t="n">
        <v>0</v>
      </c>
      <c r="E380" s="71" t="n">
        <v>31229</v>
      </c>
      <c r="F380" s="72" t="n">
        <v>7.88</v>
      </c>
    </row>
    <row r="381">
      <c r="A381" s="71" t="n">
        <v>40171</v>
      </c>
      <c r="B381" s="72" t="n">
        <v>0.25</v>
      </c>
      <c r="C381" s="71" t="n">
        <v>40171</v>
      </c>
      <c r="D381" s="72" t="n">
        <v>0</v>
      </c>
      <c r="E381" s="71" t="n">
        <v>31260</v>
      </c>
      <c r="F381" s="72" t="n">
        <v>7.9</v>
      </c>
    </row>
    <row r="382">
      <c r="A382" s="71" t="n">
        <v>40172</v>
      </c>
      <c r="B382" s="72" t="n">
        <v>0.25</v>
      </c>
      <c r="C382" s="71" t="n">
        <v>40172</v>
      </c>
      <c r="D382" s="72" t="n">
        <v>0</v>
      </c>
      <c r="E382" s="71" t="n">
        <v>31291</v>
      </c>
      <c r="F382" s="72" t="n">
        <v>7.92</v>
      </c>
    </row>
    <row r="383">
      <c r="A383" s="71" t="n">
        <v>40173</v>
      </c>
      <c r="B383" s="72" t="n">
        <v>0.25</v>
      </c>
      <c r="C383" s="71" t="n">
        <v>40173</v>
      </c>
      <c r="D383" s="72" t="n">
        <v>0</v>
      </c>
      <c r="E383" s="71" t="n">
        <v>31321</v>
      </c>
      <c r="F383" s="72" t="n">
        <v>7.99</v>
      </c>
    </row>
    <row r="384">
      <c r="A384" s="71" t="n">
        <v>40174</v>
      </c>
      <c r="B384" s="72" t="n">
        <v>0.25</v>
      </c>
      <c r="C384" s="71" t="n">
        <v>40174</v>
      </c>
      <c r="D384" s="72" t="n">
        <v>0</v>
      </c>
      <c r="E384" s="71" t="n">
        <v>31352</v>
      </c>
      <c r="F384" s="72" t="n">
        <v>8.050000000000001</v>
      </c>
    </row>
    <row r="385">
      <c r="A385" s="71" t="n">
        <v>40175</v>
      </c>
      <c r="B385" s="72" t="n">
        <v>0.25</v>
      </c>
      <c r="C385" s="71" t="n">
        <v>40175</v>
      </c>
      <c r="D385" s="72" t="n">
        <v>0</v>
      </c>
      <c r="E385" s="71" t="n">
        <v>31382</v>
      </c>
      <c r="F385" s="72" t="n">
        <v>8.27</v>
      </c>
    </row>
    <row r="386">
      <c r="A386" s="71" t="n">
        <v>40176</v>
      </c>
      <c r="B386" s="72" t="n">
        <v>0.25</v>
      </c>
      <c r="C386" s="71" t="n">
        <v>40176</v>
      </c>
      <c r="D386" s="72" t="n">
        <v>0</v>
      </c>
      <c r="E386" s="71" t="n">
        <v>31413</v>
      </c>
      <c r="F386" s="72" t="n">
        <v>8.140000000000001</v>
      </c>
    </row>
    <row r="387">
      <c r="A387" s="71" t="n">
        <v>40177</v>
      </c>
      <c r="B387" s="72" t="n">
        <v>0.25</v>
      </c>
      <c r="C387" s="71" t="n">
        <v>40177</v>
      </c>
      <c r="D387" s="72" t="n">
        <v>0</v>
      </c>
      <c r="E387" s="71" t="n">
        <v>31444</v>
      </c>
      <c r="F387" s="72" t="n">
        <v>7.86</v>
      </c>
    </row>
    <row r="388">
      <c r="A388" s="71" t="n">
        <v>40178</v>
      </c>
      <c r="B388" s="72" t="n">
        <v>0.25</v>
      </c>
      <c r="C388" s="71" t="n">
        <v>40178</v>
      </c>
      <c r="D388" s="72" t="n">
        <v>0</v>
      </c>
      <c r="E388" s="71" t="n">
        <v>31472</v>
      </c>
      <c r="F388" s="72" t="n">
        <v>7.48</v>
      </c>
    </row>
    <row r="389">
      <c r="A389" s="71" t="n">
        <v>40179</v>
      </c>
      <c r="B389" s="72" t="n">
        <v>0.25</v>
      </c>
      <c r="C389" s="71" t="n">
        <v>40179</v>
      </c>
      <c r="D389" s="72" t="n">
        <v>0</v>
      </c>
      <c r="E389" s="71" t="n">
        <v>31503</v>
      </c>
      <c r="F389" s="72" t="n">
        <v>6.99</v>
      </c>
    </row>
    <row r="390">
      <c r="A390" s="71" t="n">
        <v>40180</v>
      </c>
      <c r="B390" s="72" t="n">
        <v>0.25</v>
      </c>
      <c r="C390" s="71" t="n">
        <v>40180</v>
      </c>
      <c r="D390" s="72" t="n">
        <v>0</v>
      </c>
      <c r="E390" s="71" t="n">
        <v>31533</v>
      </c>
      <c r="F390" s="72" t="n">
        <v>6.85</v>
      </c>
    </row>
    <row r="391">
      <c r="A391" s="71" t="n">
        <v>40181</v>
      </c>
      <c r="B391" s="72" t="n">
        <v>0.25</v>
      </c>
      <c r="C391" s="71" t="n">
        <v>40181</v>
      </c>
      <c r="D391" s="72" t="n">
        <v>0</v>
      </c>
      <c r="E391" s="71" t="n">
        <v>31564</v>
      </c>
      <c r="F391" s="72" t="n">
        <v>6.92</v>
      </c>
    </row>
    <row r="392">
      <c r="A392" s="71" t="n">
        <v>40182</v>
      </c>
      <c r="B392" s="72" t="n">
        <v>0.25</v>
      </c>
      <c r="C392" s="71" t="n">
        <v>40182</v>
      </c>
      <c r="D392" s="72" t="n">
        <v>0</v>
      </c>
      <c r="E392" s="71" t="n">
        <v>31594</v>
      </c>
      <c r="F392" s="72" t="n">
        <v>6.56</v>
      </c>
    </row>
    <row r="393">
      <c r="A393" s="71" t="n">
        <v>40183</v>
      </c>
      <c r="B393" s="72" t="n">
        <v>0.25</v>
      </c>
      <c r="C393" s="71" t="n">
        <v>40183</v>
      </c>
      <c r="D393" s="72" t="n">
        <v>0</v>
      </c>
      <c r="E393" s="71" t="n">
        <v>31625</v>
      </c>
      <c r="F393" s="72" t="n">
        <v>6.17</v>
      </c>
    </row>
    <row r="394">
      <c r="A394" s="71" t="n">
        <v>40184</v>
      </c>
      <c r="B394" s="72" t="n">
        <v>0.25</v>
      </c>
      <c r="C394" s="71" t="n">
        <v>40184</v>
      </c>
      <c r="D394" s="72" t="n">
        <v>0</v>
      </c>
      <c r="E394" s="71" t="n">
        <v>31656</v>
      </c>
      <c r="F394" s="72" t="n">
        <v>5.89</v>
      </c>
    </row>
    <row r="395">
      <c r="A395" s="71" t="n">
        <v>40185</v>
      </c>
      <c r="B395" s="72" t="n">
        <v>0.25</v>
      </c>
      <c r="C395" s="71" t="n">
        <v>40185</v>
      </c>
      <c r="D395" s="72" t="n">
        <v>0</v>
      </c>
      <c r="E395" s="71" t="n">
        <v>31686</v>
      </c>
      <c r="F395" s="72" t="n">
        <v>5.85</v>
      </c>
    </row>
    <row r="396">
      <c r="A396" s="71" t="n">
        <v>40186</v>
      </c>
      <c r="B396" s="72" t="n">
        <v>0.25</v>
      </c>
      <c r="C396" s="71" t="n">
        <v>40186</v>
      </c>
      <c r="D396" s="72" t="n">
        <v>0</v>
      </c>
      <c r="E396" s="71" t="n">
        <v>31717</v>
      </c>
      <c r="F396" s="72" t="n">
        <v>6.04</v>
      </c>
    </row>
    <row r="397">
      <c r="A397" s="71" t="n">
        <v>40187</v>
      </c>
      <c r="B397" s="72" t="n">
        <v>0.25</v>
      </c>
      <c r="C397" s="71" t="n">
        <v>40187</v>
      </c>
      <c r="D397" s="72" t="n">
        <v>0</v>
      </c>
      <c r="E397" s="71" t="n">
        <v>31747</v>
      </c>
      <c r="F397" s="72" t="n">
        <v>6.91</v>
      </c>
    </row>
    <row r="398">
      <c r="A398" s="71" t="n">
        <v>40188</v>
      </c>
      <c r="B398" s="72" t="n">
        <v>0.25</v>
      </c>
      <c r="C398" s="71" t="n">
        <v>40188</v>
      </c>
      <c r="D398" s="72" t="n">
        <v>0</v>
      </c>
      <c r="E398" s="71" t="n">
        <v>31778</v>
      </c>
      <c r="F398" s="72" t="n">
        <v>6.43</v>
      </c>
    </row>
    <row r="399">
      <c r="A399" s="71" t="n">
        <v>40189</v>
      </c>
      <c r="B399" s="72" t="n">
        <v>0.25</v>
      </c>
      <c r="C399" s="71" t="n">
        <v>40189</v>
      </c>
      <c r="D399" s="72" t="n">
        <v>0</v>
      </c>
      <c r="E399" s="71" t="n">
        <v>31809</v>
      </c>
      <c r="F399" s="72" t="n">
        <v>6.1</v>
      </c>
    </row>
    <row r="400">
      <c r="A400" s="71" t="n">
        <v>40190</v>
      </c>
      <c r="B400" s="72" t="n">
        <v>0.25</v>
      </c>
      <c r="C400" s="71" t="n">
        <v>40190</v>
      </c>
      <c r="D400" s="72" t="n">
        <v>0</v>
      </c>
      <c r="E400" s="71" t="n">
        <v>31837</v>
      </c>
      <c r="F400" s="72" t="n">
        <v>6.13</v>
      </c>
    </row>
    <row r="401">
      <c r="A401" s="71" t="n">
        <v>40191</v>
      </c>
      <c r="B401" s="72" t="n">
        <v>0.25</v>
      </c>
      <c r="C401" s="71" t="n">
        <v>40191</v>
      </c>
      <c r="D401" s="72" t="n">
        <v>0</v>
      </c>
      <c r="E401" s="71" t="n">
        <v>31868</v>
      </c>
      <c r="F401" s="72" t="n">
        <v>6.37</v>
      </c>
    </row>
    <row r="402">
      <c r="A402" s="71" t="n">
        <v>40192</v>
      </c>
      <c r="B402" s="72" t="n">
        <v>0.25</v>
      </c>
      <c r="C402" s="71" t="n">
        <v>40192</v>
      </c>
      <c r="D402" s="72" t="n">
        <v>0</v>
      </c>
      <c r="E402" s="71" t="n">
        <v>31898</v>
      </c>
      <c r="F402" s="72" t="n">
        <v>6.85</v>
      </c>
    </row>
    <row r="403">
      <c r="A403" s="71" t="n">
        <v>40193</v>
      </c>
      <c r="B403" s="72" t="n">
        <v>0.25</v>
      </c>
      <c r="C403" s="71" t="n">
        <v>40193</v>
      </c>
      <c r="D403" s="72" t="n">
        <v>0</v>
      </c>
      <c r="E403" s="71" t="n">
        <v>31929</v>
      </c>
      <c r="F403" s="72" t="n">
        <v>6.73</v>
      </c>
    </row>
    <row r="404">
      <c r="A404" s="71" t="n">
        <v>40194</v>
      </c>
      <c r="B404" s="72" t="n">
        <v>0.25</v>
      </c>
      <c r="C404" s="71" t="n">
        <v>40194</v>
      </c>
      <c r="D404" s="72" t="n">
        <v>0</v>
      </c>
      <c r="E404" s="71" t="n">
        <v>31959</v>
      </c>
      <c r="F404" s="72" t="n">
        <v>6.58</v>
      </c>
    </row>
    <row r="405">
      <c r="A405" s="71" t="n">
        <v>40195</v>
      </c>
      <c r="B405" s="72" t="n">
        <v>0.25</v>
      </c>
      <c r="C405" s="71" t="n">
        <v>40195</v>
      </c>
      <c r="D405" s="72" t="n">
        <v>0</v>
      </c>
      <c r="E405" s="71" t="n">
        <v>31990</v>
      </c>
      <c r="F405" s="72" t="n">
        <v>6.73</v>
      </c>
    </row>
    <row r="406">
      <c r="A406" s="71" t="n">
        <v>40196</v>
      </c>
      <c r="B406" s="72" t="n">
        <v>0.25</v>
      </c>
      <c r="C406" s="71" t="n">
        <v>40196</v>
      </c>
      <c r="D406" s="72" t="n">
        <v>0</v>
      </c>
      <c r="E406" s="71" t="n">
        <v>32021</v>
      </c>
      <c r="F406" s="72" t="n">
        <v>7.22</v>
      </c>
    </row>
    <row r="407">
      <c r="A407" s="71" t="n">
        <v>40197</v>
      </c>
      <c r="B407" s="72" t="n">
        <v>0.25</v>
      </c>
      <c r="C407" s="71" t="n">
        <v>40197</v>
      </c>
      <c r="D407" s="72" t="n">
        <v>0</v>
      </c>
      <c r="E407" s="71" t="n">
        <v>32051</v>
      </c>
      <c r="F407" s="72" t="n">
        <v>7.29</v>
      </c>
    </row>
    <row r="408">
      <c r="A408" s="71" t="n">
        <v>40198</v>
      </c>
      <c r="B408" s="72" t="n">
        <v>0.25</v>
      </c>
      <c r="C408" s="71" t="n">
        <v>40198</v>
      </c>
      <c r="D408" s="72" t="n">
        <v>0</v>
      </c>
      <c r="E408" s="71" t="n">
        <v>32082</v>
      </c>
      <c r="F408" s="72" t="n">
        <v>6.69</v>
      </c>
    </row>
    <row r="409">
      <c r="A409" s="71" t="n">
        <v>40199</v>
      </c>
      <c r="B409" s="72" t="n">
        <v>0.25</v>
      </c>
      <c r="C409" s="71" t="n">
        <v>40199</v>
      </c>
      <c r="D409" s="72" t="n">
        <v>0</v>
      </c>
      <c r="E409" s="71" t="n">
        <v>32112</v>
      </c>
      <c r="F409" s="72" t="n">
        <v>6.77</v>
      </c>
    </row>
    <row r="410">
      <c r="A410" s="71" t="n">
        <v>40200</v>
      </c>
      <c r="B410" s="72" t="n">
        <v>0.25</v>
      </c>
      <c r="C410" s="71" t="n">
        <v>40200</v>
      </c>
      <c r="D410" s="72" t="n">
        <v>0</v>
      </c>
      <c r="E410" s="71" t="n">
        <v>32143</v>
      </c>
      <c r="F410" s="72" t="n">
        <v>6.83</v>
      </c>
    </row>
    <row r="411">
      <c r="A411" s="71" t="n">
        <v>40201</v>
      </c>
      <c r="B411" s="72" t="n">
        <v>0.25</v>
      </c>
      <c r="C411" s="71" t="n">
        <v>40201</v>
      </c>
      <c r="D411" s="72" t="n">
        <v>0</v>
      </c>
      <c r="E411" s="71" t="n">
        <v>32174</v>
      </c>
      <c r="F411" s="72" t="n">
        <v>6.58</v>
      </c>
    </row>
    <row r="412">
      <c r="A412" s="71" t="n">
        <v>40202</v>
      </c>
      <c r="B412" s="72" t="n">
        <v>0.25</v>
      </c>
      <c r="C412" s="71" t="n">
        <v>40202</v>
      </c>
      <c r="D412" s="72" t="n">
        <v>0</v>
      </c>
      <c r="E412" s="71" t="n">
        <v>32203</v>
      </c>
      <c r="F412" s="72" t="n">
        <v>6.58</v>
      </c>
    </row>
    <row r="413">
      <c r="A413" s="71" t="n">
        <v>40203</v>
      </c>
      <c r="B413" s="72" t="n">
        <v>0.25</v>
      </c>
      <c r="C413" s="71" t="n">
        <v>40203</v>
      </c>
      <c r="D413" s="72" t="n">
        <v>0</v>
      </c>
      <c r="E413" s="71" t="n">
        <v>32234</v>
      </c>
      <c r="F413" s="72" t="n">
        <v>6.87</v>
      </c>
    </row>
    <row r="414">
      <c r="A414" s="71" t="n">
        <v>40204</v>
      </c>
      <c r="B414" s="72" t="n">
        <v>0.25</v>
      </c>
      <c r="C414" s="71" t="n">
        <v>40204</v>
      </c>
      <c r="D414" s="72" t="n">
        <v>0</v>
      </c>
      <c r="E414" s="71" t="n">
        <v>32264</v>
      </c>
      <c r="F414" s="72" t="n">
        <v>7.09</v>
      </c>
    </row>
    <row r="415">
      <c r="A415" s="71" t="n">
        <v>40205</v>
      </c>
      <c r="B415" s="72" t="n">
        <v>0.25</v>
      </c>
      <c r="C415" s="71" t="n">
        <v>40205</v>
      </c>
      <c r="D415" s="72" t="n">
        <v>0</v>
      </c>
      <c r="E415" s="71" t="n">
        <v>32295</v>
      </c>
      <c r="F415" s="72" t="n">
        <v>7.51</v>
      </c>
    </row>
    <row r="416">
      <c r="A416" s="71" t="n">
        <v>40206</v>
      </c>
      <c r="B416" s="72" t="n">
        <v>0.25</v>
      </c>
      <c r="C416" s="71" t="n">
        <v>40206</v>
      </c>
      <c r="D416" s="72" t="n">
        <v>0</v>
      </c>
      <c r="E416" s="71" t="n">
        <v>32325</v>
      </c>
      <c r="F416" s="72" t="n">
        <v>7.75</v>
      </c>
    </row>
    <row r="417">
      <c r="A417" s="71" t="n">
        <v>40207</v>
      </c>
      <c r="B417" s="72" t="n">
        <v>0.25</v>
      </c>
      <c r="C417" s="71" t="n">
        <v>40207</v>
      </c>
      <c r="D417" s="72" t="n">
        <v>0</v>
      </c>
      <c r="E417" s="71" t="n">
        <v>32356</v>
      </c>
      <c r="F417" s="72" t="n">
        <v>8.01</v>
      </c>
    </row>
    <row r="418">
      <c r="A418" s="71" t="n">
        <v>40208</v>
      </c>
      <c r="B418" s="72" t="n">
        <v>0.25</v>
      </c>
      <c r="C418" s="71" t="n">
        <v>40208</v>
      </c>
      <c r="D418" s="72" t="n">
        <v>0</v>
      </c>
      <c r="E418" s="71" t="n">
        <v>32387</v>
      </c>
      <c r="F418" s="72" t="n">
        <v>8.19</v>
      </c>
    </row>
    <row r="419">
      <c r="A419" s="71" t="n">
        <v>40209</v>
      </c>
      <c r="B419" s="72" t="n">
        <v>0.25</v>
      </c>
      <c r="C419" s="71" t="n">
        <v>40209</v>
      </c>
      <c r="D419" s="72" t="n">
        <v>0</v>
      </c>
      <c r="E419" s="71" t="n">
        <v>32417</v>
      </c>
      <c r="F419" s="72" t="n">
        <v>8.300000000000001</v>
      </c>
    </row>
    <row r="420">
      <c r="A420" s="71" t="n">
        <v>40210</v>
      </c>
      <c r="B420" s="72" t="n">
        <v>0.25</v>
      </c>
      <c r="C420" s="71" t="n">
        <v>40210</v>
      </c>
      <c r="D420" s="72" t="n">
        <v>0</v>
      </c>
      <c r="E420" s="71" t="n">
        <v>32448</v>
      </c>
      <c r="F420" s="72" t="n">
        <v>8.35</v>
      </c>
    </row>
    <row r="421">
      <c r="A421" s="71" t="n">
        <v>40211</v>
      </c>
      <c r="B421" s="72" t="n">
        <v>0.25</v>
      </c>
      <c r="C421" s="71" t="n">
        <v>40211</v>
      </c>
      <c r="D421" s="72" t="n">
        <v>0</v>
      </c>
      <c r="E421" s="71" t="n">
        <v>32478</v>
      </c>
      <c r="F421" s="72" t="n">
        <v>8.76</v>
      </c>
    </row>
    <row r="422">
      <c r="A422" s="71" t="n">
        <v>40212</v>
      </c>
      <c r="B422" s="72" t="n">
        <v>0.25</v>
      </c>
      <c r="C422" s="71" t="n">
        <v>40212</v>
      </c>
      <c r="D422" s="72" t="n">
        <v>0</v>
      </c>
      <c r="E422" s="71" t="n">
        <v>32509</v>
      </c>
      <c r="F422" s="72" t="n">
        <v>9.119999999999999</v>
      </c>
    </row>
    <row r="423">
      <c r="A423" s="71" t="n">
        <v>40213</v>
      </c>
      <c r="B423" s="72" t="n">
        <v>0.25</v>
      </c>
      <c r="C423" s="71" t="n">
        <v>40213</v>
      </c>
      <c r="D423" s="72" t="n">
        <v>0</v>
      </c>
      <c r="E423" s="71" t="n">
        <v>32540</v>
      </c>
      <c r="F423" s="72" t="n">
        <v>9.359999999999999</v>
      </c>
    </row>
    <row r="424">
      <c r="A424" s="71" t="n">
        <v>40214</v>
      </c>
      <c r="B424" s="72" t="n">
        <v>0.25</v>
      </c>
      <c r="C424" s="71" t="n">
        <v>40214</v>
      </c>
      <c r="D424" s="72" t="n">
        <v>0</v>
      </c>
      <c r="E424" s="71" t="n">
        <v>32568</v>
      </c>
      <c r="F424" s="72" t="n">
        <v>9.85</v>
      </c>
    </row>
    <row r="425">
      <c r="A425" s="71" t="n">
        <v>40215</v>
      </c>
      <c r="B425" s="72" t="n">
        <v>0.25</v>
      </c>
      <c r="C425" s="71" t="n">
        <v>40215</v>
      </c>
      <c r="D425" s="72" t="n">
        <v>0</v>
      </c>
      <c r="E425" s="71" t="n">
        <v>32599</v>
      </c>
      <c r="F425" s="72" t="n">
        <v>9.84</v>
      </c>
    </row>
    <row r="426">
      <c r="A426" s="71" t="n">
        <v>40216</v>
      </c>
      <c r="B426" s="72" t="n">
        <v>0.25</v>
      </c>
      <c r="C426" s="71" t="n">
        <v>40216</v>
      </c>
      <c r="D426" s="72" t="n">
        <v>0</v>
      </c>
      <c r="E426" s="71" t="n">
        <v>32629</v>
      </c>
      <c r="F426" s="72" t="n">
        <v>9.81</v>
      </c>
    </row>
    <row r="427">
      <c r="A427" s="71" t="n">
        <v>40217</v>
      </c>
      <c r="B427" s="72" t="n">
        <v>0.25</v>
      </c>
      <c r="C427" s="71" t="n">
        <v>40217</v>
      </c>
      <c r="D427" s="72" t="n">
        <v>0</v>
      </c>
      <c r="E427" s="71" t="n">
        <v>32660</v>
      </c>
      <c r="F427" s="72" t="n">
        <v>9.529999999999999</v>
      </c>
    </row>
    <row r="428">
      <c r="A428" s="71" t="n">
        <v>40218</v>
      </c>
      <c r="B428" s="72" t="n">
        <v>0.25</v>
      </c>
      <c r="C428" s="71" t="n">
        <v>40218</v>
      </c>
      <c r="D428" s="72" t="n">
        <v>0</v>
      </c>
      <c r="E428" s="71" t="n">
        <v>32690</v>
      </c>
      <c r="F428" s="72" t="n">
        <v>9.24</v>
      </c>
    </row>
    <row r="429">
      <c r="A429" s="71" t="n">
        <v>40219</v>
      </c>
      <c r="B429" s="72" t="n">
        <v>0.25</v>
      </c>
      <c r="C429" s="71" t="n">
        <v>40219</v>
      </c>
      <c r="D429" s="72" t="n">
        <v>0</v>
      </c>
      <c r="E429" s="71" t="n">
        <v>32721</v>
      </c>
      <c r="F429" s="72" t="n">
        <v>8.99</v>
      </c>
    </row>
    <row r="430">
      <c r="A430" s="71" t="n">
        <v>40220</v>
      </c>
      <c r="B430" s="72" t="n">
        <v>0.25</v>
      </c>
      <c r="C430" s="71" t="n">
        <v>40220</v>
      </c>
      <c r="D430" s="72" t="n">
        <v>0</v>
      </c>
      <c r="E430" s="71" t="n">
        <v>32752</v>
      </c>
      <c r="F430" s="72" t="n">
        <v>9.02</v>
      </c>
    </row>
    <row r="431">
      <c r="A431" s="71" t="n">
        <v>40221</v>
      </c>
      <c r="B431" s="72" t="n">
        <v>0.25</v>
      </c>
      <c r="C431" s="71" t="n">
        <v>40221</v>
      </c>
      <c r="D431" s="72" t="n">
        <v>0</v>
      </c>
      <c r="E431" s="71" t="n">
        <v>32782</v>
      </c>
      <c r="F431" s="72" t="n">
        <v>8.84</v>
      </c>
    </row>
    <row r="432">
      <c r="A432" s="71" t="n">
        <v>40222</v>
      </c>
      <c r="B432" s="72" t="n">
        <v>0.25</v>
      </c>
      <c r="C432" s="71" t="n">
        <v>40222</v>
      </c>
      <c r="D432" s="72" t="n">
        <v>0</v>
      </c>
      <c r="E432" s="71" t="n">
        <v>32813</v>
      </c>
      <c r="F432" s="72" t="n">
        <v>8.550000000000001</v>
      </c>
    </row>
    <row r="433">
      <c r="A433" s="71" t="n">
        <v>40223</v>
      </c>
      <c r="B433" s="72" t="n">
        <v>0.25</v>
      </c>
      <c r="C433" s="71" t="n">
        <v>40223</v>
      </c>
      <c r="D433" s="72" t="n">
        <v>0</v>
      </c>
      <c r="E433" s="71" t="n">
        <v>32843</v>
      </c>
      <c r="F433" s="72" t="n">
        <v>8.449999999999999</v>
      </c>
    </row>
    <row r="434">
      <c r="A434" s="71" t="n">
        <v>40224</v>
      </c>
      <c r="B434" s="72" t="n">
        <v>0.25</v>
      </c>
      <c r="C434" s="71" t="n">
        <v>40224</v>
      </c>
      <c r="D434" s="72" t="n">
        <v>0</v>
      </c>
      <c r="E434" s="71" t="n">
        <v>32874</v>
      </c>
      <c r="F434" s="72" t="n">
        <v>8.23</v>
      </c>
    </row>
    <row r="435">
      <c r="A435" s="71" t="n">
        <v>40225</v>
      </c>
      <c r="B435" s="72" t="n">
        <v>0.25</v>
      </c>
      <c r="C435" s="71" t="n">
        <v>40225</v>
      </c>
      <c r="D435" s="72" t="n">
        <v>0</v>
      </c>
      <c r="E435" s="71" t="n">
        <v>32905</v>
      </c>
      <c r="F435" s="72" t="n">
        <v>8.24</v>
      </c>
    </row>
    <row r="436">
      <c r="A436" s="71" t="n">
        <v>40226</v>
      </c>
      <c r="B436" s="72" t="n">
        <v>0.25</v>
      </c>
      <c r="C436" s="71" t="n">
        <v>40226</v>
      </c>
      <c r="D436" s="72" t="n">
        <v>0</v>
      </c>
      <c r="E436" s="71" t="n">
        <v>32933</v>
      </c>
      <c r="F436" s="72" t="n">
        <v>8.279999999999999</v>
      </c>
    </row>
    <row r="437">
      <c r="A437" s="71" t="n">
        <v>40227</v>
      </c>
      <c r="B437" s="72" t="n">
        <v>0.25</v>
      </c>
      <c r="C437" s="71" t="n">
        <v>40227</v>
      </c>
      <c r="D437" s="72" t="n">
        <v>0</v>
      </c>
      <c r="E437" s="71" t="n">
        <v>32964</v>
      </c>
      <c r="F437" s="72" t="n">
        <v>8.26</v>
      </c>
    </row>
    <row r="438">
      <c r="A438" s="71" t="n">
        <v>40228</v>
      </c>
      <c r="B438" s="72" t="n">
        <v>0.25</v>
      </c>
      <c r="C438" s="71" t="n">
        <v>40228</v>
      </c>
      <c r="D438" s="72" t="n">
        <v>0</v>
      </c>
      <c r="E438" s="71" t="n">
        <v>32994</v>
      </c>
      <c r="F438" s="72" t="n">
        <v>8.18</v>
      </c>
    </row>
    <row r="439">
      <c r="A439" s="71" t="n">
        <v>40229</v>
      </c>
      <c r="B439" s="72" t="n">
        <v>0.25</v>
      </c>
      <c r="C439" s="71" t="n">
        <v>40229</v>
      </c>
      <c r="D439" s="72" t="n">
        <v>0</v>
      </c>
      <c r="E439" s="71" t="n">
        <v>33025</v>
      </c>
      <c r="F439" s="72" t="n">
        <v>8.289999999999999</v>
      </c>
    </row>
    <row r="440">
      <c r="A440" s="71" t="n">
        <v>40230</v>
      </c>
      <c r="B440" s="72" t="n">
        <v>0.25</v>
      </c>
      <c r="C440" s="71" t="n">
        <v>40230</v>
      </c>
      <c r="D440" s="72" t="n">
        <v>0</v>
      </c>
      <c r="E440" s="71" t="n">
        <v>33055</v>
      </c>
      <c r="F440" s="72" t="n">
        <v>8.15</v>
      </c>
    </row>
    <row r="441">
      <c r="A441" s="71" t="n">
        <v>40231</v>
      </c>
      <c r="B441" s="72" t="n">
        <v>0.25</v>
      </c>
      <c r="C441" s="71" t="n">
        <v>40231</v>
      </c>
      <c r="D441" s="72" t="n">
        <v>0</v>
      </c>
      <c r="E441" s="71" t="n">
        <v>33086</v>
      </c>
      <c r="F441" s="72" t="n">
        <v>8.130000000000001</v>
      </c>
    </row>
    <row r="442">
      <c r="A442" s="71" t="n">
        <v>40232</v>
      </c>
      <c r="B442" s="72" t="n">
        <v>0.25</v>
      </c>
      <c r="C442" s="71" t="n">
        <v>40232</v>
      </c>
      <c r="D442" s="72" t="n">
        <v>0</v>
      </c>
      <c r="E442" s="71" t="n">
        <v>33117</v>
      </c>
      <c r="F442" s="72" t="n">
        <v>8.199999999999999</v>
      </c>
    </row>
    <row r="443">
      <c r="A443" s="71" t="n">
        <v>40233</v>
      </c>
      <c r="B443" s="72" t="n">
        <v>0.25</v>
      </c>
      <c r="C443" s="71" t="n">
        <v>40233</v>
      </c>
      <c r="D443" s="72" t="n">
        <v>0</v>
      </c>
      <c r="E443" s="71" t="n">
        <v>33147</v>
      </c>
      <c r="F443" s="72" t="n">
        <v>8.109999999999999</v>
      </c>
    </row>
    <row r="444">
      <c r="A444" s="71" t="n">
        <v>40234</v>
      </c>
      <c r="B444" s="72" t="n">
        <v>0.25</v>
      </c>
      <c r="C444" s="71" t="n">
        <v>40234</v>
      </c>
      <c r="D444" s="72" t="n">
        <v>0</v>
      </c>
      <c r="E444" s="71" t="n">
        <v>33178</v>
      </c>
      <c r="F444" s="72" t="n">
        <v>7.81</v>
      </c>
    </row>
    <row r="445">
      <c r="A445" s="71" t="n">
        <v>40235</v>
      </c>
      <c r="B445" s="72" t="n">
        <v>0.25</v>
      </c>
      <c r="C445" s="71" t="n">
        <v>40235</v>
      </c>
      <c r="D445" s="72" t="n">
        <v>0</v>
      </c>
      <c r="E445" s="71" t="n">
        <v>33208</v>
      </c>
      <c r="F445" s="72" t="n">
        <v>7.31</v>
      </c>
    </row>
    <row r="446">
      <c r="A446" s="71" t="n">
        <v>40236</v>
      </c>
      <c r="B446" s="72" t="n">
        <v>0.25</v>
      </c>
      <c r="C446" s="71" t="n">
        <v>40236</v>
      </c>
      <c r="D446" s="72" t="n">
        <v>0</v>
      </c>
      <c r="E446" s="71" t="n">
        <v>33239</v>
      </c>
      <c r="F446" s="72" t="n">
        <v>6.91</v>
      </c>
    </row>
    <row r="447">
      <c r="A447" s="71" t="n">
        <v>40237</v>
      </c>
      <c r="B447" s="72" t="n">
        <v>0.25</v>
      </c>
      <c r="C447" s="71" t="n">
        <v>40237</v>
      </c>
      <c r="D447" s="72" t="n">
        <v>0</v>
      </c>
      <c r="E447" s="71" t="n">
        <v>33270</v>
      </c>
      <c r="F447" s="72" t="n">
        <v>6.25</v>
      </c>
    </row>
    <row r="448">
      <c r="A448" s="71" t="n">
        <v>40238</v>
      </c>
      <c r="B448" s="72" t="n">
        <v>0.25</v>
      </c>
      <c r="C448" s="71" t="n">
        <v>40238</v>
      </c>
      <c r="D448" s="72" t="n">
        <v>0</v>
      </c>
      <c r="E448" s="71" t="n">
        <v>33298</v>
      </c>
      <c r="F448" s="72" t="n">
        <v>6.12</v>
      </c>
    </row>
    <row r="449">
      <c r="A449" s="71" t="n">
        <v>40239</v>
      </c>
      <c r="B449" s="72" t="n">
        <v>0.25</v>
      </c>
      <c r="C449" s="71" t="n">
        <v>40239</v>
      </c>
      <c r="D449" s="72" t="n">
        <v>0</v>
      </c>
      <c r="E449" s="71" t="n">
        <v>33329</v>
      </c>
      <c r="F449" s="72" t="n">
        <v>5.91</v>
      </c>
    </row>
    <row r="450">
      <c r="A450" s="71" t="n">
        <v>40240</v>
      </c>
      <c r="B450" s="72" t="n">
        <v>0.25</v>
      </c>
      <c r="C450" s="71" t="n">
        <v>40240</v>
      </c>
      <c r="D450" s="72" t="n">
        <v>0</v>
      </c>
      <c r="E450" s="71" t="n">
        <v>33359</v>
      </c>
      <c r="F450" s="72" t="n">
        <v>5.78</v>
      </c>
    </row>
    <row r="451">
      <c r="A451" s="71" t="n">
        <v>40241</v>
      </c>
      <c r="B451" s="72" t="n">
        <v>0.25</v>
      </c>
      <c r="C451" s="71" t="n">
        <v>40241</v>
      </c>
      <c r="D451" s="72" t="n">
        <v>0</v>
      </c>
      <c r="E451" s="71" t="n">
        <v>33390</v>
      </c>
      <c r="F451" s="72" t="n">
        <v>5.9</v>
      </c>
    </row>
    <row r="452">
      <c r="A452" s="71" t="n">
        <v>40242</v>
      </c>
      <c r="B452" s="72" t="n">
        <v>0.25</v>
      </c>
      <c r="C452" s="71" t="n">
        <v>40242</v>
      </c>
      <c r="D452" s="72" t="n">
        <v>0</v>
      </c>
      <c r="E452" s="71" t="n">
        <v>33420</v>
      </c>
      <c r="F452" s="72" t="n">
        <v>5.82</v>
      </c>
    </row>
    <row r="453">
      <c r="A453" s="71" t="n">
        <v>40243</v>
      </c>
      <c r="B453" s="72" t="n">
        <v>0.25</v>
      </c>
      <c r="C453" s="71" t="n">
        <v>40243</v>
      </c>
      <c r="D453" s="72" t="n">
        <v>0</v>
      </c>
      <c r="E453" s="71" t="n">
        <v>33451</v>
      </c>
      <c r="F453" s="72" t="n">
        <v>5.66</v>
      </c>
    </row>
    <row r="454">
      <c r="A454" s="71" t="n">
        <v>40244</v>
      </c>
      <c r="B454" s="72" t="n">
        <v>0.25</v>
      </c>
      <c r="C454" s="71" t="n">
        <v>40244</v>
      </c>
      <c r="D454" s="72" t="n">
        <v>0</v>
      </c>
      <c r="E454" s="71" t="n">
        <v>33482</v>
      </c>
      <c r="F454" s="72" t="n">
        <v>5.45</v>
      </c>
    </row>
    <row r="455">
      <c r="A455" s="71" t="n">
        <v>40245</v>
      </c>
      <c r="B455" s="72" t="n">
        <v>0.25</v>
      </c>
      <c r="C455" s="71" t="n">
        <v>40245</v>
      </c>
      <c r="D455" s="72" t="n">
        <v>0</v>
      </c>
      <c r="E455" s="71" t="n">
        <v>33512</v>
      </c>
      <c r="F455" s="72" t="n">
        <v>5.21</v>
      </c>
    </row>
    <row r="456">
      <c r="A456" s="71" t="n">
        <v>40246</v>
      </c>
      <c r="B456" s="72" t="n">
        <v>0.25</v>
      </c>
      <c r="C456" s="71" t="n">
        <v>40246</v>
      </c>
      <c r="D456" s="72" t="n">
        <v>0</v>
      </c>
      <c r="E456" s="71" t="n">
        <v>33543</v>
      </c>
      <c r="F456" s="72" t="n">
        <v>4.81</v>
      </c>
    </row>
    <row r="457">
      <c r="A457" s="71" t="n">
        <v>40247</v>
      </c>
      <c r="B457" s="72" t="n">
        <v>0.25</v>
      </c>
      <c r="C457" s="71" t="n">
        <v>40247</v>
      </c>
      <c r="D457" s="72" t="n">
        <v>0</v>
      </c>
      <c r="E457" s="71" t="n">
        <v>33573</v>
      </c>
      <c r="F457" s="72" t="n">
        <v>4.43</v>
      </c>
    </row>
    <row r="458">
      <c r="A458" s="71" t="n">
        <v>40248</v>
      </c>
      <c r="B458" s="72" t="n">
        <v>0.25</v>
      </c>
      <c r="C458" s="71" t="n">
        <v>40248</v>
      </c>
      <c r="D458" s="72" t="n">
        <v>0</v>
      </c>
      <c r="E458" s="71" t="n">
        <v>33604</v>
      </c>
      <c r="F458" s="72" t="n">
        <v>4.03</v>
      </c>
    </row>
    <row r="459">
      <c r="A459" s="71" t="n">
        <v>40249</v>
      </c>
      <c r="B459" s="72" t="n">
        <v>0.25</v>
      </c>
      <c r="C459" s="71" t="n">
        <v>40249</v>
      </c>
      <c r="D459" s="72" t="n">
        <v>0</v>
      </c>
      <c r="E459" s="71" t="n">
        <v>33635</v>
      </c>
      <c r="F459" s="72" t="n">
        <v>4.06</v>
      </c>
    </row>
    <row r="460">
      <c r="A460" s="71" t="n">
        <v>40250</v>
      </c>
      <c r="B460" s="72" t="n">
        <v>0.25</v>
      </c>
      <c r="C460" s="71" t="n">
        <v>40250</v>
      </c>
      <c r="D460" s="72" t="n">
        <v>0</v>
      </c>
      <c r="E460" s="71" t="n">
        <v>33664</v>
      </c>
      <c r="F460" s="72" t="n">
        <v>3.98</v>
      </c>
    </row>
    <row r="461">
      <c r="A461" s="71" t="n">
        <v>40251</v>
      </c>
      <c r="B461" s="72" t="n">
        <v>0.25</v>
      </c>
      <c r="C461" s="71" t="n">
        <v>40251</v>
      </c>
      <c r="D461" s="72" t="n">
        <v>0</v>
      </c>
      <c r="E461" s="71" t="n">
        <v>33695</v>
      </c>
      <c r="F461" s="72" t="n">
        <v>3.73</v>
      </c>
    </row>
    <row r="462">
      <c r="A462" s="71" t="n">
        <v>40252</v>
      </c>
      <c r="B462" s="72" t="n">
        <v>0.25</v>
      </c>
      <c r="C462" s="71" t="n">
        <v>40252</v>
      </c>
      <c r="D462" s="72" t="n">
        <v>0</v>
      </c>
      <c r="E462" s="71" t="n">
        <v>33725</v>
      </c>
      <c r="F462" s="72" t="n">
        <v>3.82</v>
      </c>
    </row>
    <row r="463">
      <c r="A463" s="71" t="n">
        <v>40253</v>
      </c>
      <c r="B463" s="72" t="n">
        <v>0.25</v>
      </c>
      <c r="C463" s="71" t="n">
        <v>40253</v>
      </c>
      <c r="D463" s="72" t="n">
        <v>0</v>
      </c>
      <c r="E463" s="71" t="n">
        <v>33756</v>
      </c>
      <c r="F463" s="72" t="n">
        <v>3.76</v>
      </c>
    </row>
    <row r="464">
      <c r="A464" s="71" t="n">
        <v>40254</v>
      </c>
      <c r="B464" s="72" t="n">
        <v>0.25</v>
      </c>
      <c r="C464" s="71" t="n">
        <v>40254</v>
      </c>
      <c r="D464" s="72" t="n">
        <v>0</v>
      </c>
      <c r="E464" s="71" t="n">
        <v>33786</v>
      </c>
      <c r="F464" s="72" t="n">
        <v>3.25</v>
      </c>
    </row>
    <row r="465">
      <c r="A465" s="71" t="n">
        <v>40255</v>
      </c>
      <c r="B465" s="72" t="n">
        <v>0.25</v>
      </c>
      <c r="C465" s="71" t="n">
        <v>40255</v>
      </c>
      <c r="D465" s="72" t="n">
        <v>0</v>
      </c>
      <c r="E465" s="71" t="n">
        <v>33817</v>
      </c>
      <c r="F465" s="72" t="n">
        <v>3.3</v>
      </c>
    </row>
    <row r="466">
      <c r="A466" s="71" t="n">
        <v>40256</v>
      </c>
      <c r="B466" s="72" t="n">
        <v>0.25</v>
      </c>
      <c r="C466" s="71" t="n">
        <v>40256</v>
      </c>
      <c r="D466" s="72" t="n">
        <v>0</v>
      </c>
      <c r="E466" s="71" t="n">
        <v>33848</v>
      </c>
      <c r="F466" s="72" t="n">
        <v>3.22</v>
      </c>
    </row>
    <row r="467">
      <c r="A467" s="71" t="n">
        <v>40257</v>
      </c>
      <c r="B467" s="72" t="n">
        <v>0.25</v>
      </c>
      <c r="C467" s="71" t="n">
        <v>40257</v>
      </c>
      <c r="D467" s="72" t="n">
        <v>0</v>
      </c>
      <c r="E467" s="71" t="n">
        <v>33878</v>
      </c>
      <c r="F467" s="72" t="n">
        <v>3.1</v>
      </c>
    </row>
    <row r="468">
      <c r="A468" s="71" t="n">
        <v>40258</v>
      </c>
      <c r="B468" s="72" t="n">
        <v>0.25</v>
      </c>
      <c r="C468" s="71" t="n">
        <v>40258</v>
      </c>
      <c r="D468" s="72" t="n">
        <v>0</v>
      </c>
      <c r="E468" s="71" t="n">
        <v>33909</v>
      </c>
      <c r="F468" s="72" t="n">
        <v>3.09</v>
      </c>
    </row>
    <row r="469">
      <c r="A469" s="71" t="n">
        <v>40259</v>
      </c>
      <c r="B469" s="72" t="n">
        <v>0.25</v>
      </c>
      <c r="C469" s="71" t="n">
        <v>40259</v>
      </c>
      <c r="D469" s="72" t="n">
        <v>0</v>
      </c>
      <c r="E469" s="71" t="n">
        <v>33939</v>
      </c>
      <c r="F469" s="72" t="n">
        <v>2.92</v>
      </c>
    </row>
    <row r="470">
      <c r="A470" s="71" t="n">
        <v>40260</v>
      </c>
      <c r="B470" s="72" t="n">
        <v>0.25</v>
      </c>
      <c r="C470" s="71" t="n">
        <v>40260</v>
      </c>
      <c r="D470" s="72" t="n">
        <v>0</v>
      </c>
      <c r="E470" s="71" t="n">
        <v>33970</v>
      </c>
      <c r="F470" s="72" t="n">
        <v>3.02</v>
      </c>
    </row>
    <row r="471">
      <c r="A471" s="71" t="n">
        <v>40261</v>
      </c>
      <c r="B471" s="72" t="n">
        <v>0.25</v>
      </c>
      <c r="C471" s="71" t="n">
        <v>40261</v>
      </c>
      <c r="D471" s="72" t="n">
        <v>0</v>
      </c>
      <c r="E471" s="71" t="n">
        <v>34001</v>
      </c>
      <c r="F471" s="72" t="n">
        <v>3.03</v>
      </c>
    </row>
    <row r="472">
      <c r="A472" s="71" t="n">
        <v>40262</v>
      </c>
      <c r="B472" s="72" t="n">
        <v>0.25</v>
      </c>
      <c r="C472" s="71" t="n">
        <v>40262</v>
      </c>
      <c r="D472" s="72" t="n">
        <v>0</v>
      </c>
      <c r="E472" s="71" t="n">
        <v>34029</v>
      </c>
      <c r="F472" s="72" t="n">
        <v>3.07</v>
      </c>
    </row>
    <row r="473">
      <c r="A473" s="71" t="n">
        <v>40263</v>
      </c>
      <c r="B473" s="72" t="n">
        <v>0.25</v>
      </c>
      <c r="C473" s="71" t="n">
        <v>40263</v>
      </c>
      <c r="D473" s="72" t="n">
        <v>0</v>
      </c>
      <c r="E473" s="71" t="n">
        <v>34060</v>
      </c>
      <c r="F473" s="72" t="n">
        <v>2.96</v>
      </c>
    </row>
    <row r="474">
      <c r="A474" s="71" t="n">
        <v>40264</v>
      </c>
      <c r="B474" s="72" t="n">
        <v>0.25</v>
      </c>
      <c r="C474" s="71" t="n">
        <v>40264</v>
      </c>
      <c r="D474" s="72" t="n">
        <v>0</v>
      </c>
      <c r="E474" s="71" t="n">
        <v>34090</v>
      </c>
      <c r="F474" s="72" t="n">
        <v>3</v>
      </c>
    </row>
    <row r="475">
      <c r="A475" s="71" t="n">
        <v>40265</v>
      </c>
      <c r="B475" s="72" t="n">
        <v>0.25</v>
      </c>
      <c r="C475" s="71" t="n">
        <v>40265</v>
      </c>
      <c r="D475" s="72" t="n">
        <v>0</v>
      </c>
      <c r="E475" s="71" t="n">
        <v>34121</v>
      </c>
      <c r="F475" s="72" t="n">
        <v>3.04</v>
      </c>
    </row>
    <row r="476">
      <c r="A476" s="71" t="n">
        <v>40266</v>
      </c>
      <c r="B476" s="72" t="n">
        <v>0.25</v>
      </c>
      <c r="C476" s="71" t="n">
        <v>40266</v>
      </c>
      <c r="D476" s="72" t="n">
        <v>0</v>
      </c>
      <c r="E476" s="71" t="n">
        <v>34151</v>
      </c>
      <c r="F476" s="72" t="n">
        <v>3.06</v>
      </c>
    </row>
    <row r="477">
      <c r="A477" s="71" t="n">
        <v>40267</v>
      </c>
      <c r="B477" s="72" t="n">
        <v>0.25</v>
      </c>
      <c r="C477" s="71" t="n">
        <v>40267</v>
      </c>
      <c r="D477" s="72" t="n">
        <v>0</v>
      </c>
      <c r="E477" s="71" t="n">
        <v>34182</v>
      </c>
      <c r="F477" s="72" t="n">
        <v>3.03</v>
      </c>
    </row>
    <row r="478">
      <c r="A478" s="71" t="n">
        <v>40268</v>
      </c>
      <c r="B478" s="72" t="n">
        <v>0.25</v>
      </c>
      <c r="C478" s="71" t="n">
        <v>40268</v>
      </c>
      <c r="D478" s="72" t="n">
        <v>0</v>
      </c>
      <c r="E478" s="71" t="n">
        <v>34213</v>
      </c>
      <c r="F478" s="72" t="n">
        <v>3.09</v>
      </c>
    </row>
    <row r="479">
      <c r="A479" s="71" t="n">
        <v>40269</v>
      </c>
      <c r="B479" s="72" t="n">
        <v>0.25</v>
      </c>
      <c r="C479" s="71" t="n">
        <v>40269</v>
      </c>
      <c r="D479" s="72" t="n">
        <v>0</v>
      </c>
      <c r="E479" s="71" t="n">
        <v>34243</v>
      </c>
      <c r="F479" s="72" t="n">
        <v>2.99</v>
      </c>
    </row>
    <row r="480">
      <c r="A480" s="71" t="n">
        <v>40270</v>
      </c>
      <c r="B480" s="72" t="n">
        <v>0.25</v>
      </c>
      <c r="C480" s="71" t="n">
        <v>40270</v>
      </c>
      <c r="D480" s="72" t="n">
        <v>0</v>
      </c>
      <c r="E480" s="71" t="n">
        <v>34274</v>
      </c>
      <c r="F480" s="72" t="n">
        <v>3.02</v>
      </c>
    </row>
    <row r="481">
      <c r="A481" s="71" t="n">
        <v>40271</v>
      </c>
      <c r="B481" s="72" t="n">
        <v>0.25</v>
      </c>
      <c r="C481" s="71" t="n">
        <v>40271</v>
      </c>
      <c r="D481" s="72" t="n">
        <v>0</v>
      </c>
      <c r="E481" s="71" t="n">
        <v>34304</v>
      </c>
      <c r="F481" s="72" t="n">
        <v>2.96</v>
      </c>
    </row>
    <row r="482">
      <c r="A482" s="71" t="n">
        <v>40272</v>
      </c>
      <c r="B482" s="72" t="n">
        <v>0.25</v>
      </c>
      <c r="C482" s="71" t="n">
        <v>40272</v>
      </c>
      <c r="D482" s="72" t="n">
        <v>0</v>
      </c>
      <c r="E482" s="71" t="n">
        <v>34335</v>
      </c>
      <c r="F482" s="72" t="n">
        <v>3.05</v>
      </c>
    </row>
    <row r="483">
      <c r="A483" s="71" t="n">
        <v>40273</v>
      </c>
      <c r="B483" s="72" t="n">
        <v>0.25</v>
      </c>
      <c r="C483" s="71" t="n">
        <v>40273</v>
      </c>
      <c r="D483" s="72" t="n">
        <v>0</v>
      </c>
      <c r="E483" s="71" t="n">
        <v>34366</v>
      </c>
      <c r="F483" s="72" t="n">
        <v>3.25</v>
      </c>
    </row>
    <row r="484">
      <c r="A484" s="71" t="n">
        <v>40274</v>
      </c>
      <c r="B484" s="72" t="n">
        <v>0.25</v>
      </c>
      <c r="C484" s="71" t="n">
        <v>40274</v>
      </c>
      <c r="D484" s="72" t="n">
        <v>0</v>
      </c>
      <c r="E484" s="71" t="n">
        <v>34394</v>
      </c>
      <c r="F484" s="72" t="n">
        <v>3.34</v>
      </c>
    </row>
    <row r="485">
      <c r="A485" s="71" t="n">
        <v>40275</v>
      </c>
      <c r="B485" s="72" t="n">
        <v>0.25</v>
      </c>
      <c r="C485" s="71" t="n">
        <v>40275</v>
      </c>
      <c r="D485" s="72" t="n">
        <v>0</v>
      </c>
      <c r="E485" s="71" t="n">
        <v>34425</v>
      </c>
      <c r="F485" s="72" t="n">
        <v>3.56</v>
      </c>
    </row>
    <row r="486">
      <c r="A486" s="71" t="n">
        <v>40276</v>
      </c>
      <c r="B486" s="72" t="n">
        <v>0.25</v>
      </c>
      <c r="C486" s="71" t="n">
        <v>40276</v>
      </c>
      <c r="D486" s="72" t="n">
        <v>0</v>
      </c>
      <c r="E486" s="71" t="n">
        <v>34455</v>
      </c>
      <c r="F486" s="72" t="n">
        <v>4.01</v>
      </c>
    </row>
    <row r="487">
      <c r="A487" s="71" t="n">
        <v>40277</v>
      </c>
      <c r="B487" s="72" t="n">
        <v>0.25</v>
      </c>
      <c r="C487" s="71" t="n">
        <v>40277</v>
      </c>
      <c r="D487" s="72" t="n">
        <v>0</v>
      </c>
      <c r="E487" s="71" t="n">
        <v>34486</v>
      </c>
      <c r="F487" s="72" t="n">
        <v>4.25</v>
      </c>
    </row>
    <row r="488">
      <c r="A488" s="71" t="n">
        <v>40278</v>
      </c>
      <c r="B488" s="72" t="n">
        <v>0.25</v>
      </c>
      <c r="C488" s="71" t="n">
        <v>40278</v>
      </c>
      <c r="D488" s="72" t="n">
        <v>0</v>
      </c>
      <c r="E488" s="71" t="n">
        <v>34516</v>
      </c>
      <c r="F488" s="72" t="n">
        <v>4.26</v>
      </c>
    </row>
    <row r="489">
      <c r="A489" s="71" t="n">
        <v>40279</v>
      </c>
      <c r="B489" s="72" t="n">
        <v>0.25</v>
      </c>
      <c r="C489" s="71" t="n">
        <v>40279</v>
      </c>
      <c r="D489" s="72" t="n">
        <v>0</v>
      </c>
      <c r="E489" s="71" t="n">
        <v>34547</v>
      </c>
      <c r="F489" s="72" t="n">
        <v>4.47</v>
      </c>
    </row>
    <row r="490">
      <c r="A490" s="71" t="n">
        <v>40280</v>
      </c>
      <c r="B490" s="72" t="n">
        <v>0.25</v>
      </c>
      <c r="C490" s="71" t="n">
        <v>40280</v>
      </c>
      <c r="D490" s="72" t="n">
        <v>0</v>
      </c>
      <c r="E490" s="71" t="n">
        <v>34578</v>
      </c>
      <c r="F490" s="72" t="n">
        <v>4.73</v>
      </c>
    </row>
    <row r="491">
      <c r="A491" s="71" t="n">
        <v>40281</v>
      </c>
      <c r="B491" s="72" t="n">
        <v>0.25</v>
      </c>
      <c r="C491" s="71" t="n">
        <v>40281</v>
      </c>
      <c r="D491" s="72" t="n">
        <v>0</v>
      </c>
      <c r="E491" s="71" t="n">
        <v>34608</v>
      </c>
      <c r="F491" s="72" t="n">
        <v>4.76</v>
      </c>
    </row>
    <row r="492">
      <c r="A492" s="71" t="n">
        <v>40282</v>
      </c>
      <c r="B492" s="72" t="n">
        <v>0.25</v>
      </c>
      <c r="C492" s="71" t="n">
        <v>40282</v>
      </c>
      <c r="D492" s="72" t="n">
        <v>0</v>
      </c>
      <c r="E492" s="71" t="n">
        <v>34639</v>
      </c>
      <c r="F492" s="72" t="n">
        <v>5.29</v>
      </c>
    </row>
    <row r="493">
      <c r="A493" s="71" t="n">
        <v>40283</v>
      </c>
      <c r="B493" s="72" t="n">
        <v>0.25</v>
      </c>
      <c r="C493" s="71" t="n">
        <v>40283</v>
      </c>
      <c r="D493" s="72" t="n">
        <v>0</v>
      </c>
      <c r="E493" s="71" t="n">
        <v>34669</v>
      </c>
      <c r="F493" s="72" t="n">
        <v>5.45</v>
      </c>
    </row>
    <row r="494">
      <c r="A494" s="71" t="n">
        <v>40284</v>
      </c>
      <c r="B494" s="72" t="n">
        <v>0.25</v>
      </c>
      <c r="C494" s="71" t="n">
        <v>40284</v>
      </c>
      <c r="D494" s="72" t="n">
        <v>0</v>
      </c>
      <c r="E494" s="71" t="n">
        <v>34700</v>
      </c>
      <c r="F494" s="72" t="n">
        <v>5.53</v>
      </c>
    </row>
    <row r="495">
      <c r="A495" s="71" t="n">
        <v>40285</v>
      </c>
      <c r="B495" s="72" t="n">
        <v>0.25</v>
      </c>
      <c r="C495" s="71" t="n">
        <v>40285</v>
      </c>
      <c r="D495" s="72" t="n">
        <v>0</v>
      </c>
      <c r="E495" s="71" t="n">
        <v>34731</v>
      </c>
      <c r="F495" s="72" t="n">
        <v>5.92</v>
      </c>
    </row>
    <row r="496">
      <c r="A496" s="71" t="n">
        <v>40286</v>
      </c>
      <c r="B496" s="72" t="n">
        <v>0.25</v>
      </c>
      <c r="C496" s="71" t="n">
        <v>40286</v>
      </c>
      <c r="D496" s="72" t="n">
        <v>0</v>
      </c>
      <c r="E496" s="71" t="n">
        <v>34759</v>
      </c>
      <c r="F496" s="72" t="n">
        <v>5.98</v>
      </c>
    </row>
    <row r="497">
      <c r="A497" s="71" t="n">
        <v>40287</v>
      </c>
      <c r="B497" s="72" t="n">
        <v>0.25</v>
      </c>
      <c r="C497" s="71" t="n">
        <v>40287</v>
      </c>
      <c r="D497" s="72" t="n">
        <v>0</v>
      </c>
      <c r="E497" s="71" t="n">
        <v>34790</v>
      </c>
      <c r="F497" s="72" t="n">
        <v>6.05</v>
      </c>
    </row>
    <row r="498">
      <c r="A498" s="71" t="n">
        <v>40288</v>
      </c>
      <c r="B498" s="72" t="n">
        <v>0.25</v>
      </c>
      <c r="C498" s="71" t="n">
        <v>40288</v>
      </c>
      <c r="D498" s="72" t="n">
        <v>0</v>
      </c>
      <c r="E498" s="71" t="n">
        <v>34820</v>
      </c>
      <c r="F498" s="72" t="n">
        <v>6.01</v>
      </c>
    </row>
    <row r="499">
      <c r="A499" s="71" t="n">
        <v>40289</v>
      </c>
      <c r="B499" s="72" t="n">
        <v>0.25</v>
      </c>
      <c r="C499" s="71" t="n">
        <v>40289</v>
      </c>
      <c r="D499" s="72" t="n">
        <v>0</v>
      </c>
      <c r="E499" s="71" t="n">
        <v>34851</v>
      </c>
      <c r="F499" s="72" t="n">
        <v>6</v>
      </c>
    </row>
    <row r="500">
      <c r="A500" s="71" t="n">
        <v>40290</v>
      </c>
      <c r="B500" s="72" t="n">
        <v>0.25</v>
      </c>
      <c r="C500" s="71" t="n">
        <v>40290</v>
      </c>
      <c r="D500" s="72" t="n">
        <v>0</v>
      </c>
      <c r="E500" s="71" t="n">
        <v>34881</v>
      </c>
      <c r="F500" s="72" t="n">
        <v>5.85</v>
      </c>
    </row>
    <row r="501">
      <c r="A501" s="71" t="n">
        <v>40291</v>
      </c>
      <c r="B501" s="72" t="n">
        <v>0.25</v>
      </c>
      <c r="C501" s="71" t="n">
        <v>40291</v>
      </c>
      <c r="D501" s="72" t="n">
        <v>0</v>
      </c>
      <c r="E501" s="71" t="n">
        <v>34912</v>
      </c>
      <c r="F501" s="72" t="n">
        <v>5.74</v>
      </c>
    </row>
    <row r="502">
      <c r="A502" s="71" t="n">
        <v>40292</v>
      </c>
      <c r="B502" s="72" t="n">
        <v>0.25</v>
      </c>
      <c r="C502" s="71" t="n">
        <v>40292</v>
      </c>
      <c r="D502" s="72" t="n">
        <v>0</v>
      </c>
      <c r="E502" s="71" t="n">
        <v>34943</v>
      </c>
      <c r="F502" s="72" t="n">
        <v>5.8</v>
      </c>
    </row>
    <row r="503">
      <c r="A503" s="71" t="n">
        <v>40293</v>
      </c>
      <c r="B503" s="72" t="n">
        <v>0.25</v>
      </c>
      <c r="C503" s="71" t="n">
        <v>40293</v>
      </c>
      <c r="D503" s="72" t="n">
        <v>0</v>
      </c>
      <c r="E503" s="71" t="n">
        <v>34973</v>
      </c>
      <c r="F503" s="72" t="n">
        <v>5.76</v>
      </c>
    </row>
    <row r="504">
      <c r="A504" s="71" t="n">
        <v>40294</v>
      </c>
      <c r="B504" s="72" t="n">
        <v>0.25</v>
      </c>
      <c r="C504" s="71" t="n">
        <v>40294</v>
      </c>
      <c r="D504" s="72" t="n">
        <v>0</v>
      </c>
      <c r="E504" s="71" t="n">
        <v>35004</v>
      </c>
      <c r="F504" s="72" t="n">
        <v>5.8</v>
      </c>
    </row>
    <row r="505">
      <c r="A505" s="71" t="n">
        <v>40295</v>
      </c>
      <c r="B505" s="72" t="n">
        <v>0.25</v>
      </c>
      <c r="C505" s="71" t="n">
        <v>40295</v>
      </c>
      <c r="D505" s="72" t="n">
        <v>0</v>
      </c>
      <c r="E505" s="71" t="n">
        <v>35034</v>
      </c>
      <c r="F505" s="72" t="n">
        <v>5.6</v>
      </c>
    </row>
    <row r="506">
      <c r="A506" s="71" t="n">
        <v>40296</v>
      </c>
      <c r="B506" s="72" t="n">
        <v>0.25</v>
      </c>
      <c r="C506" s="71" t="n">
        <v>40296</v>
      </c>
      <c r="D506" s="72" t="n">
        <v>0</v>
      </c>
      <c r="E506" s="71" t="n">
        <v>35065</v>
      </c>
      <c r="F506" s="72" t="n">
        <v>5.56</v>
      </c>
    </row>
    <row r="507">
      <c r="A507" s="71" t="n">
        <v>40297</v>
      </c>
      <c r="B507" s="72" t="n">
        <v>0.25</v>
      </c>
      <c r="C507" s="71" t="n">
        <v>40297</v>
      </c>
      <c r="D507" s="72" t="n">
        <v>0</v>
      </c>
      <c r="E507" s="71" t="n">
        <v>35096</v>
      </c>
      <c r="F507" s="72" t="n">
        <v>5.22</v>
      </c>
    </row>
    <row r="508">
      <c r="A508" s="71" t="n">
        <v>40298</v>
      </c>
      <c r="B508" s="72" t="n">
        <v>0.25</v>
      </c>
      <c r="C508" s="71" t="n">
        <v>40298</v>
      </c>
      <c r="D508" s="72" t="n">
        <v>0</v>
      </c>
      <c r="E508" s="71" t="n">
        <v>35125</v>
      </c>
      <c r="F508" s="72" t="n">
        <v>5.31</v>
      </c>
    </row>
    <row r="509">
      <c r="A509" s="71" t="n">
        <v>40299</v>
      </c>
      <c r="B509" s="72" t="n">
        <v>0.25</v>
      </c>
      <c r="C509" s="71" t="n">
        <v>40299</v>
      </c>
      <c r="D509" s="72" t="n">
        <v>0</v>
      </c>
      <c r="E509" s="71" t="n">
        <v>35156</v>
      </c>
      <c r="F509" s="72" t="n">
        <v>5.22</v>
      </c>
    </row>
    <row r="510">
      <c r="A510" s="71" t="n">
        <v>40300</v>
      </c>
      <c r="B510" s="72" t="n">
        <v>0.25</v>
      </c>
      <c r="C510" s="71" t="n">
        <v>40300</v>
      </c>
      <c r="D510" s="72" t="n">
        <v>0</v>
      </c>
      <c r="E510" s="71" t="n">
        <v>35186</v>
      </c>
      <c r="F510" s="72" t="n">
        <v>5.24</v>
      </c>
    </row>
    <row r="511">
      <c r="A511" s="71" t="n">
        <v>40301</v>
      </c>
      <c r="B511" s="72" t="n">
        <v>0.25</v>
      </c>
      <c r="C511" s="71" t="n">
        <v>40301</v>
      </c>
      <c r="D511" s="72" t="n">
        <v>0</v>
      </c>
      <c r="E511" s="71" t="n">
        <v>35217</v>
      </c>
      <c r="F511" s="72" t="n">
        <v>5.27</v>
      </c>
    </row>
    <row r="512">
      <c r="A512" s="71" t="n">
        <v>40302</v>
      </c>
      <c r="B512" s="72" t="n">
        <v>0.25</v>
      </c>
      <c r="C512" s="71" t="n">
        <v>40302</v>
      </c>
      <c r="D512" s="72" t="n">
        <v>0</v>
      </c>
      <c r="E512" s="71" t="n">
        <v>35247</v>
      </c>
      <c r="F512" s="72" t="n">
        <v>5.4</v>
      </c>
    </row>
    <row r="513">
      <c r="A513" s="71" t="n">
        <v>40303</v>
      </c>
      <c r="B513" s="72" t="n">
        <v>0.25</v>
      </c>
      <c r="C513" s="71" t="n">
        <v>40303</v>
      </c>
      <c r="D513" s="72" t="n">
        <v>0</v>
      </c>
      <c r="E513" s="71" t="n">
        <v>35278</v>
      </c>
      <c r="F513" s="72" t="n">
        <v>5.22</v>
      </c>
    </row>
    <row r="514">
      <c r="A514" s="71" t="n">
        <v>40304</v>
      </c>
      <c r="B514" s="72" t="n">
        <v>0.25</v>
      </c>
      <c r="C514" s="71" t="n">
        <v>40304</v>
      </c>
      <c r="D514" s="72" t="n">
        <v>0</v>
      </c>
      <c r="E514" s="71" t="n">
        <v>35309</v>
      </c>
      <c r="F514" s="72" t="n">
        <v>5.3</v>
      </c>
    </row>
    <row r="515">
      <c r="A515" s="71" t="n">
        <v>40305</v>
      </c>
      <c r="B515" s="72" t="n">
        <v>0.25</v>
      </c>
      <c r="C515" s="71" t="n">
        <v>40305</v>
      </c>
      <c r="D515" s="72" t="n">
        <v>0</v>
      </c>
      <c r="E515" s="71" t="n">
        <v>35339</v>
      </c>
      <c r="F515" s="72" t="n">
        <v>5.24</v>
      </c>
    </row>
    <row r="516">
      <c r="A516" s="71" t="n">
        <v>40306</v>
      </c>
      <c r="B516" s="72" t="n">
        <v>0.25</v>
      </c>
      <c r="C516" s="71" t="n">
        <v>40306</v>
      </c>
      <c r="D516" s="72" t="n">
        <v>0</v>
      </c>
      <c r="E516" s="71" t="n">
        <v>35370</v>
      </c>
      <c r="F516" s="72" t="n">
        <v>5.31</v>
      </c>
    </row>
    <row r="517">
      <c r="A517" s="71" t="n">
        <v>40307</v>
      </c>
      <c r="B517" s="72" t="n">
        <v>0.25</v>
      </c>
      <c r="C517" s="71" t="n">
        <v>40307</v>
      </c>
      <c r="D517" s="72" t="n">
        <v>0</v>
      </c>
      <c r="E517" s="71" t="n">
        <v>35400</v>
      </c>
      <c r="F517" s="72" t="n">
        <v>5.29</v>
      </c>
    </row>
    <row r="518">
      <c r="A518" s="71" t="n">
        <v>40308</v>
      </c>
      <c r="B518" s="72" t="n">
        <v>0.25</v>
      </c>
      <c r="C518" s="71" t="n">
        <v>40308</v>
      </c>
      <c r="D518" s="72" t="n">
        <v>0</v>
      </c>
      <c r="E518" s="71" t="n">
        <v>35431</v>
      </c>
      <c r="F518" s="72" t="n">
        <v>5.25</v>
      </c>
    </row>
    <row r="519">
      <c r="A519" s="71" t="n">
        <v>40309</v>
      </c>
      <c r="B519" s="72" t="n">
        <v>0.25</v>
      </c>
      <c r="C519" s="71" t="n">
        <v>40309</v>
      </c>
      <c r="D519" s="72" t="n">
        <v>0</v>
      </c>
      <c r="E519" s="71" t="n">
        <v>35462</v>
      </c>
      <c r="F519" s="72" t="n">
        <v>5.19</v>
      </c>
    </row>
    <row r="520">
      <c r="A520" s="71" t="n">
        <v>40310</v>
      </c>
      <c r="B520" s="72" t="n">
        <v>0.25</v>
      </c>
      <c r="C520" s="71" t="n">
        <v>40310</v>
      </c>
      <c r="D520" s="72" t="n">
        <v>0</v>
      </c>
      <c r="E520" s="71" t="n">
        <v>35490</v>
      </c>
      <c r="F520" s="72" t="n">
        <v>5.39</v>
      </c>
    </row>
    <row r="521">
      <c r="A521" s="71" t="n">
        <v>40311</v>
      </c>
      <c r="B521" s="72" t="n">
        <v>0.25</v>
      </c>
      <c r="C521" s="71" t="n">
        <v>40311</v>
      </c>
      <c r="D521" s="72" t="n">
        <v>0</v>
      </c>
      <c r="E521" s="71" t="n">
        <v>35521</v>
      </c>
      <c r="F521" s="72" t="n">
        <v>5.51</v>
      </c>
    </row>
    <row r="522">
      <c r="A522" s="71" t="n">
        <v>40312</v>
      </c>
      <c r="B522" s="72" t="n">
        <v>0.25</v>
      </c>
      <c r="C522" s="71" t="n">
        <v>40312</v>
      </c>
      <c r="D522" s="72" t="n">
        <v>0</v>
      </c>
      <c r="E522" s="71" t="n">
        <v>35551</v>
      </c>
      <c r="F522" s="72" t="n">
        <v>5.5</v>
      </c>
    </row>
    <row r="523">
      <c r="A523" s="71" t="n">
        <v>40313</v>
      </c>
      <c r="B523" s="72" t="n">
        <v>0.25</v>
      </c>
      <c r="C523" s="71" t="n">
        <v>40313</v>
      </c>
      <c r="D523" s="72" t="n">
        <v>0</v>
      </c>
      <c r="E523" s="71" t="n">
        <v>35582</v>
      </c>
      <c r="F523" s="72" t="n">
        <v>5.56</v>
      </c>
    </row>
    <row r="524">
      <c r="A524" s="71" t="n">
        <v>40314</v>
      </c>
      <c r="B524" s="72" t="n">
        <v>0.25</v>
      </c>
      <c r="C524" s="71" t="n">
        <v>40314</v>
      </c>
      <c r="D524" s="72" t="n">
        <v>0</v>
      </c>
      <c r="E524" s="71" t="n">
        <v>35612</v>
      </c>
      <c r="F524" s="72" t="n">
        <v>5.52</v>
      </c>
    </row>
    <row r="525">
      <c r="A525" s="71" t="n">
        <v>40315</v>
      </c>
      <c r="B525" s="72" t="n">
        <v>0.25</v>
      </c>
      <c r="C525" s="71" t="n">
        <v>40315</v>
      </c>
      <c r="D525" s="72" t="n">
        <v>0</v>
      </c>
      <c r="E525" s="71" t="n">
        <v>35643</v>
      </c>
      <c r="F525" s="72" t="n">
        <v>5.54</v>
      </c>
    </row>
    <row r="526">
      <c r="A526" s="71" t="n">
        <v>40316</v>
      </c>
      <c r="B526" s="72" t="n">
        <v>0.25</v>
      </c>
      <c r="C526" s="71" t="n">
        <v>40316</v>
      </c>
      <c r="D526" s="72" t="n">
        <v>0</v>
      </c>
      <c r="E526" s="71" t="n">
        <v>35674</v>
      </c>
      <c r="F526" s="72" t="n">
        <v>5.54</v>
      </c>
    </row>
    <row r="527">
      <c r="A527" s="71" t="n">
        <v>40317</v>
      </c>
      <c r="B527" s="72" t="n">
        <v>0.25</v>
      </c>
      <c r="C527" s="71" t="n">
        <v>40317</v>
      </c>
      <c r="D527" s="72" t="n">
        <v>0</v>
      </c>
      <c r="E527" s="71" t="n">
        <v>35704</v>
      </c>
      <c r="F527" s="72" t="n">
        <v>5.5</v>
      </c>
    </row>
    <row r="528">
      <c r="A528" s="71" t="n">
        <v>40318</v>
      </c>
      <c r="B528" s="72" t="n">
        <v>0.25</v>
      </c>
      <c r="C528" s="71" t="n">
        <v>40318</v>
      </c>
      <c r="D528" s="72" t="n">
        <v>0</v>
      </c>
      <c r="E528" s="71" t="n">
        <v>35735</v>
      </c>
      <c r="F528" s="72" t="n">
        <v>5.52</v>
      </c>
    </row>
    <row r="529">
      <c r="A529" s="71" t="n">
        <v>40319</v>
      </c>
      <c r="B529" s="72" t="n">
        <v>0.25</v>
      </c>
      <c r="C529" s="71" t="n">
        <v>40319</v>
      </c>
      <c r="D529" s="72" t="n">
        <v>0</v>
      </c>
      <c r="E529" s="71" t="n">
        <v>35765</v>
      </c>
      <c r="F529" s="72" t="n">
        <v>5.5</v>
      </c>
    </row>
    <row r="530">
      <c r="A530" s="71" t="n">
        <v>40320</v>
      </c>
      <c r="B530" s="72" t="n">
        <v>0.25</v>
      </c>
      <c r="C530" s="71" t="n">
        <v>40320</v>
      </c>
      <c r="D530" s="72" t="n">
        <v>0</v>
      </c>
      <c r="E530" s="71" t="n">
        <v>35796</v>
      </c>
      <c r="F530" s="72" t="n">
        <v>5.56</v>
      </c>
    </row>
    <row r="531">
      <c r="A531" s="71" t="n">
        <v>40321</v>
      </c>
      <c r="B531" s="72" t="n">
        <v>0.25</v>
      </c>
      <c r="C531" s="71" t="n">
        <v>40321</v>
      </c>
      <c r="D531" s="72" t="n">
        <v>0</v>
      </c>
      <c r="E531" s="71" t="n">
        <v>35827</v>
      </c>
      <c r="F531" s="72" t="n">
        <v>5.51</v>
      </c>
    </row>
    <row r="532">
      <c r="A532" s="71" t="n">
        <v>40322</v>
      </c>
      <c r="B532" s="72" t="n">
        <v>0.25</v>
      </c>
      <c r="C532" s="71" t="n">
        <v>40322</v>
      </c>
      <c r="D532" s="72" t="n">
        <v>0</v>
      </c>
      <c r="E532" s="71" t="n">
        <v>35855</v>
      </c>
      <c r="F532" s="72" t="n">
        <v>5.49</v>
      </c>
    </row>
    <row r="533">
      <c r="A533" s="71" t="n">
        <v>40323</v>
      </c>
      <c r="B533" s="72" t="n">
        <v>0.25</v>
      </c>
      <c r="C533" s="71" t="n">
        <v>40323</v>
      </c>
      <c r="D533" s="72" t="n">
        <v>0</v>
      </c>
      <c r="E533" s="71" t="n">
        <v>35886</v>
      </c>
      <c r="F533" s="72" t="n">
        <v>5.45</v>
      </c>
    </row>
    <row r="534">
      <c r="A534" s="71" t="n">
        <v>40324</v>
      </c>
      <c r="B534" s="72" t="n">
        <v>0.25</v>
      </c>
      <c r="C534" s="71" t="n">
        <v>40324</v>
      </c>
      <c r="D534" s="72" t="n">
        <v>0</v>
      </c>
      <c r="E534" s="71" t="n">
        <v>35916</v>
      </c>
      <c r="F534" s="72" t="n">
        <v>5.49</v>
      </c>
    </row>
    <row r="535">
      <c r="A535" s="71" t="n">
        <v>40325</v>
      </c>
      <c r="B535" s="72" t="n">
        <v>0.25</v>
      </c>
      <c r="C535" s="71" t="n">
        <v>40325</v>
      </c>
      <c r="D535" s="72" t="n">
        <v>0</v>
      </c>
      <c r="E535" s="71" t="n">
        <v>35947</v>
      </c>
      <c r="F535" s="72" t="n">
        <v>5.56</v>
      </c>
    </row>
    <row r="536">
      <c r="A536" s="71" t="n">
        <v>40326</v>
      </c>
      <c r="B536" s="72" t="n">
        <v>0.25</v>
      </c>
      <c r="C536" s="71" t="n">
        <v>40326</v>
      </c>
      <c r="D536" s="72" t="n">
        <v>0</v>
      </c>
      <c r="E536" s="71" t="n">
        <v>35977</v>
      </c>
      <c r="F536" s="72" t="n">
        <v>5.54</v>
      </c>
    </row>
    <row r="537">
      <c r="A537" s="71" t="n">
        <v>40327</v>
      </c>
      <c r="B537" s="72" t="n">
        <v>0.25</v>
      </c>
      <c r="C537" s="71" t="n">
        <v>40327</v>
      </c>
      <c r="D537" s="72" t="n">
        <v>0</v>
      </c>
      <c r="E537" s="71" t="n">
        <v>36008</v>
      </c>
      <c r="F537" s="72" t="n">
        <v>5.55</v>
      </c>
    </row>
    <row r="538">
      <c r="A538" s="71" t="n">
        <v>40328</v>
      </c>
      <c r="B538" s="72" t="n">
        <v>0.25</v>
      </c>
      <c r="C538" s="71" t="n">
        <v>40328</v>
      </c>
      <c r="D538" s="72" t="n">
        <v>0</v>
      </c>
      <c r="E538" s="71" t="n">
        <v>36039</v>
      </c>
      <c r="F538" s="72" t="n">
        <v>5.51</v>
      </c>
    </row>
    <row r="539">
      <c r="A539" s="71" t="n">
        <v>40329</v>
      </c>
      <c r="B539" s="72" t="n">
        <v>0.25</v>
      </c>
      <c r="C539" s="71" t="n">
        <v>40329</v>
      </c>
      <c r="D539" s="72" t="n">
        <v>0</v>
      </c>
      <c r="E539" s="71" t="n">
        <v>36069</v>
      </c>
      <c r="F539" s="72" t="n">
        <v>5.07</v>
      </c>
    </row>
    <row r="540">
      <c r="A540" s="71" t="n">
        <v>40330</v>
      </c>
      <c r="B540" s="72" t="n">
        <v>0.25</v>
      </c>
      <c r="C540" s="71" t="n">
        <v>40330</v>
      </c>
      <c r="D540" s="72" t="n">
        <v>0</v>
      </c>
      <c r="E540" s="71" t="n">
        <v>36100</v>
      </c>
      <c r="F540" s="72" t="n">
        <v>4.83</v>
      </c>
    </row>
    <row r="541">
      <c r="A541" s="71" t="n">
        <v>40331</v>
      </c>
      <c r="B541" s="72" t="n">
        <v>0.25</v>
      </c>
      <c r="C541" s="71" t="n">
        <v>40331</v>
      </c>
      <c r="D541" s="72" t="n">
        <v>0</v>
      </c>
      <c r="E541" s="71" t="n">
        <v>36130</v>
      </c>
      <c r="F541" s="72" t="n">
        <v>4.68</v>
      </c>
    </row>
    <row r="542">
      <c r="A542" s="71" t="n">
        <v>40332</v>
      </c>
      <c r="B542" s="72" t="n">
        <v>0.25</v>
      </c>
      <c r="C542" s="71" t="n">
        <v>40332</v>
      </c>
      <c r="D542" s="72" t="n">
        <v>0</v>
      </c>
      <c r="E542" s="71" t="n">
        <v>36161</v>
      </c>
      <c r="F542" s="72" t="n">
        <v>4.63</v>
      </c>
    </row>
    <row r="543">
      <c r="A543" s="71" t="n">
        <v>40333</v>
      </c>
      <c r="B543" s="72" t="n">
        <v>0.25</v>
      </c>
      <c r="C543" s="71" t="n">
        <v>40333</v>
      </c>
      <c r="D543" s="72" t="n">
        <v>0</v>
      </c>
      <c r="E543" s="71" t="n">
        <v>36192</v>
      </c>
      <c r="F543" s="72" t="n">
        <v>4.76</v>
      </c>
    </row>
    <row r="544">
      <c r="A544" s="71" t="n">
        <v>40334</v>
      </c>
      <c r="B544" s="72" t="n">
        <v>0.25</v>
      </c>
      <c r="C544" s="71" t="n">
        <v>40334</v>
      </c>
      <c r="D544" s="72" t="n">
        <v>0</v>
      </c>
      <c r="E544" s="71" t="n">
        <v>36220</v>
      </c>
      <c r="F544" s="72" t="n">
        <v>4.81</v>
      </c>
    </row>
    <row r="545">
      <c r="A545" s="71" t="n">
        <v>40335</v>
      </c>
      <c r="B545" s="72" t="n">
        <v>0.25</v>
      </c>
      <c r="C545" s="71" t="n">
        <v>40335</v>
      </c>
      <c r="D545" s="72" t="n">
        <v>0</v>
      </c>
      <c r="E545" s="71" t="n">
        <v>36251</v>
      </c>
      <c r="F545" s="72" t="n">
        <v>4.74</v>
      </c>
    </row>
    <row r="546">
      <c r="A546" s="71" t="n">
        <v>40336</v>
      </c>
      <c r="B546" s="72" t="n">
        <v>0.25</v>
      </c>
      <c r="C546" s="71" t="n">
        <v>40336</v>
      </c>
      <c r="D546" s="72" t="n">
        <v>0</v>
      </c>
      <c r="E546" s="71" t="n">
        <v>36281</v>
      </c>
      <c r="F546" s="72" t="n">
        <v>4.74</v>
      </c>
    </row>
    <row r="547">
      <c r="A547" s="71" t="n">
        <v>40337</v>
      </c>
      <c r="B547" s="72" t="n">
        <v>0.25</v>
      </c>
      <c r="C547" s="71" t="n">
        <v>40337</v>
      </c>
      <c r="D547" s="72" t="n">
        <v>0</v>
      </c>
      <c r="E547" s="71" t="n">
        <v>36312</v>
      </c>
      <c r="F547" s="72" t="n">
        <v>4.76</v>
      </c>
    </row>
    <row r="548">
      <c r="A548" s="71" t="n">
        <v>40338</v>
      </c>
      <c r="B548" s="72" t="n">
        <v>0.25</v>
      </c>
      <c r="C548" s="71" t="n">
        <v>40338</v>
      </c>
      <c r="D548" s="72" t="n">
        <v>0</v>
      </c>
      <c r="E548" s="71" t="n">
        <v>36342</v>
      </c>
      <c r="F548" s="72" t="n">
        <v>4.99</v>
      </c>
    </row>
    <row r="549">
      <c r="A549" s="71" t="n">
        <v>40339</v>
      </c>
      <c r="B549" s="72" t="n">
        <v>0.25</v>
      </c>
      <c r="C549" s="71" t="n">
        <v>40339</v>
      </c>
      <c r="D549" s="72" t="n">
        <v>0</v>
      </c>
      <c r="E549" s="71" t="n">
        <v>36373</v>
      </c>
      <c r="F549" s="72" t="n">
        <v>5.07</v>
      </c>
    </row>
    <row r="550">
      <c r="A550" s="71" t="n">
        <v>40340</v>
      </c>
      <c r="B550" s="72" t="n">
        <v>0.25</v>
      </c>
      <c r="C550" s="71" t="n">
        <v>40340</v>
      </c>
      <c r="D550" s="72" t="n">
        <v>0</v>
      </c>
      <c r="E550" s="71" t="n">
        <v>36404</v>
      </c>
      <c r="F550" s="72" t="n">
        <v>5.22</v>
      </c>
    </row>
    <row r="551">
      <c r="A551" s="71" t="n">
        <v>40341</v>
      </c>
      <c r="B551" s="72" t="n">
        <v>0.25</v>
      </c>
      <c r="C551" s="71" t="n">
        <v>40341</v>
      </c>
      <c r="D551" s="72" t="n">
        <v>0</v>
      </c>
      <c r="E551" s="71" t="n">
        <v>36434</v>
      </c>
      <c r="F551" s="72" t="n">
        <v>5.2</v>
      </c>
    </row>
    <row r="552">
      <c r="A552" s="71" t="n">
        <v>40342</v>
      </c>
      <c r="B552" s="72" t="n">
        <v>0.25</v>
      </c>
      <c r="C552" s="71" t="n">
        <v>40342</v>
      </c>
      <c r="D552" s="72" t="n">
        <v>0</v>
      </c>
      <c r="E552" s="71" t="n">
        <v>36465</v>
      </c>
      <c r="F552" s="72" t="n">
        <v>5.42</v>
      </c>
    </row>
    <row r="553">
      <c r="A553" s="71" t="n">
        <v>40343</v>
      </c>
      <c r="B553" s="72" t="n">
        <v>0.25</v>
      </c>
      <c r="C553" s="71" t="n">
        <v>40343</v>
      </c>
      <c r="D553" s="72" t="n">
        <v>0</v>
      </c>
      <c r="E553" s="71" t="n">
        <v>36495</v>
      </c>
      <c r="F553" s="72" t="n">
        <v>5.3</v>
      </c>
    </row>
    <row r="554">
      <c r="A554" s="71" t="n">
        <v>40344</v>
      </c>
      <c r="B554" s="72" t="n">
        <v>0.25</v>
      </c>
      <c r="C554" s="71" t="n">
        <v>40344</v>
      </c>
      <c r="D554" s="72" t="n">
        <v>0</v>
      </c>
      <c r="E554" s="71" t="n">
        <v>36526</v>
      </c>
      <c r="F554" s="72" t="n">
        <v>5.45</v>
      </c>
    </row>
    <row r="555">
      <c r="A555" s="71" t="n">
        <v>40345</v>
      </c>
      <c r="B555" s="72" t="n">
        <v>0.25</v>
      </c>
      <c r="C555" s="71" t="n">
        <v>40345</v>
      </c>
      <c r="D555" s="72" t="n">
        <v>0</v>
      </c>
      <c r="E555" s="71" t="n">
        <v>36557</v>
      </c>
      <c r="F555" s="72" t="n">
        <v>5.73</v>
      </c>
    </row>
    <row r="556">
      <c r="A556" s="71" t="n">
        <v>40346</v>
      </c>
      <c r="B556" s="72" t="n">
        <v>0.25</v>
      </c>
      <c r="C556" s="71" t="n">
        <v>40346</v>
      </c>
      <c r="D556" s="72" t="n">
        <v>0</v>
      </c>
      <c r="E556" s="71" t="n">
        <v>36586</v>
      </c>
      <c r="F556" s="72" t="n">
        <v>5.85</v>
      </c>
    </row>
    <row r="557">
      <c r="A557" s="71" t="n">
        <v>40347</v>
      </c>
      <c r="B557" s="72" t="n">
        <v>0.25</v>
      </c>
      <c r="C557" s="71" t="n">
        <v>40347</v>
      </c>
      <c r="D557" s="72" t="n">
        <v>0</v>
      </c>
      <c r="E557" s="71" t="n">
        <v>36617</v>
      </c>
      <c r="F557" s="72" t="n">
        <v>6.02</v>
      </c>
    </row>
    <row r="558">
      <c r="A558" s="71" t="n">
        <v>40348</v>
      </c>
      <c r="B558" s="72" t="n">
        <v>0.25</v>
      </c>
      <c r="C558" s="71" t="n">
        <v>40348</v>
      </c>
      <c r="D558" s="72" t="n">
        <v>0</v>
      </c>
      <c r="E558" s="71" t="n">
        <v>36647</v>
      </c>
      <c r="F558" s="72" t="n">
        <v>6.27</v>
      </c>
    </row>
    <row r="559">
      <c r="A559" s="71" t="n">
        <v>40349</v>
      </c>
      <c r="B559" s="72" t="n">
        <v>0.25</v>
      </c>
      <c r="C559" s="71" t="n">
        <v>40349</v>
      </c>
      <c r="D559" s="72" t="n">
        <v>0</v>
      </c>
      <c r="E559" s="71" t="n">
        <v>36678</v>
      </c>
      <c r="F559" s="72" t="n">
        <v>6.53</v>
      </c>
    </row>
    <row r="560">
      <c r="A560" s="71" t="n">
        <v>40350</v>
      </c>
      <c r="B560" s="72" t="n">
        <v>0.25</v>
      </c>
      <c r="C560" s="71" t="n">
        <v>40350</v>
      </c>
      <c r="D560" s="72" t="n">
        <v>0</v>
      </c>
      <c r="E560" s="71" t="n">
        <v>36708</v>
      </c>
      <c r="F560" s="72" t="n">
        <v>6.54</v>
      </c>
    </row>
    <row r="561">
      <c r="A561" s="71" t="n">
        <v>40351</v>
      </c>
      <c r="B561" s="72" t="n">
        <v>0.25</v>
      </c>
      <c r="C561" s="71" t="n">
        <v>40351</v>
      </c>
      <c r="D561" s="72" t="n">
        <v>0</v>
      </c>
      <c r="E561" s="71" t="n">
        <v>36739</v>
      </c>
      <c r="F561" s="72" t="n">
        <v>6.5</v>
      </c>
    </row>
    <row r="562">
      <c r="A562" s="71" t="n">
        <v>40352</v>
      </c>
      <c r="B562" s="72" t="n">
        <v>0.25</v>
      </c>
      <c r="C562" s="71" t="n">
        <v>40352</v>
      </c>
      <c r="D562" s="72" t="n">
        <v>0</v>
      </c>
      <c r="E562" s="71" t="n">
        <v>36770</v>
      </c>
      <c r="F562" s="72" t="n">
        <v>6.52</v>
      </c>
    </row>
    <row r="563">
      <c r="A563" s="71" t="n">
        <v>40353</v>
      </c>
      <c r="B563" s="72" t="n">
        <v>0.25</v>
      </c>
      <c r="C563" s="71" t="n">
        <v>40353</v>
      </c>
      <c r="D563" s="72" t="n">
        <v>0</v>
      </c>
      <c r="E563" s="71" t="n">
        <v>36800</v>
      </c>
      <c r="F563" s="72" t="n">
        <v>6.51</v>
      </c>
    </row>
    <row r="564">
      <c r="A564" s="71" t="n">
        <v>40354</v>
      </c>
      <c r="B564" s="72" t="n">
        <v>0.25</v>
      </c>
      <c r="C564" s="71" t="n">
        <v>40354</v>
      </c>
      <c r="D564" s="72" t="n">
        <v>0</v>
      </c>
      <c r="E564" s="71" t="n">
        <v>36831</v>
      </c>
      <c r="F564" s="72" t="n">
        <v>6.51</v>
      </c>
    </row>
    <row r="565">
      <c r="A565" s="71" t="n">
        <v>40355</v>
      </c>
      <c r="B565" s="72" t="n">
        <v>0.25</v>
      </c>
      <c r="C565" s="71" t="n">
        <v>40355</v>
      </c>
      <c r="D565" s="72" t="n">
        <v>0</v>
      </c>
      <c r="E565" s="71" t="n">
        <v>36861</v>
      </c>
      <c r="F565" s="72" t="n">
        <v>6.4</v>
      </c>
    </row>
    <row r="566">
      <c r="A566" s="71" t="n">
        <v>40356</v>
      </c>
      <c r="B566" s="72" t="n">
        <v>0.25</v>
      </c>
      <c r="C566" s="71" t="n">
        <v>40356</v>
      </c>
      <c r="D566" s="72" t="n">
        <v>0</v>
      </c>
      <c r="E566" s="71" t="n">
        <v>36892</v>
      </c>
      <c r="F566" s="72" t="n">
        <v>5.98</v>
      </c>
    </row>
    <row r="567">
      <c r="A567" s="71" t="n">
        <v>40357</v>
      </c>
      <c r="B567" s="72" t="n">
        <v>0.25</v>
      </c>
      <c r="C567" s="71" t="n">
        <v>40357</v>
      </c>
      <c r="D567" s="72" t="n">
        <v>0</v>
      </c>
      <c r="E567" s="71" t="n">
        <v>36923</v>
      </c>
      <c r="F567" s="72" t="n">
        <v>5.49</v>
      </c>
    </row>
    <row r="568">
      <c r="A568" s="71" t="n">
        <v>40358</v>
      </c>
      <c r="B568" s="72" t="n">
        <v>0.25</v>
      </c>
      <c r="C568" s="71" t="n">
        <v>40358</v>
      </c>
      <c r="D568" s="72" t="n">
        <v>0</v>
      </c>
      <c r="E568" s="71" t="n">
        <v>36951</v>
      </c>
      <c r="F568" s="72" t="n">
        <v>5.31</v>
      </c>
    </row>
    <row r="569">
      <c r="A569" s="71" t="n">
        <v>40359</v>
      </c>
      <c r="B569" s="72" t="n">
        <v>0.25</v>
      </c>
      <c r="C569" s="71" t="n">
        <v>40359</v>
      </c>
      <c r="D569" s="72" t="n">
        <v>0</v>
      </c>
      <c r="E569" s="71" t="n">
        <v>36982</v>
      </c>
      <c r="F569" s="72" t="n">
        <v>4.8</v>
      </c>
    </row>
    <row r="570">
      <c r="A570" s="71" t="n">
        <v>40360</v>
      </c>
      <c r="B570" s="72" t="n">
        <v>0.25</v>
      </c>
      <c r="C570" s="71" t="n">
        <v>40360</v>
      </c>
      <c r="D570" s="72" t="n">
        <v>0</v>
      </c>
      <c r="E570" s="71" t="n">
        <v>37012</v>
      </c>
      <c r="F570" s="72" t="n">
        <v>4.21</v>
      </c>
    </row>
    <row r="571">
      <c r="A571" s="71" t="n">
        <v>40361</v>
      </c>
      <c r="B571" s="72" t="n">
        <v>0.25</v>
      </c>
      <c r="C571" s="71" t="n">
        <v>40361</v>
      </c>
      <c r="D571" s="72" t="n">
        <v>0</v>
      </c>
      <c r="E571" s="71" t="n">
        <v>37043</v>
      </c>
      <c r="F571" s="72" t="n">
        <v>3.97</v>
      </c>
    </row>
    <row r="572">
      <c r="A572" s="71" t="n">
        <v>40362</v>
      </c>
      <c r="B572" s="72" t="n">
        <v>0.25</v>
      </c>
      <c r="C572" s="71" t="n">
        <v>40362</v>
      </c>
      <c r="D572" s="72" t="n">
        <v>0</v>
      </c>
      <c r="E572" s="71" t="n">
        <v>37073</v>
      </c>
      <c r="F572" s="72" t="n">
        <v>3.77</v>
      </c>
    </row>
    <row r="573">
      <c r="A573" s="71" t="n">
        <v>40363</v>
      </c>
      <c r="B573" s="72" t="n">
        <v>0.25</v>
      </c>
      <c r="C573" s="71" t="n">
        <v>40363</v>
      </c>
      <c r="D573" s="72" t="n">
        <v>0</v>
      </c>
      <c r="E573" s="71" t="n">
        <v>37104</v>
      </c>
      <c r="F573" s="72" t="n">
        <v>3.65</v>
      </c>
    </row>
    <row r="574">
      <c r="A574" s="71" t="n">
        <v>40364</v>
      </c>
      <c r="B574" s="72" t="n">
        <v>0.25</v>
      </c>
      <c r="C574" s="71" t="n">
        <v>40364</v>
      </c>
      <c r="D574" s="72" t="n">
        <v>0</v>
      </c>
      <c r="E574" s="71" t="n">
        <v>37135</v>
      </c>
      <c r="F574" s="72" t="n">
        <v>3.07</v>
      </c>
    </row>
    <row r="575">
      <c r="A575" s="71" t="n">
        <v>40365</v>
      </c>
      <c r="B575" s="72" t="n">
        <v>0.25</v>
      </c>
      <c r="C575" s="71" t="n">
        <v>40365</v>
      </c>
      <c r="D575" s="72" t="n">
        <v>0</v>
      </c>
      <c r="E575" s="71" t="n">
        <v>37165</v>
      </c>
      <c r="F575" s="72" t="n">
        <v>2.49</v>
      </c>
    </row>
    <row r="576">
      <c r="A576" s="71" t="n">
        <v>40366</v>
      </c>
      <c r="B576" s="72" t="n">
        <v>0.25</v>
      </c>
      <c r="C576" s="71" t="n">
        <v>40366</v>
      </c>
      <c r="D576" s="72" t="n">
        <v>0</v>
      </c>
      <c r="E576" s="71" t="n">
        <v>37196</v>
      </c>
      <c r="F576" s="72" t="n">
        <v>2.09</v>
      </c>
    </row>
    <row r="577">
      <c r="A577" s="71" t="n">
        <v>40367</v>
      </c>
      <c r="B577" s="72" t="n">
        <v>0.25</v>
      </c>
      <c r="C577" s="71" t="n">
        <v>40367</v>
      </c>
      <c r="D577" s="72" t="n">
        <v>0</v>
      </c>
      <c r="E577" s="71" t="n">
        <v>37226</v>
      </c>
      <c r="F577" s="72" t="n">
        <v>1.82</v>
      </c>
    </row>
    <row r="578">
      <c r="A578" s="71" t="n">
        <v>40368</v>
      </c>
      <c r="B578" s="72" t="n">
        <v>0.25</v>
      </c>
      <c r="C578" s="71" t="n">
        <v>40368</v>
      </c>
      <c r="D578" s="72" t="n">
        <v>0</v>
      </c>
      <c r="E578" s="71" t="n">
        <v>37257</v>
      </c>
      <c r="F578" s="72" t="n">
        <v>1.73</v>
      </c>
    </row>
    <row r="579">
      <c r="A579" s="71" t="n">
        <v>40369</v>
      </c>
      <c r="B579" s="72" t="n">
        <v>0.25</v>
      </c>
      <c r="C579" s="71" t="n">
        <v>40369</v>
      </c>
      <c r="D579" s="72" t="n">
        <v>0</v>
      </c>
      <c r="E579" s="71" t="n">
        <v>37288</v>
      </c>
      <c r="F579" s="72" t="n">
        <v>1.74</v>
      </c>
    </row>
    <row r="580">
      <c r="A580" s="71" t="n">
        <v>40370</v>
      </c>
      <c r="B580" s="72" t="n">
        <v>0.25</v>
      </c>
      <c r="C580" s="71" t="n">
        <v>40370</v>
      </c>
      <c r="D580" s="72" t="n">
        <v>0</v>
      </c>
      <c r="E580" s="71" t="n">
        <v>37316</v>
      </c>
      <c r="F580" s="72" t="n">
        <v>1.73</v>
      </c>
    </row>
    <row r="581">
      <c r="A581" s="71" t="n">
        <v>40371</v>
      </c>
      <c r="B581" s="72" t="n">
        <v>0.25</v>
      </c>
      <c r="C581" s="71" t="n">
        <v>40371</v>
      </c>
      <c r="D581" s="72" t="n">
        <v>0</v>
      </c>
      <c r="E581" s="71" t="n">
        <v>37347</v>
      </c>
      <c r="F581" s="72" t="n">
        <v>1.75</v>
      </c>
    </row>
    <row r="582">
      <c r="A582" s="71" t="n">
        <v>40372</v>
      </c>
      <c r="B582" s="72" t="n">
        <v>0.25</v>
      </c>
      <c r="C582" s="71" t="n">
        <v>40372</v>
      </c>
      <c r="D582" s="72" t="n">
        <v>0</v>
      </c>
      <c r="E582" s="71" t="n">
        <v>37377</v>
      </c>
      <c r="F582" s="72" t="n">
        <v>1.75</v>
      </c>
    </row>
    <row r="583">
      <c r="A583" s="71" t="n">
        <v>40373</v>
      </c>
      <c r="B583" s="72" t="n">
        <v>0.25</v>
      </c>
      <c r="C583" s="71" t="n">
        <v>40373</v>
      </c>
      <c r="D583" s="72" t="n">
        <v>0</v>
      </c>
      <c r="E583" s="71" t="n">
        <v>37408</v>
      </c>
      <c r="F583" s="72" t="n">
        <v>1.75</v>
      </c>
    </row>
    <row r="584">
      <c r="A584" s="71" t="n">
        <v>40374</v>
      </c>
      <c r="B584" s="72" t="n">
        <v>0.25</v>
      </c>
      <c r="C584" s="71" t="n">
        <v>40374</v>
      </c>
      <c r="D584" s="72" t="n">
        <v>0</v>
      </c>
      <c r="E584" s="71" t="n">
        <v>37438</v>
      </c>
      <c r="F584" s="72" t="n">
        <v>1.73</v>
      </c>
    </row>
    <row r="585">
      <c r="A585" s="71" t="n">
        <v>40375</v>
      </c>
      <c r="B585" s="72" t="n">
        <v>0.25</v>
      </c>
      <c r="C585" s="71" t="n">
        <v>40375</v>
      </c>
      <c r="D585" s="72" t="n">
        <v>0</v>
      </c>
      <c r="E585" s="71" t="n">
        <v>37469</v>
      </c>
      <c r="F585" s="72" t="n">
        <v>1.74</v>
      </c>
    </row>
    <row r="586">
      <c r="A586" s="71" t="n">
        <v>40376</v>
      </c>
      <c r="B586" s="72" t="n">
        <v>0.25</v>
      </c>
      <c r="C586" s="71" t="n">
        <v>40376</v>
      </c>
      <c r="D586" s="72" t="n">
        <v>0</v>
      </c>
      <c r="E586" s="71" t="n">
        <v>37500</v>
      </c>
      <c r="F586" s="72" t="n">
        <v>1.75</v>
      </c>
    </row>
    <row r="587">
      <c r="A587" s="71" t="n">
        <v>40377</v>
      </c>
      <c r="B587" s="72" t="n">
        <v>0.25</v>
      </c>
      <c r="C587" s="71" t="n">
        <v>40377</v>
      </c>
      <c r="D587" s="72" t="n">
        <v>0</v>
      </c>
      <c r="E587" s="71" t="n">
        <v>37530</v>
      </c>
      <c r="F587" s="72" t="n">
        <v>1.75</v>
      </c>
    </row>
    <row r="588">
      <c r="A588" s="71" t="n">
        <v>40378</v>
      </c>
      <c r="B588" s="72" t="n">
        <v>0.25</v>
      </c>
      <c r="C588" s="71" t="n">
        <v>40378</v>
      </c>
      <c r="D588" s="72" t="n">
        <v>0</v>
      </c>
      <c r="E588" s="71" t="n">
        <v>37561</v>
      </c>
      <c r="F588" s="72" t="n">
        <v>1.34</v>
      </c>
    </row>
    <row r="589">
      <c r="A589" s="71" t="n">
        <v>40379</v>
      </c>
      <c r="B589" s="72" t="n">
        <v>0.25</v>
      </c>
      <c r="C589" s="71" t="n">
        <v>40379</v>
      </c>
      <c r="D589" s="72" t="n">
        <v>0</v>
      </c>
      <c r="E589" s="71" t="n">
        <v>37591</v>
      </c>
      <c r="F589" s="72" t="n">
        <v>1.24</v>
      </c>
    </row>
    <row r="590">
      <c r="A590" s="71" t="n">
        <v>40380</v>
      </c>
      <c r="B590" s="72" t="n">
        <v>0.25</v>
      </c>
      <c r="C590" s="71" t="n">
        <v>40380</v>
      </c>
      <c r="D590" s="72" t="n">
        <v>0</v>
      </c>
      <c r="E590" s="71" t="n">
        <v>37622</v>
      </c>
      <c r="F590" s="72" t="n">
        <v>1.24</v>
      </c>
    </row>
    <row r="591">
      <c r="A591" s="71" t="n">
        <v>40381</v>
      </c>
      <c r="B591" s="72" t="n">
        <v>0.25</v>
      </c>
      <c r="C591" s="71" t="n">
        <v>40381</v>
      </c>
      <c r="D591" s="72" t="n">
        <v>0</v>
      </c>
      <c r="E591" s="71" t="n">
        <v>37653</v>
      </c>
      <c r="F591" s="72" t="n">
        <v>1.26</v>
      </c>
    </row>
    <row r="592">
      <c r="A592" s="71" t="n">
        <v>40382</v>
      </c>
      <c r="B592" s="72" t="n">
        <v>0.25</v>
      </c>
      <c r="C592" s="71" t="n">
        <v>40382</v>
      </c>
      <c r="D592" s="72" t="n">
        <v>0</v>
      </c>
      <c r="E592" s="71" t="n">
        <v>37681</v>
      </c>
      <c r="F592" s="72" t="n">
        <v>1.25</v>
      </c>
    </row>
    <row r="593">
      <c r="A593" s="71" t="n">
        <v>40383</v>
      </c>
      <c r="B593" s="72" t="n">
        <v>0.25</v>
      </c>
      <c r="C593" s="71" t="n">
        <v>40383</v>
      </c>
      <c r="D593" s="72" t="n">
        <v>0</v>
      </c>
      <c r="E593" s="71" t="n">
        <v>37712</v>
      </c>
      <c r="F593" s="72" t="n">
        <v>1.26</v>
      </c>
    </row>
    <row r="594">
      <c r="A594" s="71" t="n">
        <v>40384</v>
      </c>
      <c r="B594" s="72" t="n">
        <v>0.25</v>
      </c>
      <c r="C594" s="71" t="n">
        <v>40384</v>
      </c>
      <c r="D594" s="72" t="n">
        <v>0</v>
      </c>
      <c r="E594" s="71" t="n">
        <v>37742</v>
      </c>
      <c r="F594" s="72" t="n">
        <v>1.26</v>
      </c>
    </row>
    <row r="595">
      <c r="A595" s="71" t="n">
        <v>40385</v>
      </c>
      <c r="B595" s="72" t="n">
        <v>0.25</v>
      </c>
      <c r="C595" s="71" t="n">
        <v>40385</v>
      </c>
      <c r="D595" s="72" t="n">
        <v>0</v>
      </c>
      <c r="E595" s="71" t="n">
        <v>37773</v>
      </c>
      <c r="F595" s="72" t="n">
        <v>1.22</v>
      </c>
    </row>
    <row r="596">
      <c r="A596" s="71" t="n">
        <v>40386</v>
      </c>
      <c r="B596" s="72" t="n">
        <v>0.25</v>
      </c>
      <c r="C596" s="71" t="n">
        <v>40386</v>
      </c>
      <c r="D596" s="72" t="n">
        <v>0</v>
      </c>
      <c r="E596" s="71" t="n">
        <v>37803</v>
      </c>
      <c r="F596" s="72" t="n">
        <v>1.01</v>
      </c>
    </row>
    <row r="597">
      <c r="A597" s="71" t="n">
        <v>40387</v>
      </c>
      <c r="B597" s="72" t="n">
        <v>0.25</v>
      </c>
      <c r="C597" s="71" t="n">
        <v>40387</v>
      </c>
      <c r="D597" s="72" t="n">
        <v>0</v>
      </c>
      <c r="E597" s="71" t="n">
        <v>37834</v>
      </c>
      <c r="F597" s="72" t="n">
        <v>1.03</v>
      </c>
    </row>
    <row r="598">
      <c r="A598" s="71" t="n">
        <v>40388</v>
      </c>
      <c r="B598" s="72" t="n">
        <v>0.25</v>
      </c>
      <c r="C598" s="71" t="n">
        <v>40388</v>
      </c>
      <c r="D598" s="72" t="n">
        <v>0</v>
      </c>
      <c r="E598" s="71" t="n">
        <v>37865</v>
      </c>
      <c r="F598" s="72" t="n">
        <v>1.01</v>
      </c>
    </row>
    <row r="599">
      <c r="A599" s="71" t="n">
        <v>40389</v>
      </c>
      <c r="B599" s="72" t="n">
        <v>0.25</v>
      </c>
      <c r="C599" s="71" t="n">
        <v>40389</v>
      </c>
      <c r="D599" s="72" t="n">
        <v>0</v>
      </c>
      <c r="E599" s="71" t="n">
        <v>37895</v>
      </c>
      <c r="F599" s="72" t="n">
        <v>1.01</v>
      </c>
    </row>
    <row r="600">
      <c r="A600" s="71" t="n">
        <v>40390</v>
      </c>
      <c r="B600" s="72" t="n">
        <v>0.25</v>
      </c>
      <c r="C600" s="71" t="n">
        <v>40390</v>
      </c>
      <c r="D600" s="72" t="n">
        <v>0</v>
      </c>
      <c r="E600" s="71" t="n">
        <v>37926</v>
      </c>
      <c r="F600" s="72" t="n">
        <v>1</v>
      </c>
    </row>
    <row r="601">
      <c r="A601" s="71" t="n">
        <v>40391</v>
      </c>
      <c r="B601" s="72" t="n">
        <v>0.25</v>
      </c>
      <c r="C601" s="71" t="n">
        <v>40391</v>
      </c>
      <c r="D601" s="72" t="n">
        <v>0</v>
      </c>
      <c r="E601" s="71" t="n">
        <v>37956</v>
      </c>
      <c r="F601" s="72" t="n">
        <v>0.98</v>
      </c>
    </row>
    <row r="602">
      <c r="A602" s="71" t="n">
        <v>40392</v>
      </c>
      <c r="B602" s="72" t="n">
        <v>0.25</v>
      </c>
      <c r="C602" s="71" t="n">
        <v>40392</v>
      </c>
      <c r="D602" s="72" t="n">
        <v>0</v>
      </c>
      <c r="E602" s="71" t="n">
        <v>37987</v>
      </c>
      <c r="F602" s="72" t="n">
        <v>1</v>
      </c>
    </row>
    <row r="603">
      <c r="A603" s="71" t="n">
        <v>40393</v>
      </c>
      <c r="B603" s="72" t="n">
        <v>0.25</v>
      </c>
      <c r="C603" s="71" t="n">
        <v>40393</v>
      </c>
      <c r="D603" s="72" t="n">
        <v>0</v>
      </c>
      <c r="E603" s="71" t="n">
        <v>38018</v>
      </c>
      <c r="F603" s="72" t="n">
        <v>1.01</v>
      </c>
    </row>
    <row r="604">
      <c r="A604" s="71" t="n">
        <v>40394</v>
      </c>
      <c r="B604" s="72" t="n">
        <v>0.25</v>
      </c>
      <c r="C604" s="71" t="n">
        <v>40394</v>
      </c>
      <c r="D604" s="72" t="n">
        <v>0</v>
      </c>
      <c r="E604" s="71" t="n">
        <v>38047</v>
      </c>
      <c r="F604" s="72" t="n">
        <v>1</v>
      </c>
    </row>
    <row r="605">
      <c r="A605" s="71" t="n">
        <v>40395</v>
      </c>
      <c r="B605" s="72" t="n">
        <v>0.25</v>
      </c>
      <c r="C605" s="71" t="n">
        <v>40395</v>
      </c>
      <c r="D605" s="72" t="n">
        <v>0</v>
      </c>
      <c r="E605" s="71" t="n">
        <v>38078</v>
      </c>
      <c r="F605" s="72" t="n">
        <v>1</v>
      </c>
    </row>
    <row r="606">
      <c r="A606" s="71" t="n">
        <v>40396</v>
      </c>
      <c r="B606" s="72" t="n">
        <v>0.25</v>
      </c>
      <c r="C606" s="71" t="n">
        <v>40396</v>
      </c>
      <c r="D606" s="72" t="n">
        <v>0</v>
      </c>
      <c r="E606" s="71" t="n">
        <v>38108</v>
      </c>
      <c r="F606" s="72" t="n">
        <v>1</v>
      </c>
    </row>
    <row r="607">
      <c r="A607" s="71" t="n">
        <v>40397</v>
      </c>
      <c r="B607" s="72" t="n">
        <v>0.25</v>
      </c>
      <c r="C607" s="71" t="n">
        <v>40397</v>
      </c>
      <c r="D607" s="72" t="n">
        <v>0</v>
      </c>
      <c r="E607" s="71" t="n">
        <v>38139</v>
      </c>
      <c r="F607" s="72" t="n">
        <v>1.03</v>
      </c>
    </row>
    <row r="608">
      <c r="A608" s="71" t="n">
        <v>40398</v>
      </c>
      <c r="B608" s="72" t="n">
        <v>0.25</v>
      </c>
      <c r="C608" s="71" t="n">
        <v>40398</v>
      </c>
      <c r="D608" s="72" t="n">
        <v>0</v>
      </c>
      <c r="E608" s="71" t="n">
        <v>38169</v>
      </c>
      <c r="F608" s="72" t="n">
        <v>1.26</v>
      </c>
    </row>
    <row r="609">
      <c r="A609" s="71" t="n">
        <v>40399</v>
      </c>
      <c r="B609" s="72" t="n">
        <v>0.25</v>
      </c>
      <c r="C609" s="71" t="n">
        <v>40399</v>
      </c>
      <c r="D609" s="72" t="n">
        <v>0</v>
      </c>
      <c r="E609" s="71" t="n">
        <v>38200</v>
      </c>
      <c r="F609" s="72" t="n">
        <v>1.43</v>
      </c>
    </row>
    <row r="610">
      <c r="A610" s="71" t="n">
        <v>40400</v>
      </c>
      <c r="B610" s="72" t="n">
        <v>0.25</v>
      </c>
      <c r="C610" s="71" t="n">
        <v>40400</v>
      </c>
      <c r="D610" s="72" t="n">
        <v>0</v>
      </c>
      <c r="E610" s="71" t="n">
        <v>38231</v>
      </c>
      <c r="F610" s="72" t="n">
        <v>1.61</v>
      </c>
    </row>
    <row r="611">
      <c r="A611" s="71" t="n">
        <v>40401</v>
      </c>
      <c r="B611" s="72" t="n">
        <v>0.25</v>
      </c>
      <c r="C611" s="71" t="n">
        <v>40401</v>
      </c>
      <c r="D611" s="72" t="n">
        <v>0</v>
      </c>
      <c r="E611" s="71" t="n">
        <v>38261</v>
      </c>
      <c r="F611" s="72" t="n">
        <v>1.76</v>
      </c>
    </row>
    <row r="612">
      <c r="A612" s="71" t="n">
        <v>40402</v>
      </c>
      <c r="B612" s="72" t="n">
        <v>0.25</v>
      </c>
      <c r="C612" s="71" t="n">
        <v>40402</v>
      </c>
      <c r="D612" s="72" t="n">
        <v>0</v>
      </c>
      <c r="E612" s="71" t="n">
        <v>38292</v>
      </c>
      <c r="F612" s="72" t="n">
        <v>1.93</v>
      </c>
    </row>
    <row r="613">
      <c r="A613" s="71" t="n">
        <v>40403</v>
      </c>
      <c r="B613" s="72" t="n">
        <v>0.25</v>
      </c>
      <c r="C613" s="71" t="n">
        <v>40403</v>
      </c>
      <c r="D613" s="72" t="n">
        <v>0</v>
      </c>
      <c r="E613" s="71" t="n">
        <v>38322</v>
      </c>
      <c r="F613" s="72" t="n">
        <v>2.16</v>
      </c>
    </row>
    <row r="614">
      <c r="A614" s="71" t="n">
        <v>40404</v>
      </c>
      <c r="B614" s="72" t="n">
        <v>0.25</v>
      </c>
      <c r="C614" s="71" t="n">
        <v>40404</v>
      </c>
      <c r="D614" s="72" t="n">
        <v>0</v>
      </c>
      <c r="E614" s="71" t="n">
        <v>38353</v>
      </c>
      <c r="F614" s="72" t="n">
        <v>2.28</v>
      </c>
    </row>
    <row r="615">
      <c r="A615" s="71" t="n">
        <v>40405</v>
      </c>
      <c r="B615" s="72" t="n">
        <v>0.25</v>
      </c>
      <c r="C615" s="71" t="n">
        <v>40405</v>
      </c>
      <c r="D615" s="72" t="n">
        <v>0</v>
      </c>
      <c r="E615" s="71" t="n">
        <v>38384</v>
      </c>
      <c r="F615" s="72" t="n">
        <v>2.5</v>
      </c>
    </row>
    <row r="616">
      <c r="A616" s="71" t="n">
        <v>40406</v>
      </c>
      <c r="B616" s="72" t="n">
        <v>0.25</v>
      </c>
      <c r="C616" s="71" t="n">
        <v>40406</v>
      </c>
      <c r="D616" s="72" t="n">
        <v>0</v>
      </c>
      <c r="E616" s="71" t="n">
        <v>38412</v>
      </c>
      <c r="F616" s="72" t="n">
        <v>2.63</v>
      </c>
    </row>
    <row r="617">
      <c r="A617" s="71" t="n">
        <v>40407</v>
      </c>
      <c r="B617" s="72" t="n">
        <v>0.25</v>
      </c>
      <c r="C617" s="71" t="n">
        <v>40407</v>
      </c>
      <c r="D617" s="72" t="n">
        <v>0</v>
      </c>
      <c r="E617" s="71" t="n">
        <v>38443</v>
      </c>
      <c r="F617" s="72" t="n">
        <v>2.79</v>
      </c>
    </row>
    <row r="618">
      <c r="A618" s="71" t="n">
        <v>40408</v>
      </c>
      <c r="B618" s="72" t="n">
        <v>0.25</v>
      </c>
      <c r="C618" s="71" t="n">
        <v>40408</v>
      </c>
      <c r="D618" s="72" t="n">
        <v>0</v>
      </c>
      <c r="E618" s="71" t="n">
        <v>38473</v>
      </c>
      <c r="F618" s="72" t="n">
        <v>3</v>
      </c>
    </row>
    <row r="619">
      <c r="A619" s="71" t="n">
        <v>40409</v>
      </c>
      <c r="B619" s="72" t="n">
        <v>0.25</v>
      </c>
      <c r="C619" s="71" t="n">
        <v>40409</v>
      </c>
      <c r="D619" s="72" t="n">
        <v>0</v>
      </c>
      <c r="E619" s="71" t="n">
        <v>38504</v>
      </c>
      <c r="F619" s="72" t="n">
        <v>3.04</v>
      </c>
    </row>
    <row r="620">
      <c r="A620" s="71" t="n">
        <v>40410</v>
      </c>
      <c r="B620" s="72" t="n">
        <v>0.25</v>
      </c>
      <c r="C620" s="71" t="n">
        <v>40410</v>
      </c>
      <c r="D620" s="72" t="n">
        <v>0</v>
      </c>
      <c r="E620" s="71" t="n">
        <v>38534</v>
      </c>
      <c r="F620" s="72" t="n">
        <v>3.26</v>
      </c>
    </row>
    <row r="621">
      <c r="A621" s="71" t="n">
        <v>40411</v>
      </c>
      <c r="B621" s="72" t="n">
        <v>0.25</v>
      </c>
      <c r="C621" s="71" t="n">
        <v>40411</v>
      </c>
      <c r="D621" s="72" t="n">
        <v>0</v>
      </c>
      <c r="E621" s="71" t="n">
        <v>38565</v>
      </c>
      <c r="F621" s="72" t="n">
        <v>3.5</v>
      </c>
    </row>
    <row r="622">
      <c r="A622" s="71" t="n">
        <v>40412</v>
      </c>
      <c r="B622" s="72" t="n">
        <v>0.25</v>
      </c>
      <c r="C622" s="71" t="n">
        <v>40412</v>
      </c>
      <c r="D622" s="72" t="n">
        <v>0</v>
      </c>
      <c r="E622" s="71" t="n">
        <v>38596</v>
      </c>
      <c r="F622" s="72" t="n">
        <v>3.62</v>
      </c>
    </row>
    <row r="623">
      <c r="A623" s="71" t="n">
        <v>40413</v>
      </c>
      <c r="B623" s="72" t="n">
        <v>0.25</v>
      </c>
      <c r="C623" s="71" t="n">
        <v>40413</v>
      </c>
      <c r="D623" s="72" t="n">
        <v>0</v>
      </c>
      <c r="E623" s="71" t="n">
        <v>38626</v>
      </c>
      <c r="F623" s="72" t="n">
        <v>3.78</v>
      </c>
    </row>
    <row r="624">
      <c r="A624" s="71" t="n">
        <v>40414</v>
      </c>
      <c r="B624" s="72" t="n">
        <v>0.25</v>
      </c>
      <c r="C624" s="71" t="n">
        <v>40414</v>
      </c>
      <c r="D624" s="72" t="n">
        <v>0</v>
      </c>
      <c r="E624" s="71" t="n">
        <v>38657</v>
      </c>
      <c r="F624" s="72" t="n">
        <v>4</v>
      </c>
    </row>
    <row r="625">
      <c r="A625" s="71" t="n">
        <v>40415</v>
      </c>
      <c r="B625" s="72" t="n">
        <v>0.25</v>
      </c>
      <c r="C625" s="71" t="n">
        <v>40415</v>
      </c>
      <c r="D625" s="72" t="n">
        <v>0</v>
      </c>
      <c r="E625" s="71" t="n">
        <v>38687</v>
      </c>
      <c r="F625" s="72" t="n">
        <v>4.16</v>
      </c>
    </row>
    <row r="626">
      <c r="A626" s="71" t="n">
        <v>40416</v>
      </c>
      <c r="B626" s="72" t="n">
        <v>0.25</v>
      </c>
      <c r="C626" s="71" t="n">
        <v>40416</v>
      </c>
      <c r="D626" s="72" t="n">
        <v>0</v>
      </c>
      <c r="E626" s="71" t="n">
        <v>38718</v>
      </c>
      <c r="F626" s="72" t="n">
        <v>4.29</v>
      </c>
    </row>
    <row r="627">
      <c r="A627" s="71" t="n">
        <v>40417</v>
      </c>
      <c r="B627" s="72" t="n">
        <v>0.25</v>
      </c>
      <c r="C627" s="71" t="n">
        <v>40417</v>
      </c>
      <c r="D627" s="72" t="n">
        <v>0</v>
      </c>
      <c r="E627" s="71" t="n">
        <v>38749</v>
      </c>
      <c r="F627" s="72" t="n">
        <v>4.49</v>
      </c>
    </row>
    <row r="628">
      <c r="A628" s="71" t="n">
        <v>40418</v>
      </c>
      <c r="B628" s="72" t="n">
        <v>0.25</v>
      </c>
      <c r="C628" s="71" t="n">
        <v>40418</v>
      </c>
      <c r="D628" s="72" t="n">
        <v>0</v>
      </c>
      <c r="E628" s="71" t="n">
        <v>38777</v>
      </c>
      <c r="F628" s="72" t="n">
        <v>4.59</v>
      </c>
    </row>
    <row r="629">
      <c r="A629" s="71" t="n">
        <v>40419</v>
      </c>
      <c r="B629" s="72" t="n">
        <v>0.25</v>
      </c>
      <c r="C629" s="71" t="n">
        <v>40419</v>
      </c>
      <c r="D629" s="72" t="n">
        <v>0</v>
      </c>
      <c r="E629" s="71" t="n">
        <v>38808</v>
      </c>
      <c r="F629" s="72" t="n">
        <v>4.79</v>
      </c>
    </row>
    <row r="630">
      <c r="A630" s="71" t="n">
        <v>40420</v>
      </c>
      <c r="B630" s="72" t="n">
        <v>0.25</v>
      </c>
      <c r="C630" s="71" t="n">
        <v>40420</v>
      </c>
      <c r="D630" s="72" t="n">
        <v>0</v>
      </c>
      <c r="E630" s="71" t="n">
        <v>38838</v>
      </c>
      <c r="F630" s="72" t="n">
        <v>4.94</v>
      </c>
    </row>
    <row r="631">
      <c r="A631" s="71" t="n">
        <v>40421</v>
      </c>
      <c r="B631" s="72" t="n">
        <v>0.25</v>
      </c>
      <c r="C631" s="71" t="n">
        <v>40421</v>
      </c>
      <c r="D631" s="72" t="n">
        <v>0</v>
      </c>
      <c r="E631" s="71" t="n">
        <v>38869</v>
      </c>
      <c r="F631" s="72" t="n">
        <v>4.99</v>
      </c>
    </row>
    <row r="632">
      <c r="A632" s="71" t="n">
        <v>40422</v>
      </c>
      <c r="B632" s="72" t="n">
        <v>0.25</v>
      </c>
      <c r="C632" s="71" t="n">
        <v>40422</v>
      </c>
      <c r="D632" s="72" t="n">
        <v>0</v>
      </c>
      <c r="E632" s="71" t="n">
        <v>38899</v>
      </c>
      <c r="F632" s="72" t="n">
        <v>5.24</v>
      </c>
    </row>
    <row r="633">
      <c r="A633" s="71" t="n">
        <v>40423</v>
      </c>
      <c r="B633" s="72" t="n">
        <v>0.25</v>
      </c>
      <c r="C633" s="71" t="n">
        <v>40423</v>
      </c>
      <c r="D633" s="72" t="n">
        <v>0</v>
      </c>
      <c r="E633" s="71" t="n">
        <v>38930</v>
      </c>
      <c r="F633" s="72" t="n">
        <v>5.25</v>
      </c>
    </row>
    <row r="634">
      <c r="A634" s="71" t="n">
        <v>40424</v>
      </c>
      <c r="B634" s="72" t="n">
        <v>0.25</v>
      </c>
      <c r="C634" s="71" t="n">
        <v>40424</v>
      </c>
      <c r="D634" s="72" t="n">
        <v>0</v>
      </c>
      <c r="E634" s="71" t="n">
        <v>38961</v>
      </c>
      <c r="F634" s="72" t="n">
        <v>5.25</v>
      </c>
    </row>
    <row r="635">
      <c r="A635" s="71" t="n">
        <v>40425</v>
      </c>
      <c r="B635" s="72" t="n">
        <v>0.25</v>
      </c>
      <c r="C635" s="71" t="n">
        <v>40425</v>
      </c>
      <c r="D635" s="72" t="n">
        <v>0</v>
      </c>
      <c r="E635" s="71" t="n">
        <v>38991</v>
      </c>
      <c r="F635" s="72" t="n">
        <v>5.25</v>
      </c>
    </row>
    <row r="636">
      <c r="A636" s="71" t="n">
        <v>40426</v>
      </c>
      <c r="B636" s="72" t="n">
        <v>0.25</v>
      </c>
      <c r="C636" s="71" t="n">
        <v>40426</v>
      </c>
      <c r="D636" s="72" t="n">
        <v>0</v>
      </c>
      <c r="E636" s="71" t="n">
        <v>39022</v>
      </c>
      <c r="F636" s="72" t="n">
        <v>5.25</v>
      </c>
    </row>
    <row r="637">
      <c r="A637" s="71" t="n">
        <v>40427</v>
      </c>
      <c r="B637" s="72" t="n">
        <v>0.25</v>
      </c>
      <c r="C637" s="71" t="n">
        <v>40427</v>
      </c>
      <c r="D637" s="72" t="n">
        <v>0</v>
      </c>
      <c r="E637" s="71" t="n">
        <v>39052</v>
      </c>
      <c r="F637" s="72" t="n">
        <v>5.24</v>
      </c>
    </row>
    <row r="638">
      <c r="A638" s="71" t="n">
        <v>40428</v>
      </c>
      <c r="B638" s="72" t="n">
        <v>0.25</v>
      </c>
      <c r="C638" s="71" t="n">
        <v>40428</v>
      </c>
      <c r="D638" s="72" t="n">
        <v>0</v>
      </c>
      <c r="E638" s="71" t="n">
        <v>39083</v>
      </c>
      <c r="F638" s="72" t="n">
        <v>5.25</v>
      </c>
    </row>
    <row r="639">
      <c r="A639" s="71" t="n">
        <v>40429</v>
      </c>
      <c r="B639" s="72" t="n">
        <v>0.25</v>
      </c>
      <c r="C639" s="71" t="n">
        <v>40429</v>
      </c>
      <c r="D639" s="72" t="n">
        <v>0</v>
      </c>
      <c r="E639" s="71" t="n">
        <v>39114</v>
      </c>
      <c r="F639" s="72" t="n">
        <v>5.26</v>
      </c>
    </row>
    <row r="640">
      <c r="A640" s="71" t="n">
        <v>40430</v>
      </c>
      <c r="B640" s="72" t="n">
        <v>0.25</v>
      </c>
      <c r="C640" s="71" t="n">
        <v>40430</v>
      </c>
      <c r="D640" s="72" t="n">
        <v>0</v>
      </c>
      <c r="E640" s="71" t="n">
        <v>39142</v>
      </c>
      <c r="F640" s="72" t="n">
        <v>5.26</v>
      </c>
    </row>
    <row r="641">
      <c r="A641" s="71" t="n">
        <v>40431</v>
      </c>
      <c r="B641" s="72" t="n">
        <v>0.25</v>
      </c>
      <c r="C641" s="71" t="n">
        <v>40431</v>
      </c>
      <c r="D641" s="72" t="n">
        <v>0</v>
      </c>
      <c r="E641" s="71" t="n">
        <v>39173</v>
      </c>
      <c r="F641" s="72" t="n">
        <v>5.25</v>
      </c>
    </row>
    <row r="642">
      <c r="A642" s="71" t="n">
        <v>40432</v>
      </c>
      <c r="B642" s="72" t="n">
        <v>0.25</v>
      </c>
      <c r="C642" s="71" t="n">
        <v>40432</v>
      </c>
      <c r="D642" s="72" t="n">
        <v>0</v>
      </c>
      <c r="E642" s="71" t="n">
        <v>39203</v>
      </c>
      <c r="F642" s="72" t="n">
        <v>5.25</v>
      </c>
    </row>
    <row r="643">
      <c r="A643" s="71" t="n">
        <v>40433</v>
      </c>
      <c r="B643" s="72" t="n">
        <v>0.25</v>
      </c>
      <c r="C643" s="71" t="n">
        <v>40433</v>
      </c>
      <c r="D643" s="72" t="n">
        <v>0</v>
      </c>
      <c r="E643" s="71" t="n">
        <v>39234</v>
      </c>
      <c r="F643" s="72" t="n">
        <v>5.25</v>
      </c>
    </row>
    <row r="644">
      <c r="A644" s="71" t="n">
        <v>40434</v>
      </c>
      <c r="B644" s="72" t="n">
        <v>0.25</v>
      </c>
      <c r="C644" s="71" t="n">
        <v>40434</v>
      </c>
      <c r="D644" s="72" t="n">
        <v>0</v>
      </c>
      <c r="E644" s="71" t="n">
        <v>39264</v>
      </c>
      <c r="F644" s="72" t="n">
        <v>5.26</v>
      </c>
    </row>
    <row r="645">
      <c r="A645" s="71" t="n">
        <v>40435</v>
      </c>
      <c r="B645" s="72" t="n">
        <v>0.25</v>
      </c>
      <c r="C645" s="71" t="n">
        <v>40435</v>
      </c>
      <c r="D645" s="72" t="n">
        <v>0</v>
      </c>
      <c r="E645" s="71" t="n">
        <v>39295</v>
      </c>
      <c r="F645" s="72" t="n">
        <v>5.02</v>
      </c>
    </row>
    <row r="646">
      <c r="A646" s="71" t="n">
        <v>40436</v>
      </c>
      <c r="B646" s="72" t="n">
        <v>0.25</v>
      </c>
      <c r="C646" s="71" t="n">
        <v>40436</v>
      </c>
      <c r="D646" s="72" t="n">
        <v>0</v>
      </c>
      <c r="E646" s="71" t="n">
        <v>39326</v>
      </c>
      <c r="F646" s="72" t="n">
        <v>4.94</v>
      </c>
    </row>
    <row r="647">
      <c r="A647" s="71" t="n">
        <v>40437</v>
      </c>
      <c r="B647" s="72" t="n">
        <v>0.25</v>
      </c>
      <c r="C647" s="71" t="n">
        <v>40437</v>
      </c>
      <c r="D647" s="72" t="n">
        <v>0</v>
      </c>
      <c r="E647" s="71" t="n">
        <v>39356</v>
      </c>
      <c r="F647" s="72" t="n">
        <v>4.76</v>
      </c>
    </row>
    <row r="648">
      <c r="A648" s="71" t="n">
        <v>40438</v>
      </c>
      <c r="B648" s="72" t="n">
        <v>0.25</v>
      </c>
      <c r="C648" s="71" t="n">
        <v>40438</v>
      </c>
      <c r="D648" s="72" t="n">
        <v>0</v>
      </c>
      <c r="E648" s="71" t="n">
        <v>39387</v>
      </c>
      <c r="F648" s="72" t="n">
        <v>4.49</v>
      </c>
    </row>
    <row r="649">
      <c r="A649" s="71" t="n">
        <v>40439</v>
      </c>
      <c r="B649" s="72" t="n">
        <v>0.25</v>
      </c>
      <c r="C649" s="71" t="n">
        <v>40439</v>
      </c>
      <c r="D649" s="72" t="n">
        <v>0</v>
      </c>
      <c r="E649" s="71" t="n">
        <v>39417</v>
      </c>
      <c r="F649" s="72" t="n">
        <v>4.24</v>
      </c>
    </row>
    <row r="650">
      <c r="A650" s="71" t="n">
        <v>40440</v>
      </c>
      <c r="B650" s="72" t="n">
        <v>0.25</v>
      </c>
      <c r="C650" s="71" t="n">
        <v>40440</v>
      </c>
      <c r="D650" s="72" t="n">
        <v>0</v>
      </c>
      <c r="E650" s="71" t="n">
        <v>39448</v>
      </c>
      <c r="F650" s="72" t="n">
        <v>3.94</v>
      </c>
    </row>
    <row r="651">
      <c r="A651" s="71" t="n">
        <v>40441</v>
      </c>
      <c r="B651" s="72" t="n">
        <v>0.25</v>
      </c>
      <c r="C651" s="71" t="n">
        <v>40441</v>
      </c>
      <c r="D651" s="72" t="n">
        <v>0</v>
      </c>
      <c r="E651" s="71" t="n">
        <v>39479</v>
      </c>
      <c r="F651" s="72" t="n">
        <v>2.98</v>
      </c>
    </row>
    <row r="652">
      <c r="A652" s="71" t="n">
        <v>40442</v>
      </c>
      <c r="B652" s="72" t="n">
        <v>0.25</v>
      </c>
      <c r="C652" s="71" t="n">
        <v>40442</v>
      </c>
      <c r="D652" s="72" t="n">
        <v>0</v>
      </c>
      <c r="E652" s="71" t="n">
        <v>39508</v>
      </c>
      <c r="F652" s="72" t="n">
        <v>2.61</v>
      </c>
    </row>
    <row r="653">
      <c r="A653" s="71" t="n">
        <v>40443</v>
      </c>
      <c r="B653" s="72" t="n">
        <v>0.25</v>
      </c>
      <c r="C653" s="71" t="n">
        <v>40443</v>
      </c>
      <c r="D653" s="72" t="n">
        <v>0</v>
      </c>
      <c r="E653" s="71" t="n">
        <v>39539</v>
      </c>
      <c r="F653" s="72" t="n">
        <v>2.28</v>
      </c>
    </row>
    <row r="654">
      <c r="A654" s="71" t="n">
        <v>40444</v>
      </c>
      <c r="B654" s="72" t="n">
        <v>0.25</v>
      </c>
      <c r="C654" s="71" t="n">
        <v>40444</v>
      </c>
      <c r="D654" s="72" t="n">
        <v>0</v>
      </c>
      <c r="E654" s="71" t="n">
        <v>39569</v>
      </c>
      <c r="F654" s="72" t="n">
        <v>1.98</v>
      </c>
    </row>
    <row r="655">
      <c r="A655" s="71" t="n">
        <v>40445</v>
      </c>
      <c r="B655" s="72" t="n">
        <v>0.25</v>
      </c>
      <c r="C655" s="71" t="n">
        <v>40445</v>
      </c>
      <c r="D655" s="72" t="n">
        <v>0</v>
      </c>
      <c r="E655" s="71" t="n">
        <v>39600</v>
      </c>
      <c r="F655" s="72" t="n">
        <v>2</v>
      </c>
    </row>
    <row r="656">
      <c r="A656" s="71" t="n">
        <v>40446</v>
      </c>
      <c r="B656" s="72" t="n">
        <v>0.25</v>
      </c>
      <c r="C656" s="71" t="n">
        <v>40446</v>
      </c>
      <c r="D656" s="72" t="n">
        <v>0</v>
      </c>
      <c r="E656" s="71" t="n">
        <v>39630</v>
      </c>
      <c r="F656" s="72" t="n">
        <v>2.01</v>
      </c>
    </row>
    <row r="657">
      <c r="A657" s="71" t="n">
        <v>40447</v>
      </c>
      <c r="B657" s="72" t="n">
        <v>0.25</v>
      </c>
      <c r="C657" s="71" t="n">
        <v>40447</v>
      </c>
      <c r="D657" s="72" t="n">
        <v>0</v>
      </c>
      <c r="E657" s="71" t="n">
        <v>39661</v>
      </c>
      <c r="F657" s="72" t="n">
        <v>2</v>
      </c>
    </row>
    <row r="658">
      <c r="A658" s="71" t="n">
        <v>40448</v>
      </c>
      <c r="B658" s="72" t="n">
        <v>0.25</v>
      </c>
      <c r="C658" s="71" t="n">
        <v>40448</v>
      </c>
      <c r="D658" s="72" t="n">
        <v>0</v>
      </c>
      <c r="E658" s="71" t="n">
        <v>39692</v>
      </c>
      <c r="F658" s="72" t="n">
        <v>1.81</v>
      </c>
    </row>
    <row r="659">
      <c r="A659" s="71" t="n">
        <v>40449</v>
      </c>
      <c r="B659" s="72" t="n">
        <v>0.25</v>
      </c>
      <c r="C659" s="71" t="n">
        <v>40449</v>
      </c>
      <c r="D659" s="72" t="n">
        <v>0</v>
      </c>
      <c r="E659" s="71" t="n">
        <v>39722</v>
      </c>
      <c r="F659" s="72" t="n">
        <v>0.97</v>
      </c>
    </row>
    <row r="660">
      <c r="A660" s="71" t="n">
        <v>40450</v>
      </c>
      <c r="B660" s="72" t="n">
        <v>0.25</v>
      </c>
      <c r="C660" s="71" t="n">
        <v>40450</v>
      </c>
      <c r="D660" s="72" t="n">
        <v>0</v>
      </c>
      <c r="E660" s="71" t="n">
        <v>39753</v>
      </c>
      <c r="F660" s="72" t="n">
        <v>0.39</v>
      </c>
    </row>
    <row r="661">
      <c r="A661" s="71" t="n">
        <v>40451</v>
      </c>
      <c r="B661" s="72" t="n">
        <v>0.25</v>
      </c>
      <c r="C661" s="71" t="n">
        <v>40451</v>
      </c>
      <c r="D661" s="72" t="n">
        <v>0</v>
      </c>
      <c r="E661" s="71" t="n">
        <v>39783</v>
      </c>
      <c r="F661" s="72" t="n">
        <v>0.16</v>
      </c>
    </row>
    <row r="662">
      <c r="A662" s="71" t="n">
        <v>40452</v>
      </c>
      <c r="B662" s="72" t="n">
        <v>0.25</v>
      </c>
      <c r="C662" s="71" t="n">
        <v>40452</v>
      </c>
      <c r="D662" s="72" t="n">
        <v>0</v>
      </c>
      <c r="E662" s="71" t="n">
        <v>39814</v>
      </c>
      <c r="F662" s="72" t="n">
        <v>0.15</v>
      </c>
    </row>
    <row r="663">
      <c r="A663" s="71" t="n">
        <v>40453</v>
      </c>
      <c r="B663" s="72" t="n">
        <v>0.25</v>
      </c>
      <c r="C663" s="71" t="n">
        <v>40453</v>
      </c>
      <c r="D663" s="72" t="n">
        <v>0</v>
      </c>
      <c r="E663" s="71" t="n">
        <v>39845</v>
      </c>
      <c r="F663" s="72" t="n">
        <v>0.22</v>
      </c>
    </row>
    <row r="664">
      <c r="A664" s="71" t="n">
        <v>40454</v>
      </c>
      <c r="B664" s="72" t="n">
        <v>0.25</v>
      </c>
      <c r="C664" s="71" t="n">
        <v>40454</v>
      </c>
      <c r="D664" s="72" t="n">
        <v>0</v>
      </c>
      <c r="E664" s="71" t="n">
        <v>39873</v>
      </c>
      <c r="F664" s="72" t="n">
        <v>0.18</v>
      </c>
    </row>
    <row r="665">
      <c r="A665" s="71" t="n">
        <v>40455</v>
      </c>
      <c r="B665" s="72" t="n">
        <v>0.25</v>
      </c>
      <c r="C665" s="71" t="n">
        <v>40455</v>
      </c>
      <c r="D665" s="72" t="n">
        <v>0</v>
      </c>
      <c r="E665" s="71" t="n">
        <v>39904</v>
      </c>
      <c r="F665" s="72" t="n">
        <v>0.15</v>
      </c>
    </row>
    <row r="666">
      <c r="A666" s="71" t="n">
        <v>40456</v>
      </c>
      <c r="B666" s="72" t="n">
        <v>0.25</v>
      </c>
      <c r="C666" s="71" t="n">
        <v>40456</v>
      </c>
      <c r="D666" s="72" t="n">
        <v>0</v>
      </c>
      <c r="E666" s="71" t="n">
        <v>39934</v>
      </c>
      <c r="F666" s="72" t="n">
        <v>0.18</v>
      </c>
    </row>
    <row r="667">
      <c r="A667" s="71" t="n">
        <v>40457</v>
      </c>
      <c r="B667" s="72" t="n">
        <v>0.25</v>
      </c>
      <c r="C667" s="71" t="n">
        <v>40457</v>
      </c>
      <c r="D667" s="72" t="n">
        <v>0</v>
      </c>
      <c r="E667" s="71" t="n">
        <v>39965</v>
      </c>
      <c r="F667" s="72" t="n">
        <v>0.21</v>
      </c>
    </row>
    <row r="668">
      <c r="A668" s="71" t="n">
        <v>40458</v>
      </c>
      <c r="B668" s="72" t="n">
        <v>0.25</v>
      </c>
      <c r="C668" s="71" t="n">
        <v>40458</v>
      </c>
      <c r="D668" s="72" t="n">
        <v>0</v>
      </c>
      <c r="E668" s="71" t="n">
        <v>39995</v>
      </c>
      <c r="F668" s="72" t="n">
        <v>0.16</v>
      </c>
    </row>
    <row r="669">
      <c r="A669" s="71" t="n">
        <v>40459</v>
      </c>
      <c r="B669" s="72" t="n">
        <v>0.25</v>
      </c>
      <c r="C669" s="71" t="n">
        <v>40459</v>
      </c>
      <c r="D669" s="72" t="n">
        <v>0</v>
      </c>
      <c r="E669" s="71" t="n">
        <v>40026</v>
      </c>
      <c r="F669" s="72" t="n">
        <v>0.16</v>
      </c>
    </row>
    <row r="670">
      <c r="A670" s="71" t="n">
        <v>40460</v>
      </c>
      <c r="B670" s="72" t="n">
        <v>0.25</v>
      </c>
      <c r="C670" s="71" t="n">
        <v>40460</v>
      </c>
      <c r="D670" s="72" t="n">
        <v>0</v>
      </c>
      <c r="E670" s="71" t="n">
        <v>40057</v>
      </c>
      <c r="F670" s="72" t="n">
        <v>0.15</v>
      </c>
    </row>
    <row r="671">
      <c r="A671" s="71" t="n">
        <v>40461</v>
      </c>
      <c r="B671" s="72" t="n">
        <v>0.25</v>
      </c>
      <c r="C671" s="71" t="n">
        <v>40461</v>
      </c>
      <c r="D671" s="72" t="n">
        <v>0</v>
      </c>
      <c r="E671" s="71" t="n">
        <v>40087</v>
      </c>
      <c r="F671" s="72" t="n">
        <v>0.12</v>
      </c>
    </row>
    <row r="672">
      <c r="A672" s="71" t="n">
        <v>40462</v>
      </c>
      <c r="B672" s="72" t="n">
        <v>0.25</v>
      </c>
      <c r="C672" s="71" t="n">
        <v>40462</v>
      </c>
      <c r="D672" s="72" t="n">
        <v>0</v>
      </c>
      <c r="E672" s="71" t="n">
        <v>40118</v>
      </c>
      <c r="F672" s="72" t="n">
        <v>0.12</v>
      </c>
    </row>
    <row r="673">
      <c r="A673" s="71" t="n">
        <v>40463</v>
      </c>
      <c r="B673" s="72" t="n">
        <v>0.25</v>
      </c>
      <c r="C673" s="71" t="n">
        <v>40463</v>
      </c>
      <c r="D673" s="72" t="n">
        <v>0</v>
      </c>
      <c r="E673" s="71" t="n">
        <v>40148</v>
      </c>
      <c r="F673" s="72" t="n">
        <v>0.12</v>
      </c>
    </row>
    <row r="674">
      <c r="A674" s="71" t="n">
        <v>40464</v>
      </c>
      <c r="B674" s="72" t="n">
        <v>0.25</v>
      </c>
      <c r="C674" s="71" t="n">
        <v>40464</v>
      </c>
      <c r="D674" s="72" t="n">
        <v>0</v>
      </c>
      <c r="E674" s="71" t="n">
        <v>40179</v>
      </c>
      <c r="F674" s="72" t="n">
        <v>0.11</v>
      </c>
    </row>
    <row r="675">
      <c r="A675" s="71" t="n">
        <v>40465</v>
      </c>
      <c r="B675" s="72" t="n">
        <v>0.25</v>
      </c>
      <c r="C675" s="71" t="n">
        <v>40465</v>
      </c>
      <c r="D675" s="72" t="n">
        <v>0</v>
      </c>
      <c r="E675" s="71" t="n">
        <v>40210</v>
      </c>
      <c r="F675" s="72" t="n">
        <v>0.13</v>
      </c>
    </row>
    <row r="676">
      <c r="A676" s="71" t="n">
        <v>40466</v>
      </c>
      <c r="B676" s="72" t="n">
        <v>0.25</v>
      </c>
      <c r="C676" s="71" t="n">
        <v>40466</v>
      </c>
      <c r="D676" s="72" t="n">
        <v>0</v>
      </c>
      <c r="E676" s="71" t="n">
        <v>40238</v>
      </c>
      <c r="F676" s="72" t="n">
        <v>0.16</v>
      </c>
    </row>
    <row r="677">
      <c r="A677" s="71" t="n">
        <v>40467</v>
      </c>
      <c r="B677" s="72" t="n">
        <v>0.25</v>
      </c>
      <c r="C677" s="71" t="n">
        <v>40467</v>
      </c>
      <c r="D677" s="72" t="n">
        <v>0</v>
      </c>
      <c r="E677" s="71" t="n">
        <v>40269</v>
      </c>
      <c r="F677" s="72" t="n">
        <v>0.2</v>
      </c>
    </row>
    <row r="678">
      <c r="A678" s="71" t="n">
        <v>40468</v>
      </c>
      <c r="B678" s="72" t="n">
        <v>0.25</v>
      </c>
      <c r="C678" s="71" t="n">
        <v>40468</v>
      </c>
      <c r="D678" s="72" t="n">
        <v>0</v>
      </c>
      <c r="E678" s="71" t="n">
        <v>40299</v>
      </c>
      <c r="F678" s="72" t="n">
        <v>0.2</v>
      </c>
    </row>
    <row r="679">
      <c r="A679" s="71" t="n">
        <v>40469</v>
      </c>
      <c r="B679" s="72" t="n">
        <v>0.25</v>
      </c>
      <c r="C679" s="71" t="n">
        <v>40469</v>
      </c>
      <c r="D679" s="72" t="n">
        <v>0</v>
      </c>
      <c r="E679" s="71" t="n">
        <v>40330</v>
      </c>
      <c r="F679" s="72" t="n">
        <v>0.18</v>
      </c>
    </row>
    <row r="680">
      <c r="A680" s="71" t="n">
        <v>40470</v>
      </c>
      <c r="B680" s="72" t="n">
        <v>0.25</v>
      </c>
      <c r="C680" s="71" t="n">
        <v>40470</v>
      </c>
      <c r="D680" s="72" t="n">
        <v>0</v>
      </c>
      <c r="E680" s="71" t="n">
        <v>40360</v>
      </c>
      <c r="F680" s="72" t="n">
        <v>0.18</v>
      </c>
    </row>
    <row r="681">
      <c r="A681" s="71" t="n">
        <v>40471</v>
      </c>
      <c r="B681" s="72" t="n">
        <v>0.25</v>
      </c>
      <c r="C681" s="71" t="n">
        <v>40471</v>
      </c>
      <c r="D681" s="72" t="n">
        <v>0</v>
      </c>
      <c r="E681" s="71" t="n">
        <v>40391</v>
      </c>
      <c r="F681" s="72" t="n">
        <v>0.19</v>
      </c>
    </row>
    <row r="682">
      <c r="A682" s="71" t="n">
        <v>40472</v>
      </c>
      <c r="B682" s="72" t="n">
        <v>0.25</v>
      </c>
      <c r="C682" s="71" t="n">
        <v>40472</v>
      </c>
      <c r="D682" s="72" t="n">
        <v>0</v>
      </c>
      <c r="E682" s="71" t="n">
        <v>40422</v>
      </c>
      <c r="F682" s="72" t="n">
        <v>0.19</v>
      </c>
    </row>
    <row r="683">
      <c r="A683" s="71" t="n">
        <v>40473</v>
      </c>
      <c r="B683" s="72" t="n">
        <v>0.25</v>
      </c>
      <c r="C683" s="71" t="n">
        <v>40473</v>
      </c>
      <c r="D683" s="72" t="n">
        <v>0</v>
      </c>
      <c r="E683" s="71" t="n">
        <v>40452</v>
      </c>
      <c r="F683" s="72" t="n">
        <v>0.19</v>
      </c>
    </row>
    <row r="684">
      <c r="A684" s="71" t="n">
        <v>40474</v>
      </c>
      <c r="B684" s="72" t="n">
        <v>0.25</v>
      </c>
      <c r="C684" s="71" t="n">
        <v>40474</v>
      </c>
      <c r="D684" s="72" t="n">
        <v>0</v>
      </c>
      <c r="E684" s="71" t="n">
        <v>40483</v>
      </c>
      <c r="F684" s="72" t="n">
        <v>0.19</v>
      </c>
    </row>
    <row r="685">
      <c r="A685" s="71" t="n">
        <v>40475</v>
      </c>
      <c r="B685" s="72" t="n">
        <v>0.25</v>
      </c>
      <c r="C685" s="71" t="n">
        <v>40475</v>
      </c>
      <c r="D685" s="72" t="n">
        <v>0</v>
      </c>
      <c r="E685" s="71" t="n">
        <v>40513</v>
      </c>
      <c r="F685" s="72" t="n">
        <v>0.18</v>
      </c>
    </row>
    <row r="686">
      <c r="A686" s="71" t="n">
        <v>40476</v>
      </c>
      <c r="B686" s="72" t="n">
        <v>0.25</v>
      </c>
      <c r="C686" s="71" t="n">
        <v>40476</v>
      </c>
      <c r="D686" s="72" t="n">
        <v>0</v>
      </c>
      <c r="E686" s="71" t="n">
        <v>40544</v>
      </c>
      <c r="F686" s="72" t="n">
        <v>0.17</v>
      </c>
    </row>
    <row r="687">
      <c r="A687" s="71" t="n">
        <v>40477</v>
      </c>
      <c r="B687" s="72" t="n">
        <v>0.25</v>
      </c>
      <c r="C687" s="71" t="n">
        <v>40477</v>
      </c>
      <c r="D687" s="72" t="n">
        <v>0</v>
      </c>
      <c r="E687" s="71" t="n">
        <v>40575</v>
      </c>
      <c r="F687" s="72" t="n">
        <v>0.16</v>
      </c>
    </row>
    <row r="688">
      <c r="A688" s="71" t="n">
        <v>40478</v>
      </c>
      <c r="B688" s="72" t="n">
        <v>0.25</v>
      </c>
      <c r="C688" s="71" t="n">
        <v>40478</v>
      </c>
      <c r="D688" s="72" t="n">
        <v>0</v>
      </c>
      <c r="E688" s="71" t="n">
        <v>40603</v>
      </c>
      <c r="F688" s="72" t="n">
        <v>0.14</v>
      </c>
    </row>
    <row r="689">
      <c r="A689" s="71" t="n">
        <v>40479</v>
      </c>
      <c r="B689" s="72" t="n">
        <v>0.25</v>
      </c>
      <c r="C689" s="71" t="n">
        <v>40479</v>
      </c>
      <c r="D689" s="72" t="n">
        <v>0</v>
      </c>
      <c r="E689" s="71" t="n">
        <v>40634</v>
      </c>
      <c r="F689" s="72" t="n">
        <v>0.1</v>
      </c>
    </row>
    <row r="690">
      <c r="A690" s="71" t="n">
        <v>40480</v>
      </c>
      <c r="B690" s="72" t="n">
        <v>0.25</v>
      </c>
      <c r="C690" s="71" t="n">
        <v>40480</v>
      </c>
      <c r="D690" s="72" t="n">
        <v>0</v>
      </c>
      <c r="E690" s="71" t="n">
        <v>40664</v>
      </c>
      <c r="F690" s="72" t="n">
        <v>0.09</v>
      </c>
    </row>
    <row r="691">
      <c r="A691" s="71" t="n">
        <v>40481</v>
      </c>
      <c r="B691" s="72" t="n">
        <v>0.25</v>
      </c>
      <c r="C691" s="71" t="n">
        <v>40481</v>
      </c>
      <c r="D691" s="72" t="n">
        <v>0</v>
      </c>
      <c r="E691" s="71" t="n">
        <v>40695</v>
      </c>
      <c r="F691" s="72" t="n">
        <v>0.09</v>
      </c>
    </row>
    <row r="692">
      <c r="A692" s="71" t="n">
        <v>40482</v>
      </c>
      <c r="B692" s="72" t="n">
        <v>0.25</v>
      </c>
      <c r="C692" s="71" t="n">
        <v>40482</v>
      </c>
      <c r="D692" s="72" t="n">
        <v>0</v>
      </c>
      <c r="E692" s="71" t="n">
        <v>40725</v>
      </c>
      <c r="F692" s="72" t="n">
        <v>0.07000000000000001</v>
      </c>
    </row>
    <row r="693">
      <c r="A693" s="71" t="n">
        <v>40483</v>
      </c>
      <c r="B693" s="72" t="n">
        <v>0.25</v>
      </c>
      <c r="C693" s="71" t="n">
        <v>40483</v>
      </c>
      <c r="D693" s="72" t="n">
        <v>0</v>
      </c>
      <c r="E693" s="71" t="n">
        <v>40756</v>
      </c>
      <c r="F693" s="72" t="n">
        <v>0.1</v>
      </c>
    </row>
    <row r="694">
      <c r="A694" s="71" t="n">
        <v>40484</v>
      </c>
      <c r="B694" s="72" t="n">
        <v>0.25</v>
      </c>
      <c r="C694" s="71" t="n">
        <v>40484</v>
      </c>
      <c r="D694" s="72" t="n">
        <v>0</v>
      </c>
      <c r="E694" s="71" t="n">
        <v>40787</v>
      </c>
      <c r="F694" s="72" t="n">
        <v>0.08</v>
      </c>
    </row>
    <row r="695">
      <c r="A695" s="71" t="n">
        <v>40485</v>
      </c>
      <c r="B695" s="72" t="n">
        <v>0.25</v>
      </c>
      <c r="C695" s="71" t="n">
        <v>40485</v>
      </c>
      <c r="D695" s="72" t="n">
        <v>0</v>
      </c>
      <c r="E695" s="71" t="n">
        <v>40817</v>
      </c>
      <c r="F695" s="72" t="n">
        <v>0.07000000000000001</v>
      </c>
    </row>
    <row r="696">
      <c r="A696" s="71" t="n">
        <v>40486</v>
      </c>
      <c r="B696" s="72" t="n">
        <v>0.25</v>
      </c>
      <c r="C696" s="71" t="n">
        <v>40486</v>
      </c>
      <c r="D696" s="72" t="n">
        <v>0</v>
      </c>
      <c r="E696" s="71" t="n">
        <v>40848</v>
      </c>
      <c r="F696" s="72" t="n">
        <v>0.08</v>
      </c>
    </row>
    <row r="697">
      <c r="A697" s="71" t="n">
        <v>40487</v>
      </c>
      <c r="B697" s="72" t="n">
        <v>0.25</v>
      </c>
      <c r="C697" s="71" t="n">
        <v>40487</v>
      </c>
      <c r="D697" s="72" t="n">
        <v>0</v>
      </c>
      <c r="E697" s="71" t="n">
        <v>40878</v>
      </c>
      <c r="F697" s="72" t="n">
        <v>0.07000000000000001</v>
      </c>
    </row>
    <row r="698">
      <c r="A698" s="71" t="n">
        <v>40488</v>
      </c>
      <c r="B698" s="72" t="n">
        <v>0.25</v>
      </c>
      <c r="C698" s="71" t="n">
        <v>40488</v>
      </c>
      <c r="D698" s="72" t="n">
        <v>0</v>
      </c>
      <c r="E698" s="71" t="n">
        <v>40909</v>
      </c>
      <c r="F698" s="72" t="n">
        <v>0.08</v>
      </c>
    </row>
    <row r="699">
      <c r="A699" s="71" t="n">
        <v>40489</v>
      </c>
      <c r="B699" s="72" t="n">
        <v>0.25</v>
      </c>
      <c r="C699" s="71" t="n">
        <v>40489</v>
      </c>
      <c r="D699" s="72" t="n">
        <v>0</v>
      </c>
      <c r="E699" s="71" t="n">
        <v>40940</v>
      </c>
      <c r="F699" s="72" t="n">
        <v>0.1</v>
      </c>
    </row>
    <row r="700">
      <c r="A700" s="71" t="n">
        <v>40490</v>
      </c>
      <c r="B700" s="72" t="n">
        <v>0.25</v>
      </c>
      <c r="C700" s="71" t="n">
        <v>40490</v>
      </c>
      <c r="D700" s="72" t="n">
        <v>0</v>
      </c>
      <c r="E700" s="71" t="n">
        <v>40969</v>
      </c>
      <c r="F700" s="72" t="n">
        <v>0.13</v>
      </c>
    </row>
    <row r="701">
      <c r="A701" s="71" t="n">
        <v>40491</v>
      </c>
      <c r="B701" s="72" t="n">
        <v>0.25</v>
      </c>
      <c r="C701" s="71" t="n">
        <v>40491</v>
      </c>
      <c r="D701" s="72" t="n">
        <v>0</v>
      </c>
      <c r="E701" s="71" t="n">
        <v>41000</v>
      </c>
      <c r="F701" s="72" t="n">
        <v>0.14</v>
      </c>
    </row>
    <row r="702">
      <c r="A702" s="71" t="n">
        <v>40492</v>
      </c>
      <c r="B702" s="72" t="n">
        <v>0.25</v>
      </c>
      <c r="C702" s="71" t="n">
        <v>40492</v>
      </c>
      <c r="D702" s="72" t="n">
        <v>0</v>
      </c>
      <c r="E702" s="71" t="n">
        <v>41030</v>
      </c>
      <c r="F702" s="72" t="n">
        <v>0.16</v>
      </c>
    </row>
    <row r="703">
      <c r="A703" s="71" t="n">
        <v>40493</v>
      </c>
      <c r="B703" s="72" t="n">
        <v>0.25</v>
      </c>
      <c r="C703" s="71" t="n">
        <v>40493</v>
      </c>
      <c r="D703" s="72" t="n">
        <v>0</v>
      </c>
      <c r="E703" s="71" t="n">
        <v>41061</v>
      </c>
      <c r="F703" s="72" t="n">
        <v>0.16</v>
      </c>
    </row>
    <row r="704">
      <c r="A704" s="71" t="n">
        <v>40494</v>
      </c>
      <c r="B704" s="72" t="n">
        <v>0.25</v>
      </c>
      <c r="C704" s="71" t="n">
        <v>40494</v>
      </c>
      <c r="D704" s="72" t="n">
        <v>0</v>
      </c>
      <c r="E704" s="71" t="n">
        <v>41091</v>
      </c>
      <c r="F704" s="72" t="n">
        <v>0.16</v>
      </c>
    </row>
    <row r="705">
      <c r="A705" s="71" t="n">
        <v>40495</v>
      </c>
      <c r="B705" s="72" t="n">
        <v>0.25</v>
      </c>
      <c r="C705" s="71" t="n">
        <v>40495</v>
      </c>
      <c r="D705" s="72" t="n">
        <v>0</v>
      </c>
      <c r="E705" s="71" t="n">
        <v>41122</v>
      </c>
      <c r="F705" s="72" t="n">
        <v>0.13</v>
      </c>
    </row>
    <row r="706">
      <c r="A706" s="71" t="n">
        <v>40496</v>
      </c>
      <c r="B706" s="72" t="n">
        <v>0.25</v>
      </c>
      <c r="C706" s="71" t="n">
        <v>40496</v>
      </c>
      <c r="D706" s="72" t="n">
        <v>0</v>
      </c>
      <c r="E706" s="71" t="n">
        <v>41153</v>
      </c>
      <c r="F706" s="72" t="n">
        <v>0.14</v>
      </c>
    </row>
    <row r="707">
      <c r="A707" s="71" t="n">
        <v>40497</v>
      </c>
      <c r="B707" s="72" t="n">
        <v>0.25</v>
      </c>
      <c r="C707" s="71" t="n">
        <v>40497</v>
      </c>
      <c r="D707" s="72" t="n">
        <v>0</v>
      </c>
      <c r="E707" s="71" t="n">
        <v>41183</v>
      </c>
      <c r="F707" s="72" t="n">
        <v>0.16</v>
      </c>
    </row>
    <row r="708">
      <c r="A708" s="71" t="n">
        <v>40498</v>
      </c>
      <c r="B708" s="72" t="n">
        <v>0.25</v>
      </c>
      <c r="C708" s="71" t="n">
        <v>40498</v>
      </c>
      <c r="D708" s="72" t="n">
        <v>0</v>
      </c>
      <c r="E708" s="71" t="n">
        <v>41214</v>
      </c>
      <c r="F708" s="72" t="n">
        <v>0.16</v>
      </c>
    </row>
    <row r="709">
      <c r="A709" s="71" t="n">
        <v>40499</v>
      </c>
      <c r="B709" s="72" t="n">
        <v>0.25</v>
      </c>
      <c r="C709" s="71" t="n">
        <v>40499</v>
      </c>
      <c r="D709" s="72" t="n">
        <v>0</v>
      </c>
      <c r="E709" s="71" t="n">
        <v>41244</v>
      </c>
      <c r="F709" s="72" t="n">
        <v>0.16</v>
      </c>
    </row>
    <row r="710">
      <c r="A710" s="71" t="n">
        <v>40500</v>
      </c>
      <c r="B710" s="72" t="n">
        <v>0.25</v>
      </c>
      <c r="C710" s="71" t="n">
        <v>40500</v>
      </c>
      <c r="D710" s="72" t="n">
        <v>0</v>
      </c>
      <c r="E710" s="71" t="n">
        <v>41275</v>
      </c>
      <c r="F710" s="72" t="n">
        <v>0.14</v>
      </c>
    </row>
    <row r="711">
      <c r="A711" s="71" t="n">
        <v>40501</v>
      </c>
      <c r="B711" s="72" t="n">
        <v>0.25</v>
      </c>
      <c r="C711" s="71" t="n">
        <v>40501</v>
      </c>
      <c r="D711" s="72" t="n">
        <v>0</v>
      </c>
      <c r="E711" s="71" t="n">
        <v>41306</v>
      </c>
      <c r="F711" s="72" t="n">
        <v>0.15</v>
      </c>
    </row>
    <row r="712">
      <c r="A712" s="71" t="n">
        <v>40502</v>
      </c>
      <c r="B712" s="72" t="n">
        <v>0.25</v>
      </c>
      <c r="C712" s="71" t="n">
        <v>40502</v>
      </c>
      <c r="D712" s="72" t="n">
        <v>0</v>
      </c>
      <c r="E712" s="71" t="n">
        <v>41334</v>
      </c>
      <c r="F712" s="72" t="n">
        <v>0.14</v>
      </c>
    </row>
    <row r="713">
      <c r="A713" s="71" t="n">
        <v>40503</v>
      </c>
      <c r="B713" s="72" t="n">
        <v>0.25</v>
      </c>
      <c r="C713" s="71" t="n">
        <v>40503</v>
      </c>
      <c r="D713" s="72" t="n">
        <v>0</v>
      </c>
      <c r="E713" s="71" t="n">
        <v>41365</v>
      </c>
      <c r="F713" s="72" t="n">
        <v>0.15</v>
      </c>
    </row>
    <row r="714">
      <c r="A714" s="71" t="n">
        <v>40504</v>
      </c>
      <c r="B714" s="72" t="n">
        <v>0.25</v>
      </c>
      <c r="C714" s="71" t="n">
        <v>40504</v>
      </c>
      <c r="D714" s="72" t="n">
        <v>0</v>
      </c>
      <c r="E714" s="71" t="n">
        <v>41395</v>
      </c>
      <c r="F714" s="72" t="n">
        <v>0.11</v>
      </c>
    </row>
    <row r="715">
      <c r="A715" s="71" t="n">
        <v>40505</v>
      </c>
      <c r="B715" s="72" t="n">
        <v>0.25</v>
      </c>
      <c r="C715" s="71" t="n">
        <v>40505</v>
      </c>
      <c r="D715" s="72" t="n">
        <v>0</v>
      </c>
      <c r="E715" s="71" t="n">
        <v>41426</v>
      </c>
      <c r="F715" s="72" t="n">
        <v>0.09</v>
      </c>
    </row>
    <row r="716">
      <c r="A716" s="71" t="n">
        <v>40506</v>
      </c>
      <c r="B716" s="72" t="n">
        <v>0.25</v>
      </c>
      <c r="C716" s="71" t="n">
        <v>40506</v>
      </c>
      <c r="D716" s="72" t="n">
        <v>0</v>
      </c>
      <c r="E716" s="71" t="n">
        <v>41456</v>
      </c>
      <c r="F716" s="72" t="n">
        <v>0.09</v>
      </c>
    </row>
    <row r="717">
      <c r="A717" s="71" t="n">
        <v>40507</v>
      </c>
      <c r="B717" s="72" t="n">
        <v>0.25</v>
      </c>
      <c r="C717" s="71" t="n">
        <v>40507</v>
      </c>
      <c r="D717" s="72" t="n">
        <v>0</v>
      </c>
      <c r="E717" s="71" t="n">
        <v>41487</v>
      </c>
      <c r="F717" s="72" t="n">
        <v>0.08</v>
      </c>
    </row>
    <row r="718">
      <c r="A718" s="71" t="n">
        <v>40508</v>
      </c>
      <c r="B718" s="72" t="n">
        <v>0.25</v>
      </c>
      <c r="C718" s="71" t="n">
        <v>40508</v>
      </c>
      <c r="D718" s="72" t="n">
        <v>0</v>
      </c>
      <c r="E718" s="71" t="n">
        <v>41518</v>
      </c>
      <c r="F718" s="72" t="n">
        <v>0.08</v>
      </c>
    </row>
    <row r="719">
      <c r="A719" s="71" t="n">
        <v>40509</v>
      </c>
      <c r="B719" s="72" t="n">
        <v>0.25</v>
      </c>
      <c r="C719" s="71" t="n">
        <v>40509</v>
      </c>
      <c r="D719" s="72" t="n">
        <v>0</v>
      </c>
      <c r="E719" s="71" t="n">
        <v>41548</v>
      </c>
      <c r="F719" s="72" t="n">
        <v>0.09</v>
      </c>
    </row>
    <row r="720">
      <c r="A720" s="71" t="n">
        <v>40510</v>
      </c>
      <c r="B720" s="72" t="n">
        <v>0.25</v>
      </c>
      <c r="C720" s="71" t="n">
        <v>40510</v>
      </c>
      <c r="D720" s="72" t="n">
        <v>0</v>
      </c>
      <c r="E720" s="71" t="n">
        <v>41579</v>
      </c>
      <c r="F720" s="72" t="n">
        <v>0.08</v>
      </c>
    </row>
    <row r="721">
      <c r="A721" s="71" t="n">
        <v>40511</v>
      </c>
      <c r="B721" s="72" t="n">
        <v>0.25</v>
      </c>
      <c r="C721" s="71" t="n">
        <v>40511</v>
      </c>
      <c r="D721" s="72" t="n">
        <v>0</v>
      </c>
      <c r="E721" s="71" t="n">
        <v>41609</v>
      </c>
      <c r="F721" s="72" t="n">
        <v>0.09</v>
      </c>
    </row>
    <row r="722">
      <c r="A722" s="71" t="n">
        <v>40512</v>
      </c>
      <c r="B722" s="72" t="n">
        <v>0.25</v>
      </c>
      <c r="C722" s="71" t="n">
        <v>40512</v>
      </c>
      <c r="D722" s="72" t="n">
        <v>0</v>
      </c>
      <c r="E722" s="71" t="n">
        <v>41640</v>
      </c>
      <c r="F722" s="72" t="n">
        <v>0.07000000000000001</v>
      </c>
    </row>
    <row r="723">
      <c r="A723" s="71" t="n">
        <v>40513</v>
      </c>
      <c r="B723" s="72" t="n">
        <v>0.25</v>
      </c>
      <c r="C723" s="71" t="n">
        <v>40513</v>
      </c>
      <c r="D723" s="72" t="n">
        <v>0</v>
      </c>
      <c r="E723" s="71" t="n">
        <v>41671</v>
      </c>
      <c r="F723" s="72" t="n">
        <v>0.07000000000000001</v>
      </c>
    </row>
    <row r="724">
      <c r="A724" s="71" t="n">
        <v>40514</v>
      </c>
      <c r="B724" s="72" t="n">
        <v>0.25</v>
      </c>
      <c r="C724" s="71" t="n">
        <v>40514</v>
      </c>
      <c r="D724" s="72" t="n">
        <v>0</v>
      </c>
      <c r="E724" s="71" t="n">
        <v>41699</v>
      </c>
      <c r="F724" s="72" t="n">
        <v>0.08</v>
      </c>
    </row>
    <row r="725">
      <c r="A725" s="71" t="n">
        <v>40515</v>
      </c>
      <c r="B725" s="72" t="n">
        <v>0.25</v>
      </c>
      <c r="C725" s="71" t="n">
        <v>40515</v>
      </c>
      <c r="D725" s="72" t="n">
        <v>0</v>
      </c>
      <c r="E725" s="71" t="n">
        <v>41730</v>
      </c>
      <c r="F725" s="72" t="n">
        <v>0.09</v>
      </c>
    </row>
    <row r="726">
      <c r="A726" s="71" t="n">
        <v>40516</v>
      </c>
      <c r="B726" s="72" t="n">
        <v>0.25</v>
      </c>
      <c r="C726" s="71" t="n">
        <v>40516</v>
      </c>
      <c r="D726" s="72" t="n">
        <v>0</v>
      </c>
      <c r="E726" s="71" t="n">
        <v>41760</v>
      </c>
      <c r="F726" s="72" t="n">
        <v>0.09</v>
      </c>
    </row>
    <row r="727">
      <c r="A727" s="71" t="n">
        <v>40517</v>
      </c>
      <c r="B727" s="72" t="n">
        <v>0.25</v>
      </c>
      <c r="C727" s="71" t="n">
        <v>40517</v>
      </c>
      <c r="D727" s="72" t="n">
        <v>0</v>
      </c>
      <c r="E727" s="71" t="n">
        <v>41791</v>
      </c>
      <c r="F727" s="72" t="n">
        <v>0.1</v>
      </c>
    </row>
    <row r="728">
      <c r="A728" s="71" t="n">
        <v>40518</v>
      </c>
      <c r="B728" s="72" t="n">
        <v>0.25</v>
      </c>
      <c r="C728" s="71" t="n">
        <v>40518</v>
      </c>
      <c r="D728" s="72" t="n">
        <v>0</v>
      </c>
      <c r="E728" s="71" t="n">
        <v>41821</v>
      </c>
      <c r="F728" s="72" t="n">
        <v>0.09</v>
      </c>
    </row>
    <row r="729">
      <c r="A729" s="71" t="n">
        <v>40519</v>
      </c>
      <c r="B729" s="72" t="n">
        <v>0.25</v>
      </c>
      <c r="C729" s="71" t="n">
        <v>40519</v>
      </c>
      <c r="D729" s="72" t="n">
        <v>0</v>
      </c>
      <c r="E729" s="71" t="n">
        <v>41852</v>
      </c>
      <c r="F729" s="72" t="n">
        <v>0.09</v>
      </c>
    </row>
    <row r="730">
      <c r="A730" s="71" t="n">
        <v>40520</v>
      </c>
      <c r="B730" s="72" t="n">
        <v>0.25</v>
      </c>
      <c r="C730" s="71" t="n">
        <v>40520</v>
      </c>
      <c r="D730" s="72" t="n">
        <v>0</v>
      </c>
      <c r="E730" s="71" t="n">
        <v>41883</v>
      </c>
      <c r="F730" s="72" t="n">
        <v>0.09</v>
      </c>
    </row>
    <row r="731">
      <c r="A731" s="71" t="n">
        <v>40521</v>
      </c>
      <c r="B731" s="72" t="n">
        <v>0.25</v>
      </c>
      <c r="C731" s="71" t="n">
        <v>40521</v>
      </c>
      <c r="D731" s="72" t="n">
        <v>0</v>
      </c>
      <c r="E731" s="71" t="n">
        <v>41913</v>
      </c>
      <c r="F731" s="72" t="n">
        <v>0.09</v>
      </c>
    </row>
    <row r="732">
      <c r="A732" s="71" t="n">
        <v>40522</v>
      </c>
      <c r="B732" s="72" t="n">
        <v>0.25</v>
      </c>
      <c r="C732" s="71" t="n">
        <v>40522</v>
      </c>
      <c r="D732" s="72" t="n">
        <v>0</v>
      </c>
      <c r="E732" s="71" t="n">
        <v>41944</v>
      </c>
      <c r="F732" s="72" t="n">
        <v>0.09</v>
      </c>
    </row>
    <row r="733">
      <c r="A733" s="71" t="n">
        <v>40523</v>
      </c>
      <c r="B733" s="72" t="n">
        <v>0.25</v>
      </c>
      <c r="C733" s="71" t="n">
        <v>40523</v>
      </c>
      <c r="D733" s="72" t="n">
        <v>0</v>
      </c>
      <c r="E733" s="71" t="n">
        <v>41974</v>
      </c>
      <c r="F733" s="72" t="n">
        <v>0.12</v>
      </c>
    </row>
    <row r="734">
      <c r="A734" s="71" t="n">
        <v>40524</v>
      </c>
      <c r="B734" s="72" t="n">
        <v>0.25</v>
      </c>
      <c r="C734" s="71" t="n">
        <v>40524</v>
      </c>
      <c r="D734" s="72" t="n">
        <v>0</v>
      </c>
      <c r="E734" s="71" t="n">
        <v>42005</v>
      </c>
      <c r="F734" s="72" t="n">
        <v>0.11</v>
      </c>
    </row>
    <row r="735">
      <c r="A735" s="71" t="n">
        <v>40525</v>
      </c>
      <c r="B735" s="72" t="n">
        <v>0.25</v>
      </c>
      <c r="C735" s="71" t="n">
        <v>40525</v>
      </c>
      <c r="D735" s="72" t="n">
        <v>0</v>
      </c>
      <c r="E735" s="71" t="n">
        <v>42036</v>
      </c>
      <c r="F735" s="72" t="n">
        <v>0.11</v>
      </c>
    </row>
    <row r="736">
      <c r="A736" s="71" t="n">
        <v>40526</v>
      </c>
      <c r="B736" s="72" t="n">
        <v>0.25</v>
      </c>
      <c r="C736" s="71" t="n">
        <v>40526</v>
      </c>
      <c r="D736" s="72" t="n">
        <v>0</v>
      </c>
      <c r="E736" s="71" t="n">
        <v>42064</v>
      </c>
      <c r="F736" s="72" t="n">
        <v>0.11</v>
      </c>
    </row>
    <row r="737">
      <c r="A737" s="71" t="n">
        <v>40527</v>
      </c>
      <c r="B737" s="72" t="n">
        <v>0.25</v>
      </c>
      <c r="C737" s="71" t="n">
        <v>40527</v>
      </c>
      <c r="D737" s="72" t="n">
        <v>0</v>
      </c>
      <c r="E737" s="71" t="n">
        <v>42095</v>
      </c>
      <c r="F737" s="72" t="n">
        <v>0.12</v>
      </c>
    </row>
    <row r="738">
      <c r="A738" s="71" t="n">
        <v>40528</v>
      </c>
      <c r="B738" s="72" t="n">
        <v>0.25</v>
      </c>
      <c r="C738" s="71" t="n">
        <v>40528</v>
      </c>
      <c r="D738" s="72" t="n">
        <v>0</v>
      </c>
      <c r="E738" s="71" t="n">
        <v>42125</v>
      </c>
      <c r="F738" s="72" t="n">
        <v>0.12</v>
      </c>
    </row>
    <row r="739">
      <c r="A739" s="71" t="n">
        <v>40529</v>
      </c>
      <c r="B739" s="72" t="n">
        <v>0.25</v>
      </c>
      <c r="C739" s="71" t="n">
        <v>40529</v>
      </c>
      <c r="D739" s="72" t="n">
        <v>0</v>
      </c>
      <c r="E739" s="71" t="n">
        <v>42156</v>
      </c>
      <c r="F739" s="72" t="n">
        <v>0.13</v>
      </c>
    </row>
    <row r="740">
      <c r="A740" s="71" t="n">
        <v>40530</v>
      </c>
      <c r="B740" s="72" t="n">
        <v>0.25</v>
      </c>
      <c r="C740" s="71" t="n">
        <v>40530</v>
      </c>
      <c r="D740" s="72" t="n">
        <v>0</v>
      </c>
      <c r="E740" s="71" t="n">
        <v>42186</v>
      </c>
      <c r="F740" s="72" t="n">
        <v>0.13</v>
      </c>
    </row>
    <row r="741">
      <c r="A741" s="71" t="n">
        <v>40531</v>
      </c>
      <c r="B741" s="72" t="n">
        <v>0.25</v>
      </c>
      <c r="C741" s="71" t="n">
        <v>40531</v>
      </c>
      <c r="D741" s="72" t="n">
        <v>0</v>
      </c>
      <c r="E741" s="71" t="n">
        <v>42217</v>
      </c>
      <c r="F741" s="72" t="n">
        <v>0.14</v>
      </c>
    </row>
    <row r="742">
      <c r="A742" s="71" t="n">
        <v>40532</v>
      </c>
      <c r="B742" s="72" t="n">
        <v>0.25</v>
      </c>
      <c r="C742" s="71" t="n">
        <v>40532</v>
      </c>
      <c r="D742" s="72" t="n">
        <v>0</v>
      </c>
      <c r="E742" s="71" t="n">
        <v>42248</v>
      </c>
      <c r="F742" s="72" t="n">
        <v>0.14</v>
      </c>
    </row>
    <row r="743">
      <c r="A743" s="71" t="n">
        <v>40533</v>
      </c>
      <c r="B743" s="72" t="n">
        <v>0.25</v>
      </c>
      <c r="C743" s="71" t="n">
        <v>40533</v>
      </c>
      <c r="D743" s="72" t="n">
        <v>0</v>
      </c>
      <c r="E743" s="71" t="n">
        <v>42278</v>
      </c>
      <c r="F743" s="72" t="n">
        <v>0.12</v>
      </c>
    </row>
    <row r="744">
      <c r="A744" s="71" t="n">
        <v>40534</v>
      </c>
      <c r="B744" s="72" t="n">
        <v>0.25</v>
      </c>
      <c r="C744" s="71" t="n">
        <v>40534</v>
      </c>
      <c r="D744" s="72" t="n">
        <v>0</v>
      </c>
      <c r="E744" s="71" t="n">
        <v>42309</v>
      </c>
      <c r="F744" s="72" t="n">
        <v>0.12</v>
      </c>
    </row>
    <row r="745">
      <c r="A745" s="71" t="n">
        <v>40535</v>
      </c>
      <c r="B745" s="72" t="n">
        <v>0.25</v>
      </c>
      <c r="C745" s="71" t="n">
        <v>40535</v>
      </c>
      <c r="D745" s="72" t="n">
        <v>0</v>
      </c>
      <c r="E745" s="71" t="n">
        <v>42339</v>
      </c>
      <c r="F745" s="72" t="n">
        <v>0.24</v>
      </c>
    </row>
    <row r="746">
      <c r="A746" s="71" t="n">
        <v>40536</v>
      </c>
      <c r="B746" s="72" t="n">
        <v>0.25</v>
      </c>
      <c r="C746" s="71" t="n">
        <v>40536</v>
      </c>
      <c r="D746" s="72" t="n">
        <v>0</v>
      </c>
      <c r="E746" s="71" t="n">
        <v>42370</v>
      </c>
      <c r="F746" s="72" t="n">
        <v>0.34</v>
      </c>
    </row>
    <row r="747">
      <c r="A747" s="71" t="n">
        <v>40537</v>
      </c>
      <c r="B747" s="72" t="n">
        <v>0.25</v>
      </c>
      <c r="C747" s="71" t="n">
        <v>40537</v>
      </c>
      <c r="D747" s="72" t="n">
        <v>0</v>
      </c>
      <c r="E747" s="71" t="n">
        <v>42401</v>
      </c>
      <c r="F747" s="72" t="n">
        <v>0.38</v>
      </c>
    </row>
    <row r="748">
      <c r="A748" s="71" t="n">
        <v>40538</v>
      </c>
      <c r="B748" s="72" t="n">
        <v>0.25</v>
      </c>
      <c r="C748" s="71" t="n">
        <v>40538</v>
      </c>
      <c r="D748" s="72" t="n">
        <v>0</v>
      </c>
      <c r="E748" s="71" t="n">
        <v>42430</v>
      </c>
      <c r="F748" s="72" t="n">
        <v>0.36</v>
      </c>
    </row>
    <row r="749">
      <c r="A749" s="71" t="n">
        <v>40539</v>
      </c>
      <c r="B749" s="72" t="n">
        <v>0.25</v>
      </c>
      <c r="C749" s="71" t="n">
        <v>40539</v>
      </c>
      <c r="D749" s="72" t="n">
        <v>0</v>
      </c>
      <c r="E749" s="71" t="n">
        <v>42461</v>
      </c>
      <c r="F749" s="72" t="n">
        <v>0.37</v>
      </c>
    </row>
    <row r="750">
      <c r="A750" s="71" t="n">
        <v>40540</v>
      </c>
      <c r="B750" s="72" t="n">
        <v>0.25</v>
      </c>
      <c r="C750" s="71" t="n">
        <v>40540</v>
      </c>
      <c r="D750" s="72" t="n">
        <v>0</v>
      </c>
      <c r="E750" s="71" t="n">
        <v>42491</v>
      </c>
      <c r="F750" s="72" t="n">
        <v>0.37</v>
      </c>
    </row>
    <row r="751">
      <c r="A751" s="71" t="n">
        <v>40541</v>
      </c>
      <c r="B751" s="72" t="n">
        <v>0.25</v>
      </c>
      <c r="C751" s="71" t="n">
        <v>40541</v>
      </c>
      <c r="D751" s="72" t="n">
        <v>0</v>
      </c>
      <c r="E751" s="71" t="n">
        <v>42522</v>
      </c>
      <c r="F751" s="72" t="n">
        <v>0.38</v>
      </c>
    </row>
    <row r="752">
      <c r="A752" s="71" t="n">
        <v>40542</v>
      </c>
      <c r="B752" s="72" t="n">
        <v>0.25</v>
      </c>
      <c r="C752" s="71" t="n">
        <v>40542</v>
      </c>
      <c r="D752" s="72" t="n">
        <v>0</v>
      </c>
      <c r="E752" s="71" t="n">
        <v>42552</v>
      </c>
      <c r="F752" s="72" t="n">
        <v>0.39</v>
      </c>
    </row>
    <row r="753">
      <c r="A753" s="71" t="n">
        <v>40543</v>
      </c>
      <c r="B753" s="72" t="n">
        <v>0.25</v>
      </c>
      <c r="C753" s="71" t="n">
        <v>40543</v>
      </c>
      <c r="D753" s="72" t="n">
        <v>0</v>
      </c>
      <c r="E753" s="71" t="n">
        <v>42583</v>
      </c>
      <c r="F753" s="72" t="n">
        <v>0.4</v>
      </c>
    </row>
    <row r="754">
      <c r="A754" s="71" t="n">
        <v>40544</v>
      </c>
      <c r="B754" s="72" t="n">
        <v>0.25</v>
      </c>
      <c r="C754" s="71" t="n">
        <v>40544</v>
      </c>
      <c r="D754" s="72" t="n">
        <v>0</v>
      </c>
      <c r="E754" s="71" t="n">
        <v>42614</v>
      </c>
      <c r="F754" s="72" t="n">
        <v>0.4</v>
      </c>
    </row>
    <row r="755">
      <c r="A755" s="71" t="n">
        <v>40545</v>
      </c>
      <c r="B755" s="72" t="n">
        <v>0.25</v>
      </c>
      <c r="C755" s="71" t="n">
        <v>40545</v>
      </c>
      <c r="D755" s="72" t="n">
        <v>0</v>
      </c>
      <c r="E755" s="71" t="n">
        <v>42644</v>
      </c>
      <c r="F755" s="72" t="n">
        <v>0.4</v>
      </c>
    </row>
    <row r="756">
      <c r="A756" s="71" t="n">
        <v>40546</v>
      </c>
      <c r="B756" s="72" t="n">
        <v>0.25</v>
      </c>
      <c r="C756" s="71" t="n">
        <v>40546</v>
      </c>
      <c r="D756" s="72" t="n">
        <v>0</v>
      </c>
      <c r="E756" s="71" t="n">
        <v>42675</v>
      </c>
      <c r="F756" s="72" t="n">
        <v>0.41</v>
      </c>
    </row>
    <row r="757">
      <c r="A757" s="71" t="n">
        <v>40547</v>
      </c>
      <c r="B757" s="72" t="n">
        <v>0.25</v>
      </c>
      <c r="C757" s="71" t="n">
        <v>40547</v>
      </c>
      <c r="D757" s="72" t="n">
        <v>0</v>
      </c>
      <c r="E757" s="71" t="n">
        <v>42705</v>
      </c>
      <c r="F757" s="72" t="n">
        <v>0.54</v>
      </c>
    </row>
    <row r="758">
      <c r="A758" s="71" t="n">
        <v>40548</v>
      </c>
      <c r="B758" s="72" t="n">
        <v>0.25</v>
      </c>
      <c r="C758" s="71" t="n">
        <v>40548</v>
      </c>
      <c r="D758" s="72" t="n">
        <v>0</v>
      </c>
      <c r="E758" s="71" t="n">
        <v>42736</v>
      </c>
      <c r="F758" s="72" t="n">
        <v>0.65</v>
      </c>
    </row>
    <row r="759">
      <c r="A759" s="71" t="n">
        <v>40549</v>
      </c>
      <c r="B759" s="72" t="n">
        <v>0.25</v>
      </c>
      <c r="C759" s="71" t="n">
        <v>40549</v>
      </c>
      <c r="D759" s="72" t="n">
        <v>0</v>
      </c>
    </row>
    <row r="760">
      <c r="A760" s="71" t="n">
        <v>40550</v>
      </c>
      <c r="B760" s="72" t="n">
        <v>0.25</v>
      </c>
      <c r="C760" s="71" t="n">
        <v>40550</v>
      </c>
      <c r="D760" s="72" t="n">
        <v>0</v>
      </c>
    </row>
    <row r="761">
      <c r="A761" s="71" t="n">
        <v>40551</v>
      </c>
      <c r="B761" s="72" t="n">
        <v>0.25</v>
      </c>
      <c r="C761" s="71" t="n">
        <v>40551</v>
      </c>
      <c r="D761" s="72" t="n">
        <v>0</v>
      </c>
    </row>
    <row r="762">
      <c r="A762" s="71" t="n">
        <v>40552</v>
      </c>
      <c r="B762" s="72" t="n">
        <v>0.25</v>
      </c>
      <c r="C762" s="71" t="n">
        <v>40552</v>
      </c>
      <c r="D762" s="72" t="n">
        <v>0</v>
      </c>
    </row>
    <row r="763">
      <c r="A763" s="71" t="n">
        <v>40553</v>
      </c>
      <c r="B763" s="72" t="n">
        <v>0.25</v>
      </c>
      <c r="C763" s="71" t="n">
        <v>40553</v>
      </c>
      <c r="D763" s="72" t="n">
        <v>0</v>
      </c>
    </row>
    <row r="764">
      <c r="A764" s="71" t="n">
        <v>40554</v>
      </c>
      <c r="B764" s="72" t="n">
        <v>0.25</v>
      </c>
      <c r="C764" s="71" t="n">
        <v>40554</v>
      </c>
      <c r="D764" s="72" t="n">
        <v>0</v>
      </c>
    </row>
    <row r="765">
      <c r="A765" s="71" t="n">
        <v>40555</v>
      </c>
      <c r="B765" s="72" t="n">
        <v>0.25</v>
      </c>
      <c r="C765" s="71" t="n">
        <v>40555</v>
      </c>
      <c r="D765" s="72" t="n">
        <v>0</v>
      </c>
    </row>
    <row r="766">
      <c r="A766" s="71" t="n">
        <v>40556</v>
      </c>
      <c r="B766" s="72" t="n">
        <v>0.25</v>
      </c>
      <c r="C766" s="71" t="n">
        <v>40556</v>
      </c>
      <c r="D766" s="72" t="n">
        <v>0</v>
      </c>
    </row>
    <row r="767">
      <c r="A767" s="71" t="n">
        <v>40557</v>
      </c>
      <c r="B767" s="72" t="n">
        <v>0.25</v>
      </c>
      <c r="C767" s="71" t="n">
        <v>40557</v>
      </c>
      <c r="D767" s="72" t="n">
        <v>0</v>
      </c>
    </row>
    <row r="768">
      <c r="A768" s="71" t="n">
        <v>40558</v>
      </c>
      <c r="B768" s="72" t="n">
        <v>0.25</v>
      </c>
      <c r="C768" s="71" t="n">
        <v>40558</v>
      </c>
      <c r="D768" s="72" t="n">
        <v>0</v>
      </c>
    </row>
    <row r="769">
      <c r="A769" s="71" t="n">
        <v>40559</v>
      </c>
      <c r="B769" s="72" t="n">
        <v>0.25</v>
      </c>
      <c r="C769" s="71" t="n">
        <v>40559</v>
      </c>
      <c r="D769" s="72" t="n">
        <v>0</v>
      </c>
    </row>
    <row r="770">
      <c r="A770" s="71" t="n">
        <v>40560</v>
      </c>
      <c r="B770" s="72" t="n">
        <v>0.25</v>
      </c>
      <c r="C770" s="71" t="n">
        <v>40560</v>
      </c>
      <c r="D770" s="72" t="n">
        <v>0</v>
      </c>
    </row>
    <row r="771">
      <c r="A771" s="71" t="n">
        <v>40561</v>
      </c>
      <c r="B771" s="72" t="n">
        <v>0.25</v>
      </c>
      <c r="C771" s="71" t="n">
        <v>40561</v>
      </c>
      <c r="D771" s="72" t="n">
        <v>0</v>
      </c>
    </row>
    <row r="772">
      <c r="A772" s="71" t="n">
        <v>40562</v>
      </c>
      <c r="B772" s="72" t="n">
        <v>0.25</v>
      </c>
      <c r="C772" s="71" t="n">
        <v>40562</v>
      </c>
      <c r="D772" s="72" t="n">
        <v>0</v>
      </c>
    </row>
    <row r="773">
      <c r="A773" s="71" t="n">
        <v>40563</v>
      </c>
      <c r="B773" s="72" t="n">
        <v>0.25</v>
      </c>
      <c r="C773" s="71" t="n">
        <v>40563</v>
      </c>
      <c r="D773" s="72" t="n">
        <v>0</v>
      </c>
    </row>
    <row r="774">
      <c r="A774" s="71" t="n">
        <v>40564</v>
      </c>
      <c r="B774" s="72" t="n">
        <v>0.25</v>
      </c>
      <c r="C774" s="71" t="n">
        <v>40564</v>
      </c>
      <c r="D774" s="72" t="n">
        <v>0</v>
      </c>
    </row>
    <row r="775">
      <c r="A775" s="71" t="n">
        <v>40565</v>
      </c>
      <c r="B775" s="72" t="n">
        <v>0.25</v>
      </c>
      <c r="C775" s="71" t="n">
        <v>40565</v>
      </c>
      <c r="D775" s="72" t="n">
        <v>0</v>
      </c>
    </row>
    <row r="776">
      <c r="A776" s="71" t="n">
        <v>40566</v>
      </c>
      <c r="B776" s="72" t="n">
        <v>0.25</v>
      </c>
      <c r="C776" s="71" t="n">
        <v>40566</v>
      </c>
      <c r="D776" s="72" t="n">
        <v>0</v>
      </c>
    </row>
    <row r="777">
      <c r="A777" s="71" t="n">
        <v>40567</v>
      </c>
      <c r="B777" s="72" t="n">
        <v>0.25</v>
      </c>
      <c r="C777" s="71" t="n">
        <v>40567</v>
      </c>
      <c r="D777" s="72" t="n">
        <v>0</v>
      </c>
    </row>
    <row r="778">
      <c r="A778" s="71" t="n">
        <v>40568</v>
      </c>
      <c r="B778" s="72" t="n">
        <v>0.25</v>
      </c>
      <c r="C778" s="71" t="n">
        <v>40568</v>
      </c>
      <c r="D778" s="72" t="n">
        <v>0</v>
      </c>
    </row>
    <row r="779">
      <c r="A779" s="71" t="n">
        <v>40569</v>
      </c>
      <c r="B779" s="72" t="n">
        <v>0.25</v>
      </c>
      <c r="C779" s="71" t="n">
        <v>40569</v>
      </c>
      <c r="D779" s="72" t="n">
        <v>0</v>
      </c>
    </row>
    <row r="780">
      <c r="A780" s="71" t="n">
        <v>40570</v>
      </c>
      <c r="B780" s="72" t="n">
        <v>0.25</v>
      </c>
      <c r="C780" s="71" t="n">
        <v>40570</v>
      </c>
      <c r="D780" s="72" t="n">
        <v>0</v>
      </c>
    </row>
    <row r="781">
      <c r="A781" s="71" t="n">
        <v>40571</v>
      </c>
      <c r="B781" s="72" t="n">
        <v>0.25</v>
      </c>
      <c r="C781" s="71" t="n">
        <v>40571</v>
      </c>
      <c r="D781" s="72" t="n">
        <v>0</v>
      </c>
    </row>
    <row r="782">
      <c r="A782" s="71" t="n">
        <v>40572</v>
      </c>
      <c r="B782" s="72" t="n">
        <v>0.25</v>
      </c>
      <c r="C782" s="71" t="n">
        <v>40572</v>
      </c>
      <c r="D782" s="72" t="n">
        <v>0</v>
      </c>
    </row>
    <row r="783">
      <c r="A783" s="71" t="n">
        <v>40573</v>
      </c>
      <c r="B783" s="72" t="n">
        <v>0.25</v>
      </c>
      <c r="C783" s="71" t="n">
        <v>40573</v>
      </c>
      <c r="D783" s="72" t="n">
        <v>0</v>
      </c>
    </row>
    <row r="784">
      <c r="A784" s="71" t="n">
        <v>40574</v>
      </c>
      <c r="B784" s="72" t="n">
        <v>0.25</v>
      </c>
      <c r="C784" s="71" t="n">
        <v>40574</v>
      </c>
      <c r="D784" s="72" t="n">
        <v>0</v>
      </c>
    </row>
    <row r="785">
      <c r="A785" s="71" t="n">
        <v>40575</v>
      </c>
      <c r="B785" s="72" t="n">
        <v>0.25</v>
      </c>
      <c r="C785" s="71" t="n">
        <v>40575</v>
      </c>
      <c r="D785" s="72" t="n">
        <v>0</v>
      </c>
    </row>
    <row r="786">
      <c r="A786" s="71" t="n">
        <v>40576</v>
      </c>
      <c r="B786" s="72" t="n">
        <v>0.25</v>
      </c>
      <c r="C786" s="71" t="n">
        <v>40576</v>
      </c>
      <c r="D786" s="72" t="n">
        <v>0</v>
      </c>
    </row>
    <row r="787">
      <c r="A787" s="71" t="n">
        <v>40577</v>
      </c>
      <c r="B787" s="72" t="n">
        <v>0.25</v>
      </c>
      <c r="C787" s="71" t="n">
        <v>40577</v>
      </c>
      <c r="D787" s="72" t="n">
        <v>0</v>
      </c>
    </row>
    <row r="788">
      <c r="A788" s="71" t="n">
        <v>40578</v>
      </c>
      <c r="B788" s="72" t="n">
        <v>0.25</v>
      </c>
      <c r="C788" s="71" t="n">
        <v>40578</v>
      </c>
      <c r="D788" s="72" t="n">
        <v>0</v>
      </c>
    </row>
    <row r="789">
      <c r="A789" s="71" t="n">
        <v>40579</v>
      </c>
      <c r="B789" s="72" t="n">
        <v>0.25</v>
      </c>
      <c r="C789" s="71" t="n">
        <v>40579</v>
      </c>
      <c r="D789" s="72" t="n">
        <v>0</v>
      </c>
    </row>
    <row r="790">
      <c r="A790" s="71" t="n">
        <v>40580</v>
      </c>
      <c r="B790" s="72" t="n">
        <v>0.25</v>
      </c>
      <c r="C790" s="71" t="n">
        <v>40580</v>
      </c>
      <c r="D790" s="72" t="n">
        <v>0</v>
      </c>
    </row>
    <row r="791">
      <c r="A791" s="71" t="n">
        <v>40581</v>
      </c>
      <c r="B791" s="72" t="n">
        <v>0.25</v>
      </c>
      <c r="C791" s="71" t="n">
        <v>40581</v>
      </c>
      <c r="D791" s="72" t="n">
        <v>0</v>
      </c>
    </row>
    <row r="792">
      <c r="A792" s="71" t="n">
        <v>40582</v>
      </c>
      <c r="B792" s="72" t="n">
        <v>0.25</v>
      </c>
      <c r="C792" s="71" t="n">
        <v>40582</v>
      </c>
      <c r="D792" s="72" t="n">
        <v>0</v>
      </c>
    </row>
    <row r="793">
      <c r="A793" s="71" t="n">
        <v>40583</v>
      </c>
      <c r="B793" s="72" t="n">
        <v>0.25</v>
      </c>
      <c r="C793" s="71" t="n">
        <v>40583</v>
      </c>
      <c r="D793" s="72" t="n">
        <v>0</v>
      </c>
    </row>
    <row r="794">
      <c r="A794" s="71" t="n">
        <v>40584</v>
      </c>
      <c r="B794" s="72" t="n">
        <v>0.25</v>
      </c>
      <c r="C794" s="71" t="n">
        <v>40584</v>
      </c>
      <c r="D794" s="72" t="n">
        <v>0</v>
      </c>
    </row>
    <row r="795">
      <c r="A795" s="71" t="n">
        <v>40585</v>
      </c>
      <c r="B795" s="72" t="n">
        <v>0.25</v>
      </c>
      <c r="C795" s="71" t="n">
        <v>40585</v>
      </c>
      <c r="D795" s="72" t="n">
        <v>0</v>
      </c>
    </row>
    <row r="796">
      <c r="A796" s="71" t="n">
        <v>40586</v>
      </c>
      <c r="B796" s="72" t="n">
        <v>0.25</v>
      </c>
      <c r="C796" s="71" t="n">
        <v>40586</v>
      </c>
      <c r="D796" s="72" t="n">
        <v>0</v>
      </c>
    </row>
    <row r="797">
      <c r="A797" s="71" t="n">
        <v>40587</v>
      </c>
      <c r="B797" s="72" t="n">
        <v>0.25</v>
      </c>
      <c r="C797" s="71" t="n">
        <v>40587</v>
      </c>
      <c r="D797" s="72" t="n">
        <v>0</v>
      </c>
    </row>
    <row r="798">
      <c r="A798" s="71" t="n">
        <v>40588</v>
      </c>
      <c r="B798" s="72" t="n">
        <v>0.25</v>
      </c>
      <c r="C798" s="71" t="n">
        <v>40588</v>
      </c>
      <c r="D798" s="72" t="n">
        <v>0</v>
      </c>
    </row>
    <row r="799">
      <c r="A799" s="71" t="n">
        <v>40589</v>
      </c>
      <c r="B799" s="72" t="n">
        <v>0.25</v>
      </c>
      <c r="C799" s="71" t="n">
        <v>40589</v>
      </c>
      <c r="D799" s="72" t="n">
        <v>0</v>
      </c>
    </row>
    <row r="800">
      <c r="A800" s="71" t="n">
        <v>40590</v>
      </c>
      <c r="B800" s="72" t="n">
        <v>0.25</v>
      </c>
      <c r="C800" s="71" t="n">
        <v>40590</v>
      </c>
      <c r="D800" s="72" t="n">
        <v>0</v>
      </c>
    </row>
    <row r="801">
      <c r="A801" s="71" t="n">
        <v>40591</v>
      </c>
      <c r="B801" s="72" t="n">
        <v>0.25</v>
      </c>
      <c r="C801" s="71" t="n">
        <v>40591</v>
      </c>
      <c r="D801" s="72" t="n">
        <v>0</v>
      </c>
    </row>
    <row r="802">
      <c r="A802" s="71" t="n">
        <v>40592</v>
      </c>
      <c r="B802" s="72" t="n">
        <v>0.25</v>
      </c>
      <c r="C802" s="71" t="n">
        <v>40592</v>
      </c>
      <c r="D802" s="72" t="n">
        <v>0</v>
      </c>
    </row>
    <row r="803">
      <c r="A803" s="71" t="n">
        <v>40593</v>
      </c>
      <c r="B803" s="72" t="n">
        <v>0.25</v>
      </c>
      <c r="C803" s="71" t="n">
        <v>40593</v>
      </c>
      <c r="D803" s="72" t="n">
        <v>0</v>
      </c>
    </row>
    <row r="804">
      <c r="A804" s="71" t="n">
        <v>40594</v>
      </c>
      <c r="B804" s="72" t="n">
        <v>0.25</v>
      </c>
      <c r="C804" s="71" t="n">
        <v>40594</v>
      </c>
      <c r="D804" s="72" t="n">
        <v>0</v>
      </c>
    </row>
    <row r="805">
      <c r="A805" s="71" t="n">
        <v>40595</v>
      </c>
      <c r="B805" s="72" t="n">
        <v>0.25</v>
      </c>
      <c r="C805" s="71" t="n">
        <v>40595</v>
      </c>
      <c r="D805" s="72" t="n">
        <v>0</v>
      </c>
    </row>
    <row r="806">
      <c r="A806" s="71" t="n">
        <v>40596</v>
      </c>
      <c r="B806" s="72" t="n">
        <v>0.25</v>
      </c>
      <c r="C806" s="71" t="n">
        <v>40596</v>
      </c>
      <c r="D806" s="72" t="n">
        <v>0</v>
      </c>
    </row>
    <row r="807">
      <c r="A807" s="71" t="n">
        <v>40597</v>
      </c>
      <c r="B807" s="72" t="n">
        <v>0.25</v>
      </c>
      <c r="C807" s="71" t="n">
        <v>40597</v>
      </c>
      <c r="D807" s="72" t="n">
        <v>0</v>
      </c>
    </row>
    <row r="808">
      <c r="A808" s="71" t="n">
        <v>40598</v>
      </c>
      <c r="B808" s="72" t="n">
        <v>0.25</v>
      </c>
      <c r="C808" s="71" t="n">
        <v>40598</v>
      </c>
      <c r="D808" s="72" t="n">
        <v>0</v>
      </c>
    </row>
    <row r="809">
      <c r="A809" s="71" t="n">
        <v>40599</v>
      </c>
      <c r="B809" s="72" t="n">
        <v>0.25</v>
      </c>
      <c r="C809" s="71" t="n">
        <v>40599</v>
      </c>
      <c r="D809" s="72" t="n">
        <v>0</v>
      </c>
    </row>
    <row r="810">
      <c r="A810" s="71" t="n">
        <v>40600</v>
      </c>
      <c r="B810" s="72" t="n">
        <v>0.25</v>
      </c>
      <c r="C810" s="71" t="n">
        <v>40600</v>
      </c>
      <c r="D810" s="72" t="n">
        <v>0</v>
      </c>
    </row>
    <row r="811">
      <c r="A811" s="71" t="n">
        <v>40601</v>
      </c>
      <c r="B811" s="72" t="n">
        <v>0.25</v>
      </c>
      <c r="C811" s="71" t="n">
        <v>40601</v>
      </c>
      <c r="D811" s="72" t="n">
        <v>0</v>
      </c>
    </row>
    <row r="812">
      <c r="A812" s="71" t="n">
        <v>40602</v>
      </c>
      <c r="B812" s="72" t="n">
        <v>0.25</v>
      </c>
      <c r="C812" s="71" t="n">
        <v>40602</v>
      </c>
      <c r="D812" s="72" t="n">
        <v>0</v>
      </c>
    </row>
    <row r="813">
      <c r="A813" s="71" t="n">
        <v>40603</v>
      </c>
      <c r="B813" s="72" t="n">
        <v>0.25</v>
      </c>
      <c r="C813" s="71" t="n">
        <v>40603</v>
      </c>
      <c r="D813" s="72" t="n">
        <v>0</v>
      </c>
    </row>
    <row r="814">
      <c r="A814" s="71" t="n">
        <v>40604</v>
      </c>
      <c r="B814" s="72" t="n">
        <v>0.25</v>
      </c>
      <c r="C814" s="71" t="n">
        <v>40604</v>
      </c>
      <c r="D814" s="72" t="n">
        <v>0</v>
      </c>
    </row>
    <row r="815">
      <c r="A815" s="71" t="n">
        <v>40605</v>
      </c>
      <c r="B815" s="72" t="n">
        <v>0.25</v>
      </c>
      <c r="C815" s="71" t="n">
        <v>40605</v>
      </c>
      <c r="D815" s="72" t="n">
        <v>0</v>
      </c>
    </row>
    <row r="816">
      <c r="A816" s="71" t="n">
        <v>40606</v>
      </c>
      <c r="B816" s="72" t="n">
        <v>0.25</v>
      </c>
      <c r="C816" s="71" t="n">
        <v>40606</v>
      </c>
      <c r="D816" s="72" t="n">
        <v>0</v>
      </c>
    </row>
    <row r="817">
      <c r="A817" s="71" t="n">
        <v>40607</v>
      </c>
      <c r="B817" s="72" t="n">
        <v>0.25</v>
      </c>
      <c r="C817" s="71" t="n">
        <v>40607</v>
      </c>
      <c r="D817" s="72" t="n">
        <v>0</v>
      </c>
    </row>
    <row r="818">
      <c r="A818" s="71" t="n">
        <v>40608</v>
      </c>
      <c r="B818" s="72" t="n">
        <v>0.25</v>
      </c>
      <c r="C818" s="71" t="n">
        <v>40608</v>
      </c>
      <c r="D818" s="72" t="n">
        <v>0</v>
      </c>
    </row>
    <row r="819">
      <c r="A819" s="71" t="n">
        <v>40609</v>
      </c>
      <c r="B819" s="72" t="n">
        <v>0.25</v>
      </c>
      <c r="C819" s="71" t="n">
        <v>40609</v>
      </c>
      <c r="D819" s="72" t="n">
        <v>0</v>
      </c>
    </row>
    <row r="820">
      <c r="A820" s="71" t="n">
        <v>40610</v>
      </c>
      <c r="B820" s="72" t="n">
        <v>0.25</v>
      </c>
      <c r="C820" s="71" t="n">
        <v>40610</v>
      </c>
      <c r="D820" s="72" t="n">
        <v>0</v>
      </c>
    </row>
    <row r="821">
      <c r="A821" s="71" t="n">
        <v>40611</v>
      </c>
      <c r="B821" s="72" t="n">
        <v>0.25</v>
      </c>
      <c r="C821" s="71" t="n">
        <v>40611</v>
      </c>
      <c r="D821" s="72" t="n">
        <v>0</v>
      </c>
    </row>
    <row r="822">
      <c r="A822" s="71" t="n">
        <v>40612</v>
      </c>
      <c r="B822" s="72" t="n">
        <v>0.25</v>
      </c>
      <c r="C822" s="71" t="n">
        <v>40612</v>
      </c>
      <c r="D822" s="72" t="n">
        <v>0</v>
      </c>
    </row>
    <row r="823">
      <c r="A823" s="71" t="n">
        <v>40613</v>
      </c>
      <c r="B823" s="72" t="n">
        <v>0.25</v>
      </c>
      <c r="C823" s="71" t="n">
        <v>40613</v>
      </c>
      <c r="D823" s="72" t="n">
        <v>0</v>
      </c>
    </row>
    <row r="824">
      <c r="A824" s="71" t="n">
        <v>40614</v>
      </c>
      <c r="B824" s="72" t="n">
        <v>0.25</v>
      </c>
      <c r="C824" s="71" t="n">
        <v>40614</v>
      </c>
      <c r="D824" s="72" t="n">
        <v>0</v>
      </c>
    </row>
    <row r="825">
      <c r="A825" s="71" t="n">
        <v>40615</v>
      </c>
      <c r="B825" s="72" t="n">
        <v>0.25</v>
      </c>
      <c r="C825" s="71" t="n">
        <v>40615</v>
      </c>
      <c r="D825" s="72" t="n">
        <v>0</v>
      </c>
    </row>
    <row r="826">
      <c r="A826" s="71" t="n">
        <v>40616</v>
      </c>
      <c r="B826" s="72" t="n">
        <v>0.25</v>
      </c>
      <c r="C826" s="71" t="n">
        <v>40616</v>
      </c>
      <c r="D826" s="72" t="n">
        <v>0</v>
      </c>
    </row>
    <row r="827">
      <c r="A827" s="71" t="n">
        <v>40617</v>
      </c>
      <c r="B827" s="72" t="n">
        <v>0.25</v>
      </c>
      <c r="C827" s="71" t="n">
        <v>40617</v>
      </c>
      <c r="D827" s="72" t="n">
        <v>0</v>
      </c>
    </row>
    <row r="828">
      <c r="A828" s="71" t="n">
        <v>40618</v>
      </c>
      <c r="B828" s="72" t="n">
        <v>0.25</v>
      </c>
      <c r="C828" s="71" t="n">
        <v>40618</v>
      </c>
      <c r="D828" s="72" t="n">
        <v>0</v>
      </c>
    </row>
    <row r="829">
      <c r="A829" s="71" t="n">
        <v>40619</v>
      </c>
      <c r="B829" s="72" t="n">
        <v>0.25</v>
      </c>
      <c r="C829" s="71" t="n">
        <v>40619</v>
      </c>
      <c r="D829" s="72" t="n">
        <v>0</v>
      </c>
    </row>
    <row r="830">
      <c r="A830" s="71" t="n">
        <v>40620</v>
      </c>
      <c r="B830" s="72" t="n">
        <v>0.25</v>
      </c>
      <c r="C830" s="71" t="n">
        <v>40620</v>
      </c>
      <c r="D830" s="72" t="n">
        <v>0</v>
      </c>
    </row>
    <row r="831">
      <c r="A831" s="71" t="n">
        <v>40621</v>
      </c>
      <c r="B831" s="72" t="n">
        <v>0.25</v>
      </c>
      <c r="C831" s="71" t="n">
        <v>40621</v>
      </c>
      <c r="D831" s="72" t="n">
        <v>0</v>
      </c>
    </row>
    <row r="832">
      <c r="A832" s="71" t="n">
        <v>40622</v>
      </c>
      <c r="B832" s="72" t="n">
        <v>0.25</v>
      </c>
      <c r="C832" s="71" t="n">
        <v>40622</v>
      </c>
      <c r="D832" s="72" t="n">
        <v>0</v>
      </c>
    </row>
    <row r="833">
      <c r="A833" s="71" t="n">
        <v>40623</v>
      </c>
      <c r="B833" s="72" t="n">
        <v>0.25</v>
      </c>
      <c r="C833" s="71" t="n">
        <v>40623</v>
      </c>
      <c r="D833" s="72" t="n">
        <v>0</v>
      </c>
    </row>
    <row r="834">
      <c r="A834" s="71" t="n">
        <v>40624</v>
      </c>
      <c r="B834" s="72" t="n">
        <v>0.25</v>
      </c>
      <c r="C834" s="71" t="n">
        <v>40624</v>
      </c>
      <c r="D834" s="72" t="n">
        <v>0</v>
      </c>
    </row>
    <row r="835">
      <c r="A835" s="71" t="n">
        <v>40625</v>
      </c>
      <c r="B835" s="72" t="n">
        <v>0.25</v>
      </c>
      <c r="C835" s="71" t="n">
        <v>40625</v>
      </c>
      <c r="D835" s="72" t="n">
        <v>0</v>
      </c>
    </row>
    <row r="836">
      <c r="A836" s="71" t="n">
        <v>40626</v>
      </c>
      <c r="B836" s="72" t="n">
        <v>0.25</v>
      </c>
      <c r="C836" s="71" t="n">
        <v>40626</v>
      </c>
      <c r="D836" s="72" t="n">
        <v>0</v>
      </c>
    </row>
    <row r="837">
      <c r="A837" s="71" t="n">
        <v>40627</v>
      </c>
      <c r="B837" s="72" t="n">
        <v>0.25</v>
      </c>
      <c r="C837" s="71" t="n">
        <v>40627</v>
      </c>
      <c r="D837" s="72" t="n">
        <v>0</v>
      </c>
    </row>
    <row r="838">
      <c r="A838" s="71" t="n">
        <v>40628</v>
      </c>
      <c r="B838" s="72" t="n">
        <v>0.25</v>
      </c>
      <c r="C838" s="71" t="n">
        <v>40628</v>
      </c>
      <c r="D838" s="72" t="n">
        <v>0</v>
      </c>
    </row>
    <row r="839">
      <c r="A839" s="71" t="n">
        <v>40629</v>
      </c>
      <c r="B839" s="72" t="n">
        <v>0.25</v>
      </c>
      <c r="C839" s="71" t="n">
        <v>40629</v>
      </c>
      <c r="D839" s="72" t="n">
        <v>0</v>
      </c>
    </row>
    <row r="840">
      <c r="A840" s="71" t="n">
        <v>40630</v>
      </c>
      <c r="B840" s="72" t="n">
        <v>0.25</v>
      </c>
      <c r="C840" s="71" t="n">
        <v>40630</v>
      </c>
      <c r="D840" s="72" t="n">
        <v>0</v>
      </c>
    </row>
    <row r="841">
      <c r="A841" s="71" t="n">
        <v>40631</v>
      </c>
      <c r="B841" s="72" t="n">
        <v>0.25</v>
      </c>
      <c r="C841" s="71" t="n">
        <v>40631</v>
      </c>
      <c r="D841" s="72" t="n">
        <v>0</v>
      </c>
    </row>
    <row r="842">
      <c r="A842" s="71" t="n">
        <v>40632</v>
      </c>
      <c r="B842" s="72" t="n">
        <v>0.25</v>
      </c>
      <c r="C842" s="71" t="n">
        <v>40632</v>
      </c>
      <c r="D842" s="72" t="n">
        <v>0</v>
      </c>
    </row>
    <row r="843">
      <c r="A843" s="71" t="n">
        <v>40633</v>
      </c>
      <c r="B843" s="72" t="n">
        <v>0.25</v>
      </c>
      <c r="C843" s="71" t="n">
        <v>40633</v>
      </c>
      <c r="D843" s="72" t="n">
        <v>0</v>
      </c>
    </row>
    <row r="844">
      <c r="A844" s="71" t="n">
        <v>40634</v>
      </c>
      <c r="B844" s="72" t="n">
        <v>0.25</v>
      </c>
      <c r="C844" s="71" t="n">
        <v>40634</v>
      </c>
      <c r="D844" s="72" t="n">
        <v>0</v>
      </c>
    </row>
    <row r="845">
      <c r="A845" s="71" t="n">
        <v>40635</v>
      </c>
      <c r="B845" s="72" t="n">
        <v>0.25</v>
      </c>
      <c r="C845" s="71" t="n">
        <v>40635</v>
      </c>
      <c r="D845" s="72" t="n">
        <v>0</v>
      </c>
    </row>
    <row r="846">
      <c r="A846" s="71" t="n">
        <v>40636</v>
      </c>
      <c r="B846" s="72" t="n">
        <v>0.25</v>
      </c>
      <c r="C846" s="71" t="n">
        <v>40636</v>
      </c>
      <c r="D846" s="72" t="n">
        <v>0</v>
      </c>
    </row>
    <row r="847">
      <c r="A847" s="71" t="n">
        <v>40637</v>
      </c>
      <c r="B847" s="72" t="n">
        <v>0.25</v>
      </c>
      <c r="C847" s="71" t="n">
        <v>40637</v>
      </c>
      <c r="D847" s="72" t="n">
        <v>0</v>
      </c>
    </row>
    <row r="848">
      <c r="A848" s="71" t="n">
        <v>40638</v>
      </c>
      <c r="B848" s="72" t="n">
        <v>0.25</v>
      </c>
      <c r="C848" s="71" t="n">
        <v>40638</v>
      </c>
      <c r="D848" s="72" t="n">
        <v>0</v>
      </c>
    </row>
    <row r="849">
      <c r="A849" s="71" t="n">
        <v>40639</v>
      </c>
      <c r="B849" s="72" t="n">
        <v>0.25</v>
      </c>
      <c r="C849" s="71" t="n">
        <v>40639</v>
      </c>
      <c r="D849" s="72" t="n">
        <v>0</v>
      </c>
    </row>
    <row r="850">
      <c r="A850" s="71" t="n">
        <v>40640</v>
      </c>
      <c r="B850" s="72" t="n">
        <v>0.25</v>
      </c>
      <c r="C850" s="71" t="n">
        <v>40640</v>
      </c>
      <c r="D850" s="72" t="n">
        <v>0</v>
      </c>
    </row>
    <row r="851">
      <c r="A851" s="71" t="n">
        <v>40641</v>
      </c>
      <c r="B851" s="72" t="n">
        <v>0.25</v>
      </c>
      <c r="C851" s="71" t="n">
        <v>40641</v>
      </c>
      <c r="D851" s="72" t="n">
        <v>0</v>
      </c>
    </row>
    <row r="852">
      <c r="A852" s="71" t="n">
        <v>40642</v>
      </c>
      <c r="B852" s="72" t="n">
        <v>0.25</v>
      </c>
      <c r="C852" s="71" t="n">
        <v>40642</v>
      </c>
      <c r="D852" s="72" t="n">
        <v>0</v>
      </c>
    </row>
    <row r="853">
      <c r="A853" s="71" t="n">
        <v>40643</v>
      </c>
      <c r="B853" s="72" t="n">
        <v>0.25</v>
      </c>
      <c r="C853" s="71" t="n">
        <v>40643</v>
      </c>
      <c r="D853" s="72" t="n">
        <v>0</v>
      </c>
    </row>
    <row r="854">
      <c r="A854" s="71" t="n">
        <v>40644</v>
      </c>
      <c r="B854" s="72" t="n">
        <v>0.25</v>
      </c>
      <c r="C854" s="71" t="n">
        <v>40644</v>
      </c>
      <c r="D854" s="72" t="n">
        <v>0</v>
      </c>
    </row>
    <row r="855">
      <c r="A855" s="71" t="n">
        <v>40645</v>
      </c>
      <c r="B855" s="72" t="n">
        <v>0.25</v>
      </c>
      <c r="C855" s="71" t="n">
        <v>40645</v>
      </c>
      <c r="D855" s="72" t="n">
        <v>0</v>
      </c>
    </row>
    <row r="856">
      <c r="A856" s="71" t="n">
        <v>40646</v>
      </c>
      <c r="B856" s="72" t="n">
        <v>0.25</v>
      </c>
      <c r="C856" s="71" t="n">
        <v>40646</v>
      </c>
      <c r="D856" s="72" t="n">
        <v>0</v>
      </c>
    </row>
    <row r="857">
      <c r="A857" s="71" t="n">
        <v>40647</v>
      </c>
      <c r="B857" s="72" t="n">
        <v>0.25</v>
      </c>
      <c r="C857" s="71" t="n">
        <v>40647</v>
      </c>
      <c r="D857" s="72" t="n">
        <v>0</v>
      </c>
    </row>
    <row r="858">
      <c r="A858" s="71" t="n">
        <v>40648</v>
      </c>
      <c r="B858" s="72" t="n">
        <v>0.25</v>
      </c>
      <c r="C858" s="71" t="n">
        <v>40648</v>
      </c>
      <c r="D858" s="72" t="n">
        <v>0</v>
      </c>
    </row>
    <row r="859">
      <c r="A859" s="71" t="n">
        <v>40649</v>
      </c>
      <c r="B859" s="72" t="n">
        <v>0.25</v>
      </c>
      <c r="C859" s="71" t="n">
        <v>40649</v>
      </c>
      <c r="D859" s="72" t="n">
        <v>0</v>
      </c>
    </row>
    <row r="860">
      <c r="A860" s="71" t="n">
        <v>40650</v>
      </c>
      <c r="B860" s="72" t="n">
        <v>0.25</v>
      </c>
      <c r="C860" s="71" t="n">
        <v>40650</v>
      </c>
      <c r="D860" s="72" t="n">
        <v>0</v>
      </c>
    </row>
    <row r="861">
      <c r="A861" s="71" t="n">
        <v>40651</v>
      </c>
      <c r="B861" s="72" t="n">
        <v>0.25</v>
      </c>
      <c r="C861" s="71" t="n">
        <v>40651</v>
      </c>
      <c r="D861" s="72" t="n">
        <v>0</v>
      </c>
    </row>
    <row r="862">
      <c r="A862" s="71" t="n">
        <v>40652</v>
      </c>
      <c r="B862" s="72" t="n">
        <v>0.25</v>
      </c>
      <c r="C862" s="71" t="n">
        <v>40652</v>
      </c>
      <c r="D862" s="72" t="n">
        <v>0</v>
      </c>
    </row>
    <row r="863">
      <c r="A863" s="71" t="n">
        <v>40653</v>
      </c>
      <c r="B863" s="72" t="n">
        <v>0.25</v>
      </c>
      <c r="C863" s="71" t="n">
        <v>40653</v>
      </c>
      <c r="D863" s="72" t="n">
        <v>0</v>
      </c>
    </row>
    <row r="864">
      <c r="A864" s="71" t="n">
        <v>40654</v>
      </c>
      <c r="B864" s="72" t="n">
        <v>0.25</v>
      </c>
      <c r="C864" s="71" t="n">
        <v>40654</v>
      </c>
      <c r="D864" s="72" t="n">
        <v>0</v>
      </c>
    </row>
    <row r="865">
      <c r="A865" s="71" t="n">
        <v>40655</v>
      </c>
      <c r="B865" s="72" t="n">
        <v>0.25</v>
      </c>
      <c r="C865" s="71" t="n">
        <v>40655</v>
      </c>
      <c r="D865" s="72" t="n">
        <v>0</v>
      </c>
    </row>
    <row r="866">
      <c r="A866" s="71" t="n">
        <v>40656</v>
      </c>
      <c r="B866" s="72" t="n">
        <v>0.25</v>
      </c>
      <c r="C866" s="71" t="n">
        <v>40656</v>
      </c>
      <c r="D866" s="72" t="n">
        <v>0</v>
      </c>
    </row>
    <row r="867">
      <c r="A867" s="71" t="n">
        <v>40657</v>
      </c>
      <c r="B867" s="72" t="n">
        <v>0.25</v>
      </c>
      <c r="C867" s="71" t="n">
        <v>40657</v>
      </c>
      <c r="D867" s="72" t="n">
        <v>0</v>
      </c>
    </row>
    <row r="868">
      <c r="A868" s="71" t="n">
        <v>40658</v>
      </c>
      <c r="B868" s="72" t="n">
        <v>0.25</v>
      </c>
      <c r="C868" s="71" t="n">
        <v>40658</v>
      </c>
      <c r="D868" s="72" t="n">
        <v>0</v>
      </c>
    </row>
    <row r="869">
      <c r="A869" s="71" t="n">
        <v>40659</v>
      </c>
      <c r="B869" s="72" t="n">
        <v>0.25</v>
      </c>
      <c r="C869" s="71" t="n">
        <v>40659</v>
      </c>
      <c r="D869" s="72" t="n">
        <v>0</v>
      </c>
    </row>
    <row r="870">
      <c r="A870" s="71" t="n">
        <v>40660</v>
      </c>
      <c r="B870" s="72" t="n">
        <v>0.25</v>
      </c>
      <c r="C870" s="71" t="n">
        <v>40660</v>
      </c>
      <c r="D870" s="72" t="n">
        <v>0</v>
      </c>
    </row>
    <row r="871">
      <c r="A871" s="71" t="n">
        <v>40661</v>
      </c>
      <c r="B871" s="72" t="n">
        <v>0.25</v>
      </c>
      <c r="C871" s="71" t="n">
        <v>40661</v>
      </c>
      <c r="D871" s="72" t="n">
        <v>0</v>
      </c>
    </row>
    <row r="872">
      <c r="A872" s="71" t="n">
        <v>40662</v>
      </c>
      <c r="B872" s="72" t="n">
        <v>0.25</v>
      </c>
      <c r="C872" s="71" t="n">
        <v>40662</v>
      </c>
      <c r="D872" s="72" t="n">
        <v>0</v>
      </c>
    </row>
    <row r="873">
      <c r="A873" s="71" t="n">
        <v>40663</v>
      </c>
      <c r="B873" s="72" t="n">
        <v>0.25</v>
      </c>
      <c r="C873" s="71" t="n">
        <v>40663</v>
      </c>
      <c r="D873" s="72" t="n">
        <v>0</v>
      </c>
    </row>
    <row r="874">
      <c r="A874" s="71" t="n">
        <v>40664</v>
      </c>
      <c r="B874" s="72" t="n">
        <v>0.25</v>
      </c>
      <c r="C874" s="71" t="n">
        <v>40664</v>
      </c>
      <c r="D874" s="72" t="n">
        <v>0</v>
      </c>
    </row>
    <row r="875">
      <c r="A875" s="71" t="n">
        <v>40665</v>
      </c>
      <c r="B875" s="72" t="n">
        <v>0.25</v>
      </c>
      <c r="C875" s="71" t="n">
        <v>40665</v>
      </c>
      <c r="D875" s="72" t="n">
        <v>0</v>
      </c>
    </row>
    <row r="876">
      <c r="A876" s="71" t="n">
        <v>40666</v>
      </c>
      <c r="B876" s="72" t="n">
        <v>0.25</v>
      </c>
      <c r="C876" s="71" t="n">
        <v>40666</v>
      </c>
      <c r="D876" s="72" t="n">
        <v>0</v>
      </c>
    </row>
    <row r="877">
      <c r="A877" s="71" t="n">
        <v>40667</v>
      </c>
      <c r="B877" s="72" t="n">
        <v>0.25</v>
      </c>
      <c r="C877" s="71" t="n">
        <v>40667</v>
      </c>
      <c r="D877" s="72" t="n">
        <v>0</v>
      </c>
    </row>
    <row r="878">
      <c r="A878" s="71" t="n">
        <v>40668</v>
      </c>
      <c r="B878" s="72" t="n">
        <v>0.25</v>
      </c>
      <c r="C878" s="71" t="n">
        <v>40668</v>
      </c>
      <c r="D878" s="72" t="n">
        <v>0</v>
      </c>
    </row>
    <row r="879">
      <c r="A879" s="71" t="n">
        <v>40669</v>
      </c>
      <c r="B879" s="72" t="n">
        <v>0.25</v>
      </c>
      <c r="C879" s="71" t="n">
        <v>40669</v>
      </c>
      <c r="D879" s="72" t="n">
        <v>0</v>
      </c>
    </row>
    <row r="880">
      <c r="A880" s="71" t="n">
        <v>40670</v>
      </c>
      <c r="B880" s="72" t="n">
        <v>0.25</v>
      </c>
      <c r="C880" s="71" t="n">
        <v>40670</v>
      </c>
      <c r="D880" s="72" t="n">
        <v>0</v>
      </c>
    </row>
    <row r="881">
      <c r="A881" s="71" t="n">
        <v>40671</v>
      </c>
      <c r="B881" s="72" t="n">
        <v>0.25</v>
      </c>
      <c r="C881" s="71" t="n">
        <v>40671</v>
      </c>
      <c r="D881" s="72" t="n">
        <v>0</v>
      </c>
    </row>
    <row r="882">
      <c r="A882" s="71" t="n">
        <v>40672</v>
      </c>
      <c r="B882" s="72" t="n">
        <v>0.25</v>
      </c>
      <c r="C882" s="71" t="n">
        <v>40672</v>
      </c>
      <c r="D882" s="72" t="n">
        <v>0</v>
      </c>
    </row>
    <row r="883">
      <c r="A883" s="71" t="n">
        <v>40673</v>
      </c>
      <c r="B883" s="72" t="n">
        <v>0.25</v>
      </c>
      <c r="C883" s="71" t="n">
        <v>40673</v>
      </c>
      <c r="D883" s="72" t="n">
        <v>0</v>
      </c>
    </row>
    <row r="884">
      <c r="A884" s="71" t="n">
        <v>40674</v>
      </c>
      <c r="B884" s="72" t="n">
        <v>0.25</v>
      </c>
      <c r="C884" s="71" t="n">
        <v>40674</v>
      </c>
      <c r="D884" s="72" t="n">
        <v>0</v>
      </c>
    </row>
    <row r="885">
      <c r="A885" s="71" t="n">
        <v>40675</v>
      </c>
      <c r="B885" s="72" t="n">
        <v>0.25</v>
      </c>
      <c r="C885" s="71" t="n">
        <v>40675</v>
      </c>
      <c r="D885" s="72" t="n">
        <v>0</v>
      </c>
    </row>
    <row r="886">
      <c r="A886" s="71" t="n">
        <v>40676</v>
      </c>
      <c r="B886" s="72" t="n">
        <v>0.25</v>
      </c>
      <c r="C886" s="71" t="n">
        <v>40676</v>
      </c>
      <c r="D886" s="72" t="n">
        <v>0</v>
      </c>
    </row>
    <row r="887">
      <c r="A887" s="71" t="n">
        <v>40677</v>
      </c>
      <c r="B887" s="72" t="n">
        <v>0.25</v>
      </c>
      <c r="C887" s="71" t="n">
        <v>40677</v>
      </c>
      <c r="D887" s="72" t="n">
        <v>0</v>
      </c>
    </row>
    <row r="888">
      <c r="A888" s="71" t="n">
        <v>40678</v>
      </c>
      <c r="B888" s="72" t="n">
        <v>0.25</v>
      </c>
      <c r="C888" s="71" t="n">
        <v>40678</v>
      </c>
      <c r="D888" s="72" t="n">
        <v>0</v>
      </c>
    </row>
    <row r="889">
      <c r="A889" s="71" t="n">
        <v>40679</v>
      </c>
      <c r="B889" s="72" t="n">
        <v>0.25</v>
      </c>
      <c r="C889" s="71" t="n">
        <v>40679</v>
      </c>
      <c r="D889" s="72" t="n">
        <v>0</v>
      </c>
    </row>
    <row r="890">
      <c r="A890" s="71" t="n">
        <v>40680</v>
      </c>
      <c r="B890" s="72" t="n">
        <v>0.25</v>
      </c>
      <c r="C890" s="71" t="n">
        <v>40680</v>
      </c>
      <c r="D890" s="72" t="n">
        <v>0</v>
      </c>
    </row>
    <row r="891">
      <c r="A891" s="71" t="n">
        <v>40681</v>
      </c>
      <c r="B891" s="72" t="n">
        <v>0.25</v>
      </c>
      <c r="C891" s="71" t="n">
        <v>40681</v>
      </c>
      <c r="D891" s="72" t="n">
        <v>0</v>
      </c>
    </row>
    <row r="892">
      <c r="A892" s="71" t="n">
        <v>40682</v>
      </c>
      <c r="B892" s="72" t="n">
        <v>0.25</v>
      </c>
      <c r="C892" s="71" t="n">
        <v>40682</v>
      </c>
      <c r="D892" s="72" t="n">
        <v>0</v>
      </c>
    </row>
    <row r="893">
      <c r="A893" s="71" t="n">
        <v>40683</v>
      </c>
      <c r="B893" s="72" t="n">
        <v>0.25</v>
      </c>
      <c r="C893" s="71" t="n">
        <v>40683</v>
      </c>
      <c r="D893" s="72" t="n">
        <v>0</v>
      </c>
    </row>
    <row r="894">
      <c r="A894" s="71" t="n">
        <v>40684</v>
      </c>
      <c r="B894" s="72" t="n">
        <v>0.25</v>
      </c>
      <c r="C894" s="71" t="n">
        <v>40684</v>
      </c>
      <c r="D894" s="72" t="n">
        <v>0</v>
      </c>
    </row>
    <row r="895">
      <c r="A895" s="71" t="n">
        <v>40685</v>
      </c>
      <c r="B895" s="72" t="n">
        <v>0.25</v>
      </c>
      <c r="C895" s="71" t="n">
        <v>40685</v>
      </c>
      <c r="D895" s="72" t="n">
        <v>0</v>
      </c>
    </row>
    <row r="896">
      <c r="A896" s="71" t="n">
        <v>40686</v>
      </c>
      <c r="B896" s="72" t="n">
        <v>0.25</v>
      </c>
      <c r="C896" s="71" t="n">
        <v>40686</v>
      </c>
      <c r="D896" s="72" t="n">
        <v>0</v>
      </c>
    </row>
    <row r="897">
      <c r="A897" s="71" t="n">
        <v>40687</v>
      </c>
      <c r="B897" s="72" t="n">
        <v>0.25</v>
      </c>
      <c r="C897" s="71" t="n">
        <v>40687</v>
      </c>
      <c r="D897" s="72" t="n">
        <v>0</v>
      </c>
    </row>
    <row r="898">
      <c r="A898" s="71" t="n">
        <v>40688</v>
      </c>
      <c r="B898" s="72" t="n">
        <v>0.25</v>
      </c>
      <c r="C898" s="71" t="n">
        <v>40688</v>
      </c>
      <c r="D898" s="72" t="n">
        <v>0</v>
      </c>
    </row>
    <row r="899">
      <c r="A899" s="71" t="n">
        <v>40689</v>
      </c>
      <c r="B899" s="72" t="n">
        <v>0.25</v>
      </c>
      <c r="C899" s="71" t="n">
        <v>40689</v>
      </c>
      <c r="D899" s="72" t="n">
        <v>0</v>
      </c>
    </row>
    <row r="900">
      <c r="A900" s="71" t="n">
        <v>40690</v>
      </c>
      <c r="B900" s="72" t="n">
        <v>0.25</v>
      </c>
      <c r="C900" s="71" t="n">
        <v>40690</v>
      </c>
      <c r="D900" s="72" t="n">
        <v>0</v>
      </c>
    </row>
    <row r="901">
      <c r="A901" s="71" t="n">
        <v>40691</v>
      </c>
      <c r="B901" s="72" t="n">
        <v>0.25</v>
      </c>
      <c r="C901" s="71" t="n">
        <v>40691</v>
      </c>
      <c r="D901" s="72" t="n">
        <v>0</v>
      </c>
    </row>
    <row r="902">
      <c r="A902" s="71" t="n">
        <v>40692</v>
      </c>
      <c r="B902" s="72" t="n">
        <v>0.25</v>
      </c>
      <c r="C902" s="71" t="n">
        <v>40692</v>
      </c>
      <c r="D902" s="72" t="n">
        <v>0</v>
      </c>
    </row>
    <row r="903">
      <c r="A903" s="71" t="n">
        <v>40693</v>
      </c>
      <c r="B903" s="72" t="n">
        <v>0.25</v>
      </c>
      <c r="C903" s="71" t="n">
        <v>40693</v>
      </c>
      <c r="D903" s="72" t="n">
        <v>0</v>
      </c>
    </row>
    <row r="904">
      <c r="A904" s="71" t="n">
        <v>40694</v>
      </c>
      <c r="B904" s="72" t="n">
        <v>0.25</v>
      </c>
      <c r="C904" s="71" t="n">
        <v>40694</v>
      </c>
      <c r="D904" s="72" t="n">
        <v>0</v>
      </c>
    </row>
    <row r="905">
      <c r="A905" s="71" t="n">
        <v>40695</v>
      </c>
      <c r="B905" s="72" t="n">
        <v>0.25</v>
      </c>
      <c r="C905" s="71" t="n">
        <v>40695</v>
      </c>
      <c r="D905" s="72" t="n">
        <v>0</v>
      </c>
    </row>
    <row r="906">
      <c r="A906" s="71" t="n">
        <v>40696</v>
      </c>
      <c r="B906" s="72" t="n">
        <v>0.25</v>
      </c>
      <c r="C906" s="71" t="n">
        <v>40696</v>
      </c>
      <c r="D906" s="72" t="n">
        <v>0</v>
      </c>
    </row>
    <row r="907">
      <c r="A907" s="71" t="n">
        <v>40697</v>
      </c>
      <c r="B907" s="72" t="n">
        <v>0.25</v>
      </c>
      <c r="C907" s="71" t="n">
        <v>40697</v>
      </c>
      <c r="D907" s="72" t="n">
        <v>0</v>
      </c>
    </row>
    <row r="908">
      <c r="A908" s="71" t="n">
        <v>40698</v>
      </c>
      <c r="B908" s="72" t="n">
        <v>0.25</v>
      </c>
      <c r="C908" s="71" t="n">
        <v>40698</v>
      </c>
      <c r="D908" s="72" t="n">
        <v>0</v>
      </c>
    </row>
    <row r="909">
      <c r="A909" s="71" t="n">
        <v>40699</v>
      </c>
      <c r="B909" s="72" t="n">
        <v>0.25</v>
      </c>
      <c r="C909" s="71" t="n">
        <v>40699</v>
      </c>
      <c r="D909" s="72" t="n">
        <v>0</v>
      </c>
    </row>
    <row r="910">
      <c r="A910" s="71" t="n">
        <v>40700</v>
      </c>
      <c r="B910" s="72" t="n">
        <v>0.25</v>
      </c>
      <c r="C910" s="71" t="n">
        <v>40700</v>
      </c>
      <c r="D910" s="72" t="n">
        <v>0</v>
      </c>
    </row>
    <row r="911">
      <c r="A911" s="71" t="n">
        <v>40701</v>
      </c>
      <c r="B911" s="72" t="n">
        <v>0.25</v>
      </c>
      <c r="C911" s="71" t="n">
        <v>40701</v>
      </c>
      <c r="D911" s="72" t="n">
        <v>0</v>
      </c>
    </row>
    <row r="912">
      <c r="A912" s="71" t="n">
        <v>40702</v>
      </c>
      <c r="B912" s="72" t="n">
        <v>0.25</v>
      </c>
      <c r="C912" s="71" t="n">
        <v>40702</v>
      </c>
      <c r="D912" s="72" t="n">
        <v>0</v>
      </c>
    </row>
    <row r="913">
      <c r="A913" s="71" t="n">
        <v>40703</v>
      </c>
      <c r="B913" s="72" t="n">
        <v>0.25</v>
      </c>
      <c r="C913" s="71" t="n">
        <v>40703</v>
      </c>
      <c r="D913" s="72" t="n">
        <v>0</v>
      </c>
    </row>
    <row r="914">
      <c r="A914" s="71" t="n">
        <v>40704</v>
      </c>
      <c r="B914" s="72" t="n">
        <v>0.25</v>
      </c>
      <c r="C914" s="71" t="n">
        <v>40704</v>
      </c>
      <c r="D914" s="72" t="n">
        <v>0</v>
      </c>
    </row>
    <row r="915">
      <c r="A915" s="71" t="n">
        <v>40705</v>
      </c>
      <c r="B915" s="72" t="n">
        <v>0.25</v>
      </c>
      <c r="C915" s="71" t="n">
        <v>40705</v>
      </c>
      <c r="D915" s="72" t="n">
        <v>0</v>
      </c>
    </row>
    <row r="916">
      <c r="A916" s="71" t="n">
        <v>40706</v>
      </c>
      <c r="B916" s="72" t="n">
        <v>0.25</v>
      </c>
      <c r="C916" s="71" t="n">
        <v>40706</v>
      </c>
      <c r="D916" s="72" t="n">
        <v>0</v>
      </c>
    </row>
    <row r="917">
      <c r="A917" s="71" t="n">
        <v>40707</v>
      </c>
      <c r="B917" s="72" t="n">
        <v>0.25</v>
      </c>
      <c r="C917" s="71" t="n">
        <v>40707</v>
      </c>
      <c r="D917" s="72" t="n">
        <v>0</v>
      </c>
    </row>
    <row r="918">
      <c r="A918" s="71" t="n">
        <v>40708</v>
      </c>
      <c r="B918" s="72" t="n">
        <v>0.25</v>
      </c>
      <c r="C918" s="71" t="n">
        <v>40708</v>
      </c>
      <c r="D918" s="72" t="n">
        <v>0</v>
      </c>
    </row>
    <row r="919">
      <c r="A919" s="71" t="n">
        <v>40709</v>
      </c>
      <c r="B919" s="72" t="n">
        <v>0.25</v>
      </c>
      <c r="C919" s="71" t="n">
        <v>40709</v>
      </c>
      <c r="D919" s="72" t="n">
        <v>0</v>
      </c>
    </row>
    <row r="920">
      <c r="A920" s="71" t="n">
        <v>40710</v>
      </c>
      <c r="B920" s="72" t="n">
        <v>0.25</v>
      </c>
      <c r="C920" s="71" t="n">
        <v>40710</v>
      </c>
      <c r="D920" s="72" t="n">
        <v>0</v>
      </c>
    </row>
    <row r="921">
      <c r="A921" s="71" t="n">
        <v>40711</v>
      </c>
      <c r="B921" s="72" t="n">
        <v>0.25</v>
      </c>
      <c r="C921" s="71" t="n">
        <v>40711</v>
      </c>
      <c r="D921" s="72" t="n">
        <v>0</v>
      </c>
    </row>
    <row r="922">
      <c r="A922" s="71" t="n">
        <v>40712</v>
      </c>
      <c r="B922" s="72" t="n">
        <v>0.25</v>
      </c>
      <c r="C922" s="71" t="n">
        <v>40712</v>
      </c>
      <c r="D922" s="72" t="n">
        <v>0</v>
      </c>
    </row>
    <row r="923">
      <c r="A923" s="71" t="n">
        <v>40713</v>
      </c>
      <c r="B923" s="72" t="n">
        <v>0.25</v>
      </c>
      <c r="C923" s="71" t="n">
        <v>40713</v>
      </c>
      <c r="D923" s="72" t="n">
        <v>0</v>
      </c>
    </row>
    <row r="924">
      <c r="A924" s="71" t="n">
        <v>40714</v>
      </c>
      <c r="B924" s="72" t="n">
        <v>0.25</v>
      </c>
      <c r="C924" s="71" t="n">
        <v>40714</v>
      </c>
      <c r="D924" s="72" t="n">
        <v>0</v>
      </c>
    </row>
    <row r="925">
      <c r="A925" s="71" t="n">
        <v>40715</v>
      </c>
      <c r="B925" s="72" t="n">
        <v>0.25</v>
      </c>
      <c r="C925" s="71" t="n">
        <v>40715</v>
      </c>
      <c r="D925" s="72" t="n">
        <v>0</v>
      </c>
    </row>
    <row r="926">
      <c r="A926" s="71" t="n">
        <v>40716</v>
      </c>
      <c r="B926" s="72" t="n">
        <v>0.25</v>
      </c>
      <c r="C926" s="71" t="n">
        <v>40716</v>
      </c>
      <c r="D926" s="72" t="n">
        <v>0</v>
      </c>
    </row>
    <row r="927">
      <c r="A927" s="71" t="n">
        <v>40717</v>
      </c>
      <c r="B927" s="72" t="n">
        <v>0.25</v>
      </c>
      <c r="C927" s="71" t="n">
        <v>40717</v>
      </c>
      <c r="D927" s="72" t="n">
        <v>0</v>
      </c>
    </row>
    <row r="928">
      <c r="A928" s="71" t="n">
        <v>40718</v>
      </c>
      <c r="B928" s="72" t="n">
        <v>0.25</v>
      </c>
      <c r="C928" s="71" t="n">
        <v>40718</v>
      </c>
      <c r="D928" s="72" t="n">
        <v>0</v>
      </c>
    </row>
    <row r="929">
      <c r="A929" s="71" t="n">
        <v>40719</v>
      </c>
      <c r="B929" s="72" t="n">
        <v>0.25</v>
      </c>
      <c r="C929" s="71" t="n">
        <v>40719</v>
      </c>
      <c r="D929" s="72" t="n">
        <v>0</v>
      </c>
    </row>
    <row r="930">
      <c r="A930" s="71" t="n">
        <v>40720</v>
      </c>
      <c r="B930" s="72" t="n">
        <v>0.25</v>
      </c>
      <c r="C930" s="71" t="n">
        <v>40720</v>
      </c>
      <c r="D930" s="72" t="n">
        <v>0</v>
      </c>
    </row>
    <row r="931">
      <c r="A931" s="71" t="n">
        <v>40721</v>
      </c>
      <c r="B931" s="72" t="n">
        <v>0.25</v>
      </c>
      <c r="C931" s="71" t="n">
        <v>40721</v>
      </c>
      <c r="D931" s="72" t="n">
        <v>0</v>
      </c>
    </row>
    <row r="932">
      <c r="A932" s="71" t="n">
        <v>40722</v>
      </c>
      <c r="B932" s="72" t="n">
        <v>0.25</v>
      </c>
      <c r="C932" s="71" t="n">
        <v>40722</v>
      </c>
      <c r="D932" s="72" t="n">
        <v>0</v>
      </c>
    </row>
    <row r="933">
      <c r="A933" s="71" t="n">
        <v>40723</v>
      </c>
      <c r="B933" s="72" t="n">
        <v>0.25</v>
      </c>
      <c r="C933" s="71" t="n">
        <v>40723</v>
      </c>
      <c r="D933" s="72" t="n">
        <v>0</v>
      </c>
    </row>
    <row r="934">
      <c r="A934" s="71" t="n">
        <v>40724</v>
      </c>
      <c r="B934" s="72" t="n">
        <v>0.25</v>
      </c>
      <c r="C934" s="71" t="n">
        <v>40724</v>
      </c>
      <c r="D934" s="72" t="n">
        <v>0</v>
      </c>
    </row>
    <row r="935">
      <c r="A935" s="71" t="n">
        <v>40725</v>
      </c>
      <c r="B935" s="72" t="n">
        <v>0.25</v>
      </c>
      <c r="C935" s="71" t="n">
        <v>40725</v>
      </c>
      <c r="D935" s="72" t="n">
        <v>0</v>
      </c>
    </row>
    <row r="936">
      <c r="A936" s="71" t="n">
        <v>40726</v>
      </c>
      <c r="B936" s="72" t="n">
        <v>0.25</v>
      </c>
      <c r="C936" s="71" t="n">
        <v>40726</v>
      </c>
      <c r="D936" s="72" t="n">
        <v>0</v>
      </c>
    </row>
    <row r="937">
      <c r="A937" s="71" t="n">
        <v>40727</v>
      </c>
      <c r="B937" s="72" t="n">
        <v>0.25</v>
      </c>
      <c r="C937" s="71" t="n">
        <v>40727</v>
      </c>
      <c r="D937" s="72" t="n">
        <v>0</v>
      </c>
    </row>
    <row r="938">
      <c r="A938" s="71" t="n">
        <v>40728</v>
      </c>
      <c r="B938" s="72" t="n">
        <v>0.25</v>
      </c>
      <c r="C938" s="71" t="n">
        <v>40728</v>
      </c>
      <c r="D938" s="72" t="n">
        <v>0</v>
      </c>
    </row>
    <row r="939">
      <c r="A939" s="71" t="n">
        <v>40729</v>
      </c>
      <c r="B939" s="72" t="n">
        <v>0.25</v>
      </c>
      <c r="C939" s="71" t="n">
        <v>40729</v>
      </c>
      <c r="D939" s="72" t="n">
        <v>0</v>
      </c>
    </row>
    <row r="940">
      <c r="A940" s="71" t="n">
        <v>40730</v>
      </c>
      <c r="B940" s="72" t="n">
        <v>0.25</v>
      </c>
      <c r="C940" s="71" t="n">
        <v>40730</v>
      </c>
      <c r="D940" s="72" t="n">
        <v>0</v>
      </c>
    </row>
    <row r="941">
      <c r="A941" s="71" t="n">
        <v>40731</v>
      </c>
      <c r="B941" s="72" t="n">
        <v>0.25</v>
      </c>
      <c r="C941" s="71" t="n">
        <v>40731</v>
      </c>
      <c r="D941" s="72" t="n">
        <v>0</v>
      </c>
    </row>
    <row r="942">
      <c r="A942" s="71" t="n">
        <v>40732</v>
      </c>
      <c r="B942" s="72" t="n">
        <v>0.25</v>
      </c>
      <c r="C942" s="71" t="n">
        <v>40732</v>
      </c>
      <c r="D942" s="72" t="n">
        <v>0</v>
      </c>
    </row>
    <row r="943">
      <c r="A943" s="71" t="n">
        <v>40733</v>
      </c>
      <c r="B943" s="72" t="n">
        <v>0.25</v>
      </c>
      <c r="C943" s="71" t="n">
        <v>40733</v>
      </c>
      <c r="D943" s="72" t="n">
        <v>0</v>
      </c>
    </row>
    <row r="944">
      <c r="A944" s="71" t="n">
        <v>40734</v>
      </c>
      <c r="B944" s="72" t="n">
        <v>0.25</v>
      </c>
      <c r="C944" s="71" t="n">
        <v>40734</v>
      </c>
      <c r="D944" s="72" t="n">
        <v>0</v>
      </c>
    </row>
    <row r="945">
      <c r="A945" s="71" t="n">
        <v>40735</v>
      </c>
      <c r="B945" s="72" t="n">
        <v>0.25</v>
      </c>
      <c r="C945" s="71" t="n">
        <v>40735</v>
      </c>
      <c r="D945" s="72" t="n">
        <v>0</v>
      </c>
    </row>
    <row r="946">
      <c r="A946" s="71" t="n">
        <v>40736</v>
      </c>
      <c r="B946" s="72" t="n">
        <v>0.25</v>
      </c>
      <c r="C946" s="71" t="n">
        <v>40736</v>
      </c>
      <c r="D946" s="72" t="n">
        <v>0</v>
      </c>
    </row>
    <row r="947">
      <c r="A947" s="71" t="n">
        <v>40737</v>
      </c>
      <c r="B947" s="72" t="n">
        <v>0.25</v>
      </c>
      <c r="C947" s="71" t="n">
        <v>40737</v>
      </c>
      <c r="D947" s="72" t="n">
        <v>0</v>
      </c>
    </row>
    <row r="948">
      <c r="A948" s="71" t="n">
        <v>40738</v>
      </c>
      <c r="B948" s="72" t="n">
        <v>0.25</v>
      </c>
      <c r="C948" s="71" t="n">
        <v>40738</v>
      </c>
      <c r="D948" s="72" t="n">
        <v>0</v>
      </c>
    </row>
    <row r="949">
      <c r="A949" s="71" t="n">
        <v>40739</v>
      </c>
      <c r="B949" s="72" t="n">
        <v>0.25</v>
      </c>
      <c r="C949" s="71" t="n">
        <v>40739</v>
      </c>
      <c r="D949" s="72" t="n">
        <v>0</v>
      </c>
    </row>
    <row r="950">
      <c r="A950" s="71" t="n">
        <v>40740</v>
      </c>
      <c r="B950" s="72" t="n">
        <v>0.25</v>
      </c>
      <c r="C950" s="71" t="n">
        <v>40740</v>
      </c>
      <c r="D950" s="72" t="n">
        <v>0</v>
      </c>
    </row>
    <row r="951">
      <c r="A951" s="71" t="n">
        <v>40741</v>
      </c>
      <c r="B951" s="72" t="n">
        <v>0.25</v>
      </c>
      <c r="C951" s="71" t="n">
        <v>40741</v>
      </c>
      <c r="D951" s="72" t="n">
        <v>0</v>
      </c>
    </row>
    <row r="952">
      <c r="A952" s="71" t="n">
        <v>40742</v>
      </c>
      <c r="B952" s="72" t="n">
        <v>0.25</v>
      </c>
      <c r="C952" s="71" t="n">
        <v>40742</v>
      </c>
      <c r="D952" s="72" t="n">
        <v>0</v>
      </c>
    </row>
    <row r="953">
      <c r="A953" s="71" t="n">
        <v>40743</v>
      </c>
      <c r="B953" s="72" t="n">
        <v>0.25</v>
      </c>
      <c r="C953" s="71" t="n">
        <v>40743</v>
      </c>
      <c r="D953" s="72" t="n">
        <v>0</v>
      </c>
    </row>
    <row r="954">
      <c r="A954" s="71" t="n">
        <v>40744</v>
      </c>
      <c r="B954" s="72" t="n">
        <v>0.25</v>
      </c>
      <c r="C954" s="71" t="n">
        <v>40744</v>
      </c>
      <c r="D954" s="72" t="n">
        <v>0</v>
      </c>
    </row>
    <row r="955">
      <c r="A955" s="71" t="n">
        <v>40745</v>
      </c>
      <c r="B955" s="72" t="n">
        <v>0.25</v>
      </c>
      <c r="C955" s="71" t="n">
        <v>40745</v>
      </c>
      <c r="D955" s="72" t="n">
        <v>0</v>
      </c>
    </row>
    <row r="956">
      <c r="A956" s="71" t="n">
        <v>40746</v>
      </c>
      <c r="B956" s="72" t="n">
        <v>0.25</v>
      </c>
      <c r="C956" s="71" t="n">
        <v>40746</v>
      </c>
      <c r="D956" s="72" t="n">
        <v>0</v>
      </c>
    </row>
    <row r="957">
      <c r="A957" s="71" t="n">
        <v>40747</v>
      </c>
      <c r="B957" s="72" t="n">
        <v>0.25</v>
      </c>
      <c r="C957" s="71" t="n">
        <v>40747</v>
      </c>
      <c r="D957" s="72" t="n">
        <v>0</v>
      </c>
    </row>
    <row r="958">
      <c r="A958" s="71" t="n">
        <v>40748</v>
      </c>
      <c r="B958" s="72" t="n">
        <v>0.25</v>
      </c>
      <c r="C958" s="71" t="n">
        <v>40748</v>
      </c>
      <c r="D958" s="72" t="n">
        <v>0</v>
      </c>
    </row>
    <row r="959">
      <c r="A959" s="71" t="n">
        <v>40749</v>
      </c>
      <c r="B959" s="72" t="n">
        <v>0.25</v>
      </c>
      <c r="C959" s="71" t="n">
        <v>40749</v>
      </c>
      <c r="D959" s="72" t="n">
        <v>0</v>
      </c>
    </row>
    <row r="960">
      <c r="A960" s="71" t="n">
        <v>40750</v>
      </c>
      <c r="B960" s="72" t="n">
        <v>0.25</v>
      </c>
      <c r="C960" s="71" t="n">
        <v>40750</v>
      </c>
      <c r="D960" s="72" t="n">
        <v>0</v>
      </c>
    </row>
    <row r="961">
      <c r="A961" s="71" t="n">
        <v>40751</v>
      </c>
      <c r="B961" s="72" t="n">
        <v>0.25</v>
      </c>
      <c r="C961" s="71" t="n">
        <v>40751</v>
      </c>
      <c r="D961" s="72" t="n">
        <v>0</v>
      </c>
    </row>
    <row r="962">
      <c r="A962" s="71" t="n">
        <v>40752</v>
      </c>
      <c r="B962" s="72" t="n">
        <v>0.25</v>
      </c>
      <c r="C962" s="71" t="n">
        <v>40752</v>
      </c>
      <c r="D962" s="72" t="n">
        <v>0</v>
      </c>
    </row>
    <row r="963">
      <c r="A963" s="71" t="n">
        <v>40753</v>
      </c>
      <c r="B963" s="72" t="n">
        <v>0.25</v>
      </c>
      <c r="C963" s="71" t="n">
        <v>40753</v>
      </c>
      <c r="D963" s="72" t="n">
        <v>0</v>
      </c>
    </row>
    <row r="964">
      <c r="A964" s="71" t="n">
        <v>40754</v>
      </c>
      <c r="B964" s="72" t="n">
        <v>0.25</v>
      </c>
      <c r="C964" s="71" t="n">
        <v>40754</v>
      </c>
      <c r="D964" s="72" t="n">
        <v>0</v>
      </c>
    </row>
    <row r="965">
      <c r="A965" s="71" t="n">
        <v>40755</v>
      </c>
      <c r="B965" s="72" t="n">
        <v>0.25</v>
      </c>
      <c r="C965" s="71" t="n">
        <v>40755</v>
      </c>
      <c r="D965" s="72" t="n">
        <v>0</v>
      </c>
    </row>
    <row r="966">
      <c r="A966" s="71" t="n">
        <v>40756</v>
      </c>
      <c r="B966" s="72" t="n">
        <v>0.25</v>
      </c>
      <c r="C966" s="71" t="n">
        <v>40756</v>
      </c>
      <c r="D966" s="72" t="n">
        <v>0</v>
      </c>
    </row>
    <row r="967">
      <c r="A967" s="71" t="n">
        <v>40757</v>
      </c>
      <c r="B967" s="72" t="n">
        <v>0.25</v>
      </c>
      <c r="C967" s="71" t="n">
        <v>40757</v>
      </c>
      <c r="D967" s="72" t="n">
        <v>0</v>
      </c>
    </row>
    <row r="968">
      <c r="A968" s="71" t="n">
        <v>40758</v>
      </c>
      <c r="B968" s="72" t="n">
        <v>0.25</v>
      </c>
      <c r="C968" s="71" t="n">
        <v>40758</v>
      </c>
      <c r="D968" s="72" t="n">
        <v>0</v>
      </c>
    </row>
    <row r="969">
      <c r="A969" s="71" t="n">
        <v>40759</v>
      </c>
      <c r="B969" s="72" t="n">
        <v>0.25</v>
      </c>
      <c r="C969" s="71" t="n">
        <v>40759</v>
      </c>
      <c r="D969" s="72" t="n">
        <v>0</v>
      </c>
    </row>
    <row r="970">
      <c r="A970" s="71" t="n">
        <v>40760</v>
      </c>
      <c r="B970" s="72" t="n">
        <v>0.25</v>
      </c>
      <c r="C970" s="71" t="n">
        <v>40760</v>
      </c>
      <c r="D970" s="72" t="n">
        <v>0</v>
      </c>
    </row>
    <row r="971">
      <c r="A971" s="71" t="n">
        <v>40761</v>
      </c>
      <c r="B971" s="72" t="n">
        <v>0.25</v>
      </c>
      <c r="C971" s="71" t="n">
        <v>40761</v>
      </c>
      <c r="D971" s="72" t="n">
        <v>0</v>
      </c>
    </row>
    <row r="972">
      <c r="A972" s="71" t="n">
        <v>40762</v>
      </c>
      <c r="B972" s="72" t="n">
        <v>0.25</v>
      </c>
      <c r="C972" s="71" t="n">
        <v>40762</v>
      </c>
      <c r="D972" s="72" t="n">
        <v>0</v>
      </c>
    </row>
    <row r="973">
      <c r="A973" s="71" t="n">
        <v>40763</v>
      </c>
      <c r="B973" s="72" t="n">
        <v>0.25</v>
      </c>
      <c r="C973" s="71" t="n">
        <v>40763</v>
      </c>
      <c r="D973" s="72" t="n">
        <v>0</v>
      </c>
    </row>
    <row r="974">
      <c r="A974" s="71" t="n">
        <v>40764</v>
      </c>
      <c r="B974" s="72" t="n">
        <v>0.25</v>
      </c>
      <c r="C974" s="71" t="n">
        <v>40764</v>
      </c>
      <c r="D974" s="72" t="n">
        <v>0</v>
      </c>
    </row>
    <row r="975">
      <c r="A975" s="71" t="n">
        <v>40765</v>
      </c>
      <c r="B975" s="72" t="n">
        <v>0.25</v>
      </c>
      <c r="C975" s="71" t="n">
        <v>40765</v>
      </c>
      <c r="D975" s="72" t="n">
        <v>0</v>
      </c>
    </row>
    <row r="976">
      <c r="A976" s="71" t="n">
        <v>40766</v>
      </c>
      <c r="B976" s="72" t="n">
        <v>0.25</v>
      </c>
      <c r="C976" s="71" t="n">
        <v>40766</v>
      </c>
      <c r="D976" s="72" t="n">
        <v>0</v>
      </c>
    </row>
    <row r="977">
      <c r="A977" s="71" t="n">
        <v>40767</v>
      </c>
      <c r="B977" s="72" t="n">
        <v>0.25</v>
      </c>
      <c r="C977" s="71" t="n">
        <v>40767</v>
      </c>
      <c r="D977" s="72" t="n">
        <v>0</v>
      </c>
    </row>
    <row r="978">
      <c r="A978" s="71" t="n">
        <v>40768</v>
      </c>
      <c r="B978" s="72" t="n">
        <v>0.25</v>
      </c>
      <c r="C978" s="71" t="n">
        <v>40768</v>
      </c>
      <c r="D978" s="72" t="n">
        <v>0</v>
      </c>
    </row>
    <row r="979">
      <c r="A979" s="71" t="n">
        <v>40769</v>
      </c>
      <c r="B979" s="72" t="n">
        <v>0.25</v>
      </c>
      <c r="C979" s="71" t="n">
        <v>40769</v>
      </c>
      <c r="D979" s="72" t="n">
        <v>0</v>
      </c>
    </row>
    <row r="980">
      <c r="A980" s="71" t="n">
        <v>40770</v>
      </c>
      <c r="B980" s="72" t="n">
        <v>0.25</v>
      </c>
      <c r="C980" s="71" t="n">
        <v>40770</v>
      </c>
      <c r="D980" s="72" t="n">
        <v>0</v>
      </c>
    </row>
    <row r="981">
      <c r="A981" s="71" t="n">
        <v>40771</v>
      </c>
      <c r="B981" s="72" t="n">
        <v>0.25</v>
      </c>
      <c r="C981" s="71" t="n">
        <v>40771</v>
      </c>
      <c r="D981" s="72" t="n">
        <v>0</v>
      </c>
    </row>
    <row r="982">
      <c r="A982" s="71" t="n">
        <v>40772</v>
      </c>
      <c r="B982" s="72" t="n">
        <v>0.25</v>
      </c>
      <c r="C982" s="71" t="n">
        <v>40772</v>
      </c>
      <c r="D982" s="72" t="n">
        <v>0</v>
      </c>
    </row>
    <row r="983">
      <c r="A983" s="71" t="n">
        <v>40773</v>
      </c>
      <c r="B983" s="72" t="n">
        <v>0.25</v>
      </c>
      <c r="C983" s="71" t="n">
        <v>40773</v>
      </c>
      <c r="D983" s="72" t="n">
        <v>0</v>
      </c>
    </row>
    <row r="984">
      <c r="A984" s="71" t="n">
        <v>40774</v>
      </c>
      <c r="B984" s="72" t="n">
        <v>0.25</v>
      </c>
      <c r="C984" s="71" t="n">
        <v>40774</v>
      </c>
      <c r="D984" s="72" t="n">
        <v>0</v>
      </c>
    </row>
    <row r="985">
      <c r="A985" s="71" t="n">
        <v>40775</v>
      </c>
      <c r="B985" s="72" t="n">
        <v>0.25</v>
      </c>
      <c r="C985" s="71" t="n">
        <v>40775</v>
      </c>
      <c r="D985" s="72" t="n">
        <v>0</v>
      </c>
    </row>
    <row r="986">
      <c r="A986" s="71" t="n">
        <v>40776</v>
      </c>
      <c r="B986" s="72" t="n">
        <v>0.25</v>
      </c>
      <c r="C986" s="71" t="n">
        <v>40776</v>
      </c>
      <c r="D986" s="72" t="n">
        <v>0</v>
      </c>
    </row>
    <row r="987">
      <c r="A987" s="71" t="n">
        <v>40777</v>
      </c>
      <c r="B987" s="72" t="n">
        <v>0.25</v>
      </c>
      <c r="C987" s="71" t="n">
        <v>40777</v>
      </c>
      <c r="D987" s="72" t="n">
        <v>0</v>
      </c>
    </row>
    <row r="988">
      <c r="A988" s="71" t="n">
        <v>40778</v>
      </c>
      <c r="B988" s="72" t="n">
        <v>0.25</v>
      </c>
      <c r="C988" s="71" t="n">
        <v>40778</v>
      </c>
      <c r="D988" s="72" t="n">
        <v>0</v>
      </c>
    </row>
    <row r="989">
      <c r="A989" s="71" t="n">
        <v>40779</v>
      </c>
      <c r="B989" s="72" t="n">
        <v>0.25</v>
      </c>
      <c r="C989" s="71" t="n">
        <v>40779</v>
      </c>
      <c r="D989" s="72" t="n">
        <v>0</v>
      </c>
    </row>
    <row r="990">
      <c r="A990" s="71" t="n">
        <v>40780</v>
      </c>
      <c r="B990" s="72" t="n">
        <v>0.25</v>
      </c>
      <c r="C990" s="71" t="n">
        <v>40780</v>
      </c>
      <c r="D990" s="72" t="n">
        <v>0</v>
      </c>
    </row>
    <row r="991">
      <c r="A991" s="71" t="n">
        <v>40781</v>
      </c>
      <c r="B991" s="72" t="n">
        <v>0.25</v>
      </c>
      <c r="C991" s="71" t="n">
        <v>40781</v>
      </c>
      <c r="D991" s="72" t="n">
        <v>0</v>
      </c>
    </row>
    <row r="992">
      <c r="A992" s="71" t="n">
        <v>40782</v>
      </c>
      <c r="B992" s="72" t="n">
        <v>0.25</v>
      </c>
      <c r="C992" s="71" t="n">
        <v>40782</v>
      </c>
      <c r="D992" s="72" t="n">
        <v>0</v>
      </c>
    </row>
    <row r="993">
      <c r="A993" s="71" t="n">
        <v>40783</v>
      </c>
      <c r="B993" s="72" t="n">
        <v>0.25</v>
      </c>
      <c r="C993" s="71" t="n">
        <v>40783</v>
      </c>
      <c r="D993" s="72" t="n">
        <v>0</v>
      </c>
    </row>
    <row r="994">
      <c r="A994" s="71" t="n">
        <v>40784</v>
      </c>
      <c r="B994" s="72" t="n">
        <v>0.25</v>
      </c>
      <c r="C994" s="71" t="n">
        <v>40784</v>
      </c>
      <c r="D994" s="72" t="n">
        <v>0</v>
      </c>
    </row>
    <row r="995">
      <c r="A995" s="71" t="n">
        <v>40785</v>
      </c>
      <c r="B995" s="72" t="n">
        <v>0.25</v>
      </c>
      <c r="C995" s="71" t="n">
        <v>40785</v>
      </c>
      <c r="D995" s="72" t="n">
        <v>0</v>
      </c>
    </row>
    <row r="996">
      <c r="A996" s="71" t="n">
        <v>40786</v>
      </c>
      <c r="B996" s="72" t="n">
        <v>0.25</v>
      </c>
      <c r="C996" s="71" t="n">
        <v>40786</v>
      </c>
      <c r="D996" s="72" t="n">
        <v>0</v>
      </c>
    </row>
    <row r="997">
      <c r="A997" s="71" t="n">
        <v>40787</v>
      </c>
      <c r="B997" s="72" t="n">
        <v>0.25</v>
      </c>
      <c r="C997" s="71" t="n">
        <v>40787</v>
      </c>
      <c r="D997" s="72" t="n">
        <v>0</v>
      </c>
    </row>
    <row r="998">
      <c r="A998" s="71" t="n">
        <v>40788</v>
      </c>
      <c r="B998" s="72" t="n">
        <v>0.25</v>
      </c>
      <c r="C998" s="71" t="n">
        <v>40788</v>
      </c>
      <c r="D998" s="72" t="n">
        <v>0</v>
      </c>
    </row>
    <row r="999">
      <c r="A999" s="71" t="n">
        <v>40789</v>
      </c>
      <c r="B999" s="72" t="n">
        <v>0.25</v>
      </c>
      <c r="C999" s="71" t="n">
        <v>40789</v>
      </c>
      <c r="D999" s="72" t="n">
        <v>0</v>
      </c>
    </row>
    <row r="1000">
      <c r="A1000" s="71" t="n">
        <v>40790</v>
      </c>
      <c r="B1000" s="72" t="n">
        <v>0.25</v>
      </c>
      <c r="C1000" s="71" t="n">
        <v>40790</v>
      </c>
      <c r="D1000" s="72" t="n">
        <v>0</v>
      </c>
    </row>
    <row r="1001">
      <c r="A1001" s="71" t="n">
        <v>40791</v>
      </c>
      <c r="B1001" s="72" t="n">
        <v>0.25</v>
      </c>
      <c r="C1001" s="71" t="n">
        <v>40791</v>
      </c>
      <c r="D1001" s="72" t="n">
        <v>0</v>
      </c>
    </row>
    <row r="1002">
      <c r="A1002" s="71" t="n">
        <v>40792</v>
      </c>
      <c r="B1002" s="72" t="n">
        <v>0.25</v>
      </c>
      <c r="C1002" s="71" t="n">
        <v>40792</v>
      </c>
      <c r="D1002" s="72" t="n">
        <v>0</v>
      </c>
    </row>
    <row r="1003">
      <c r="A1003" s="71" t="n">
        <v>40793</v>
      </c>
      <c r="B1003" s="72" t="n">
        <v>0.25</v>
      </c>
      <c r="C1003" s="71" t="n">
        <v>40793</v>
      </c>
      <c r="D1003" s="72" t="n">
        <v>0</v>
      </c>
    </row>
    <row r="1004">
      <c r="A1004" s="71" t="n">
        <v>40794</v>
      </c>
      <c r="B1004" s="72" t="n">
        <v>0.25</v>
      </c>
      <c r="C1004" s="71" t="n">
        <v>40794</v>
      </c>
      <c r="D1004" s="72" t="n">
        <v>0</v>
      </c>
    </row>
    <row r="1005">
      <c r="A1005" s="71" t="n">
        <v>40795</v>
      </c>
      <c r="B1005" s="72" t="n">
        <v>0.25</v>
      </c>
      <c r="C1005" s="71" t="n">
        <v>40795</v>
      </c>
      <c r="D1005" s="72" t="n">
        <v>0</v>
      </c>
    </row>
    <row r="1006">
      <c r="A1006" s="71" t="n">
        <v>40796</v>
      </c>
      <c r="B1006" s="72" t="n">
        <v>0.25</v>
      </c>
      <c r="C1006" s="71" t="n">
        <v>40796</v>
      </c>
      <c r="D1006" s="72" t="n">
        <v>0</v>
      </c>
    </row>
    <row r="1007">
      <c r="A1007" s="71" t="n">
        <v>40797</v>
      </c>
      <c r="B1007" s="72" t="n">
        <v>0.25</v>
      </c>
      <c r="C1007" s="71" t="n">
        <v>40797</v>
      </c>
      <c r="D1007" s="72" t="n">
        <v>0</v>
      </c>
    </row>
    <row r="1008">
      <c r="A1008" s="71" t="n">
        <v>40798</v>
      </c>
      <c r="B1008" s="72" t="n">
        <v>0.25</v>
      </c>
      <c r="C1008" s="71" t="n">
        <v>40798</v>
      </c>
      <c r="D1008" s="72" t="n">
        <v>0</v>
      </c>
    </row>
    <row r="1009">
      <c r="A1009" s="71" t="n">
        <v>40799</v>
      </c>
      <c r="B1009" s="72" t="n">
        <v>0.25</v>
      </c>
      <c r="C1009" s="71" t="n">
        <v>40799</v>
      </c>
      <c r="D1009" s="72" t="n">
        <v>0</v>
      </c>
    </row>
    <row r="1010">
      <c r="A1010" s="71" t="n">
        <v>40800</v>
      </c>
      <c r="B1010" s="72" t="n">
        <v>0.25</v>
      </c>
      <c r="C1010" s="71" t="n">
        <v>40800</v>
      </c>
      <c r="D1010" s="72" t="n">
        <v>0</v>
      </c>
    </row>
    <row r="1011">
      <c r="A1011" s="71" t="n">
        <v>40801</v>
      </c>
      <c r="B1011" s="72" t="n">
        <v>0.25</v>
      </c>
      <c r="C1011" s="71" t="n">
        <v>40801</v>
      </c>
      <c r="D1011" s="72" t="n">
        <v>0</v>
      </c>
    </row>
    <row r="1012">
      <c r="A1012" s="71" t="n">
        <v>40802</v>
      </c>
      <c r="B1012" s="72" t="n">
        <v>0.25</v>
      </c>
      <c r="C1012" s="71" t="n">
        <v>40802</v>
      </c>
      <c r="D1012" s="72" t="n">
        <v>0</v>
      </c>
    </row>
    <row r="1013">
      <c r="A1013" s="71" t="n">
        <v>40803</v>
      </c>
      <c r="B1013" s="72" t="n">
        <v>0.25</v>
      </c>
      <c r="C1013" s="71" t="n">
        <v>40803</v>
      </c>
      <c r="D1013" s="72" t="n">
        <v>0</v>
      </c>
    </row>
    <row r="1014">
      <c r="A1014" s="71" t="n">
        <v>40804</v>
      </c>
      <c r="B1014" s="72" t="n">
        <v>0.25</v>
      </c>
      <c r="C1014" s="71" t="n">
        <v>40804</v>
      </c>
      <c r="D1014" s="72" t="n">
        <v>0</v>
      </c>
    </row>
    <row r="1015">
      <c r="A1015" s="71" t="n">
        <v>40805</v>
      </c>
      <c r="B1015" s="72" t="n">
        <v>0.25</v>
      </c>
      <c r="C1015" s="71" t="n">
        <v>40805</v>
      </c>
      <c r="D1015" s="72" t="n">
        <v>0</v>
      </c>
    </row>
    <row r="1016">
      <c r="A1016" s="71" t="n">
        <v>40806</v>
      </c>
      <c r="B1016" s="72" t="n">
        <v>0.25</v>
      </c>
      <c r="C1016" s="71" t="n">
        <v>40806</v>
      </c>
      <c r="D1016" s="72" t="n">
        <v>0</v>
      </c>
    </row>
    <row r="1017">
      <c r="A1017" s="71" t="n">
        <v>40807</v>
      </c>
      <c r="B1017" s="72" t="n">
        <v>0.25</v>
      </c>
      <c r="C1017" s="71" t="n">
        <v>40807</v>
      </c>
      <c r="D1017" s="72" t="n">
        <v>0</v>
      </c>
    </row>
    <row r="1018">
      <c r="A1018" s="71" t="n">
        <v>40808</v>
      </c>
      <c r="B1018" s="72" t="n">
        <v>0.25</v>
      </c>
      <c r="C1018" s="71" t="n">
        <v>40808</v>
      </c>
      <c r="D1018" s="72" t="n">
        <v>0</v>
      </c>
    </row>
    <row r="1019">
      <c r="A1019" s="71" t="n">
        <v>40809</v>
      </c>
      <c r="B1019" s="72" t="n">
        <v>0.25</v>
      </c>
      <c r="C1019" s="71" t="n">
        <v>40809</v>
      </c>
      <c r="D1019" s="72" t="n">
        <v>0</v>
      </c>
    </row>
    <row r="1020">
      <c r="A1020" s="71" t="n">
        <v>40810</v>
      </c>
      <c r="B1020" s="72" t="n">
        <v>0.25</v>
      </c>
      <c r="C1020" s="71" t="n">
        <v>40810</v>
      </c>
      <c r="D1020" s="72" t="n">
        <v>0</v>
      </c>
    </row>
    <row r="1021">
      <c r="A1021" s="71" t="n">
        <v>40811</v>
      </c>
      <c r="B1021" s="72" t="n">
        <v>0.25</v>
      </c>
      <c r="C1021" s="71" t="n">
        <v>40811</v>
      </c>
      <c r="D1021" s="72" t="n">
        <v>0</v>
      </c>
    </row>
    <row r="1022">
      <c r="A1022" s="71" t="n">
        <v>40812</v>
      </c>
      <c r="B1022" s="72" t="n">
        <v>0.25</v>
      </c>
      <c r="C1022" s="71" t="n">
        <v>40812</v>
      </c>
      <c r="D1022" s="72" t="n">
        <v>0</v>
      </c>
    </row>
    <row r="1023">
      <c r="A1023" s="71" t="n">
        <v>40813</v>
      </c>
      <c r="B1023" s="72" t="n">
        <v>0.25</v>
      </c>
      <c r="C1023" s="71" t="n">
        <v>40813</v>
      </c>
      <c r="D1023" s="72" t="n">
        <v>0</v>
      </c>
    </row>
    <row r="1024">
      <c r="A1024" s="71" t="n">
        <v>40814</v>
      </c>
      <c r="B1024" s="72" t="n">
        <v>0.25</v>
      </c>
      <c r="C1024" s="71" t="n">
        <v>40814</v>
      </c>
      <c r="D1024" s="72" t="n">
        <v>0</v>
      </c>
    </row>
    <row r="1025">
      <c r="A1025" s="71" t="n">
        <v>40815</v>
      </c>
      <c r="B1025" s="72" t="n">
        <v>0.25</v>
      </c>
      <c r="C1025" s="71" t="n">
        <v>40815</v>
      </c>
      <c r="D1025" s="72" t="n">
        <v>0</v>
      </c>
    </row>
    <row r="1026">
      <c r="A1026" s="71" t="n">
        <v>40816</v>
      </c>
      <c r="B1026" s="72" t="n">
        <v>0.25</v>
      </c>
      <c r="C1026" s="71" t="n">
        <v>40816</v>
      </c>
      <c r="D1026" s="72" t="n">
        <v>0</v>
      </c>
    </row>
    <row r="1027">
      <c r="A1027" s="71" t="n">
        <v>40817</v>
      </c>
      <c r="B1027" s="72" t="n">
        <v>0.25</v>
      </c>
      <c r="C1027" s="71" t="n">
        <v>40817</v>
      </c>
      <c r="D1027" s="72" t="n">
        <v>0</v>
      </c>
    </row>
    <row r="1028">
      <c r="A1028" s="71" t="n">
        <v>40818</v>
      </c>
      <c r="B1028" s="72" t="n">
        <v>0.25</v>
      </c>
      <c r="C1028" s="71" t="n">
        <v>40818</v>
      </c>
      <c r="D1028" s="72" t="n">
        <v>0</v>
      </c>
    </row>
    <row r="1029">
      <c r="A1029" s="71" t="n">
        <v>40819</v>
      </c>
      <c r="B1029" s="72" t="n">
        <v>0.25</v>
      </c>
      <c r="C1029" s="71" t="n">
        <v>40819</v>
      </c>
      <c r="D1029" s="72" t="n">
        <v>0</v>
      </c>
    </row>
    <row r="1030">
      <c r="A1030" s="71" t="n">
        <v>40820</v>
      </c>
      <c r="B1030" s="72" t="n">
        <v>0.25</v>
      </c>
      <c r="C1030" s="71" t="n">
        <v>40820</v>
      </c>
      <c r="D1030" s="72" t="n">
        <v>0</v>
      </c>
    </row>
    <row r="1031">
      <c r="A1031" s="71" t="n">
        <v>40821</v>
      </c>
      <c r="B1031" s="72" t="n">
        <v>0.25</v>
      </c>
      <c r="C1031" s="71" t="n">
        <v>40821</v>
      </c>
      <c r="D1031" s="72" t="n">
        <v>0</v>
      </c>
    </row>
    <row r="1032">
      <c r="A1032" s="71" t="n">
        <v>40822</v>
      </c>
      <c r="B1032" s="72" t="n">
        <v>0.25</v>
      </c>
      <c r="C1032" s="71" t="n">
        <v>40822</v>
      </c>
      <c r="D1032" s="72" t="n">
        <v>0</v>
      </c>
    </row>
    <row r="1033">
      <c r="A1033" s="71" t="n">
        <v>40823</v>
      </c>
      <c r="B1033" s="72" t="n">
        <v>0.25</v>
      </c>
      <c r="C1033" s="71" t="n">
        <v>40823</v>
      </c>
      <c r="D1033" s="72" t="n">
        <v>0</v>
      </c>
    </row>
    <row r="1034">
      <c r="A1034" s="71" t="n">
        <v>40824</v>
      </c>
      <c r="B1034" s="72" t="n">
        <v>0.25</v>
      </c>
      <c r="C1034" s="71" t="n">
        <v>40824</v>
      </c>
      <c r="D1034" s="72" t="n">
        <v>0</v>
      </c>
    </row>
    <row r="1035">
      <c r="A1035" s="71" t="n">
        <v>40825</v>
      </c>
      <c r="B1035" s="72" t="n">
        <v>0.25</v>
      </c>
      <c r="C1035" s="71" t="n">
        <v>40825</v>
      </c>
      <c r="D1035" s="72" t="n">
        <v>0</v>
      </c>
    </row>
    <row r="1036">
      <c r="A1036" s="71" t="n">
        <v>40826</v>
      </c>
      <c r="B1036" s="72" t="n">
        <v>0.25</v>
      </c>
      <c r="C1036" s="71" t="n">
        <v>40826</v>
      </c>
      <c r="D1036" s="72" t="n">
        <v>0</v>
      </c>
    </row>
    <row r="1037">
      <c r="A1037" s="71" t="n">
        <v>40827</v>
      </c>
      <c r="B1037" s="72" t="n">
        <v>0.25</v>
      </c>
      <c r="C1037" s="71" t="n">
        <v>40827</v>
      </c>
      <c r="D1037" s="72" t="n">
        <v>0</v>
      </c>
    </row>
    <row r="1038">
      <c r="A1038" s="71" t="n">
        <v>40828</v>
      </c>
      <c r="B1038" s="72" t="n">
        <v>0.25</v>
      </c>
      <c r="C1038" s="71" t="n">
        <v>40828</v>
      </c>
      <c r="D1038" s="72" t="n">
        <v>0</v>
      </c>
    </row>
    <row r="1039">
      <c r="A1039" s="71" t="n">
        <v>40829</v>
      </c>
      <c r="B1039" s="72" t="n">
        <v>0.25</v>
      </c>
      <c r="C1039" s="71" t="n">
        <v>40829</v>
      </c>
      <c r="D1039" s="72" t="n">
        <v>0</v>
      </c>
    </row>
    <row r="1040">
      <c r="A1040" s="71" t="n">
        <v>40830</v>
      </c>
      <c r="B1040" s="72" t="n">
        <v>0.25</v>
      </c>
      <c r="C1040" s="71" t="n">
        <v>40830</v>
      </c>
      <c r="D1040" s="72" t="n">
        <v>0</v>
      </c>
    </row>
    <row r="1041">
      <c r="A1041" s="71" t="n">
        <v>40831</v>
      </c>
      <c r="B1041" s="72" t="n">
        <v>0.25</v>
      </c>
      <c r="C1041" s="71" t="n">
        <v>40831</v>
      </c>
      <c r="D1041" s="72" t="n">
        <v>0</v>
      </c>
    </row>
    <row r="1042">
      <c r="A1042" s="71" t="n">
        <v>40832</v>
      </c>
      <c r="B1042" s="72" t="n">
        <v>0.25</v>
      </c>
      <c r="C1042" s="71" t="n">
        <v>40832</v>
      </c>
      <c r="D1042" s="72" t="n">
        <v>0</v>
      </c>
    </row>
    <row r="1043">
      <c r="A1043" s="71" t="n">
        <v>40833</v>
      </c>
      <c r="B1043" s="72" t="n">
        <v>0.25</v>
      </c>
      <c r="C1043" s="71" t="n">
        <v>40833</v>
      </c>
      <c r="D1043" s="72" t="n">
        <v>0</v>
      </c>
    </row>
    <row r="1044">
      <c r="A1044" s="71" t="n">
        <v>40834</v>
      </c>
      <c r="B1044" s="72" t="n">
        <v>0.25</v>
      </c>
      <c r="C1044" s="71" t="n">
        <v>40834</v>
      </c>
      <c r="D1044" s="72" t="n">
        <v>0</v>
      </c>
    </row>
    <row r="1045">
      <c r="A1045" s="71" t="n">
        <v>40835</v>
      </c>
      <c r="B1045" s="72" t="n">
        <v>0.25</v>
      </c>
      <c r="C1045" s="71" t="n">
        <v>40835</v>
      </c>
      <c r="D1045" s="72" t="n">
        <v>0</v>
      </c>
    </row>
    <row r="1046">
      <c r="A1046" s="71" t="n">
        <v>40836</v>
      </c>
      <c r="B1046" s="72" t="n">
        <v>0.25</v>
      </c>
      <c r="C1046" s="71" t="n">
        <v>40836</v>
      </c>
      <c r="D1046" s="72" t="n">
        <v>0</v>
      </c>
    </row>
    <row r="1047">
      <c r="A1047" s="71" t="n">
        <v>40837</v>
      </c>
      <c r="B1047" s="72" t="n">
        <v>0.25</v>
      </c>
      <c r="C1047" s="71" t="n">
        <v>40837</v>
      </c>
      <c r="D1047" s="72" t="n">
        <v>0</v>
      </c>
    </row>
    <row r="1048">
      <c r="A1048" s="71" t="n">
        <v>40838</v>
      </c>
      <c r="B1048" s="72" t="n">
        <v>0.25</v>
      </c>
      <c r="C1048" s="71" t="n">
        <v>40838</v>
      </c>
      <c r="D1048" s="72" t="n">
        <v>0</v>
      </c>
    </row>
    <row r="1049">
      <c r="A1049" s="71" t="n">
        <v>40839</v>
      </c>
      <c r="B1049" s="72" t="n">
        <v>0.25</v>
      </c>
      <c r="C1049" s="71" t="n">
        <v>40839</v>
      </c>
      <c r="D1049" s="72" t="n">
        <v>0</v>
      </c>
    </row>
    <row r="1050">
      <c r="A1050" s="71" t="n">
        <v>40840</v>
      </c>
      <c r="B1050" s="72" t="n">
        <v>0.25</v>
      </c>
      <c r="C1050" s="71" t="n">
        <v>40840</v>
      </c>
      <c r="D1050" s="72" t="n">
        <v>0</v>
      </c>
    </row>
    <row r="1051">
      <c r="A1051" s="71" t="n">
        <v>40841</v>
      </c>
      <c r="B1051" s="72" t="n">
        <v>0.25</v>
      </c>
      <c r="C1051" s="71" t="n">
        <v>40841</v>
      </c>
      <c r="D1051" s="72" t="n">
        <v>0</v>
      </c>
    </row>
    <row r="1052">
      <c r="A1052" s="71" t="n">
        <v>40842</v>
      </c>
      <c r="B1052" s="72" t="n">
        <v>0.25</v>
      </c>
      <c r="C1052" s="71" t="n">
        <v>40842</v>
      </c>
      <c r="D1052" s="72" t="n">
        <v>0</v>
      </c>
    </row>
    <row r="1053">
      <c r="A1053" s="71" t="n">
        <v>40843</v>
      </c>
      <c r="B1053" s="72" t="n">
        <v>0.25</v>
      </c>
      <c r="C1053" s="71" t="n">
        <v>40843</v>
      </c>
      <c r="D1053" s="72" t="n">
        <v>0</v>
      </c>
    </row>
    <row r="1054">
      <c r="A1054" s="71" t="n">
        <v>40844</v>
      </c>
      <c r="B1054" s="72" t="n">
        <v>0.25</v>
      </c>
      <c r="C1054" s="71" t="n">
        <v>40844</v>
      </c>
      <c r="D1054" s="72" t="n">
        <v>0</v>
      </c>
    </row>
    <row r="1055">
      <c r="A1055" s="71" t="n">
        <v>40845</v>
      </c>
      <c r="B1055" s="72" t="n">
        <v>0.25</v>
      </c>
      <c r="C1055" s="71" t="n">
        <v>40845</v>
      </c>
      <c r="D1055" s="72" t="n">
        <v>0</v>
      </c>
    </row>
    <row r="1056">
      <c r="A1056" s="71" t="n">
        <v>40846</v>
      </c>
      <c r="B1056" s="72" t="n">
        <v>0.25</v>
      </c>
      <c r="C1056" s="71" t="n">
        <v>40846</v>
      </c>
      <c r="D1056" s="72" t="n">
        <v>0</v>
      </c>
    </row>
    <row r="1057">
      <c r="A1057" s="71" t="n">
        <v>40847</v>
      </c>
      <c r="B1057" s="72" t="n">
        <v>0.25</v>
      </c>
      <c r="C1057" s="71" t="n">
        <v>40847</v>
      </c>
      <c r="D1057" s="72" t="n">
        <v>0</v>
      </c>
    </row>
    <row r="1058">
      <c r="A1058" s="71" t="n">
        <v>40848</v>
      </c>
      <c r="B1058" s="72" t="n">
        <v>0.25</v>
      </c>
      <c r="C1058" s="71" t="n">
        <v>40848</v>
      </c>
      <c r="D1058" s="72" t="n">
        <v>0</v>
      </c>
    </row>
    <row r="1059">
      <c r="A1059" s="71" t="n">
        <v>40849</v>
      </c>
      <c r="B1059" s="72" t="n">
        <v>0.25</v>
      </c>
      <c r="C1059" s="71" t="n">
        <v>40849</v>
      </c>
      <c r="D1059" s="72" t="n">
        <v>0</v>
      </c>
    </row>
    <row r="1060">
      <c r="A1060" s="71" t="n">
        <v>40850</v>
      </c>
      <c r="B1060" s="72" t="n">
        <v>0.25</v>
      </c>
      <c r="C1060" s="71" t="n">
        <v>40850</v>
      </c>
      <c r="D1060" s="72" t="n">
        <v>0</v>
      </c>
    </row>
    <row r="1061">
      <c r="A1061" s="71" t="n">
        <v>40851</v>
      </c>
      <c r="B1061" s="72" t="n">
        <v>0.25</v>
      </c>
      <c r="C1061" s="71" t="n">
        <v>40851</v>
      </c>
      <c r="D1061" s="72" t="n">
        <v>0</v>
      </c>
    </row>
    <row r="1062">
      <c r="A1062" s="71" t="n">
        <v>40852</v>
      </c>
      <c r="B1062" s="72" t="n">
        <v>0.25</v>
      </c>
      <c r="C1062" s="71" t="n">
        <v>40852</v>
      </c>
      <c r="D1062" s="72" t="n">
        <v>0</v>
      </c>
    </row>
    <row r="1063">
      <c r="A1063" s="71" t="n">
        <v>40853</v>
      </c>
      <c r="B1063" s="72" t="n">
        <v>0.25</v>
      </c>
      <c r="C1063" s="71" t="n">
        <v>40853</v>
      </c>
      <c r="D1063" s="72" t="n">
        <v>0</v>
      </c>
    </row>
    <row r="1064">
      <c r="A1064" s="71" t="n">
        <v>40854</v>
      </c>
      <c r="B1064" s="72" t="n">
        <v>0.25</v>
      </c>
      <c r="C1064" s="71" t="n">
        <v>40854</v>
      </c>
      <c r="D1064" s="72" t="n">
        <v>0</v>
      </c>
    </row>
    <row r="1065">
      <c r="A1065" s="71" t="n">
        <v>40855</v>
      </c>
      <c r="B1065" s="72" t="n">
        <v>0.25</v>
      </c>
      <c r="C1065" s="71" t="n">
        <v>40855</v>
      </c>
      <c r="D1065" s="72" t="n">
        <v>0</v>
      </c>
    </row>
    <row r="1066">
      <c r="A1066" s="71" t="n">
        <v>40856</v>
      </c>
      <c r="B1066" s="72" t="n">
        <v>0.25</v>
      </c>
      <c r="C1066" s="71" t="n">
        <v>40856</v>
      </c>
      <c r="D1066" s="72" t="n">
        <v>0</v>
      </c>
    </row>
    <row r="1067">
      <c r="A1067" s="71" t="n">
        <v>40857</v>
      </c>
      <c r="B1067" s="72" t="n">
        <v>0.25</v>
      </c>
      <c r="C1067" s="71" t="n">
        <v>40857</v>
      </c>
      <c r="D1067" s="72" t="n">
        <v>0</v>
      </c>
    </row>
    <row r="1068">
      <c r="A1068" s="71" t="n">
        <v>40858</v>
      </c>
      <c r="B1068" s="72" t="n">
        <v>0.25</v>
      </c>
      <c r="C1068" s="71" t="n">
        <v>40858</v>
      </c>
      <c r="D1068" s="72" t="n">
        <v>0</v>
      </c>
    </row>
    <row r="1069">
      <c r="A1069" s="71" t="n">
        <v>40859</v>
      </c>
      <c r="B1069" s="72" t="n">
        <v>0.25</v>
      </c>
      <c r="C1069" s="71" t="n">
        <v>40859</v>
      </c>
      <c r="D1069" s="72" t="n">
        <v>0</v>
      </c>
    </row>
    <row r="1070">
      <c r="A1070" s="71" t="n">
        <v>40860</v>
      </c>
      <c r="B1070" s="72" t="n">
        <v>0.25</v>
      </c>
      <c r="C1070" s="71" t="n">
        <v>40860</v>
      </c>
      <c r="D1070" s="72" t="n">
        <v>0</v>
      </c>
    </row>
    <row r="1071">
      <c r="A1071" s="71" t="n">
        <v>40861</v>
      </c>
      <c r="B1071" s="72" t="n">
        <v>0.25</v>
      </c>
      <c r="C1071" s="71" t="n">
        <v>40861</v>
      </c>
      <c r="D1071" s="72" t="n">
        <v>0</v>
      </c>
    </row>
    <row r="1072">
      <c r="A1072" s="71" t="n">
        <v>40862</v>
      </c>
      <c r="B1072" s="72" t="n">
        <v>0.25</v>
      </c>
      <c r="C1072" s="71" t="n">
        <v>40862</v>
      </c>
      <c r="D1072" s="72" t="n">
        <v>0</v>
      </c>
    </row>
    <row r="1073">
      <c r="A1073" s="71" t="n">
        <v>40863</v>
      </c>
      <c r="B1073" s="72" t="n">
        <v>0.25</v>
      </c>
      <c r="C1073" s="71" t="n">
        <v>40863</v>
      </c>
      <c r="D1073" s="72" t="n">
        <v>0</v>
      </c>
    </row>
    <row r="1074">
      <c r="A1074" s="71" t="n">
        <v>40864</v>
      </c>
      <c r="B1074" s="72" t="n">
        <v>0.25</v>
      </c>
      <c r="C1074" s="71" t="n">
        <v>40864</v>
      </c>
      <c r="D1074" s="72" t="n">
        <v>0</v>
      </c>
    </row>
    <row r="1075">
      <c r="A1075" s="71" t="n">
        <v>40865</v>
      </c>
      <c r="B1075" s="72" t="n">
        <v>0.25</v>
      </c>
      <c r="C1075" s="71" t="n">
        <v>40865</v>
      </c>
      <c r="D1075" s="72" t="n">
        <v>0</v>
      </c>
    </row>
    <row r="1076">
      <c r="A1076" s="71" t="n">
        <v>40866</v>
      </c>
      <c r="B1076" s="72" t="n">
        <v>0.25</v>
      </c>
      <c r="C1076" s="71" t="n">
        <v>40866</v>
      </c>
      <c r="D1076" s="72" t="n">
        <v>0</v>
      </c>
    </row>
    <row r="1077">
      <c r="A1077" s="71" t="n">
        <v>40867</v>
      </c>
      <c r="B1077" s="72" t="n">
        <v>0.25</v>
      </c>
      <c r="C1077" s="71" t="n">
        <v>40867</v>
      </c>
      <c r="D1077" s="72" t="n">
        <v>0</v>
      </c>
    </row>
    <row r="1078">
      <c r="A1078" s="71" t="n">
        <v>40868</v>
      </c>
      <c r="B1078" s="72" t="n">
        <v>0.25</v>
      </c>
      <c r="C1078" s="71" t="n">
        <v>40868</v>
      </c>
      <c r="D1078" s="72" t="n">
        <v>0</v>
      </c>
    </row>
    <row r="1079">
      <c r="A1079" s="71" t="n">
        <v>40869</v>
      </c>
      <c r="B1079" s="72" t="n">
        <v>0.25</v>
      </c>
      <c r="C1079" s="71" t="n">
        <v>40869</v>
      </c>
      <c r="D1079" s="72" t="n">
        <v>0</v>
      </c>
    </row>
    <row r="1080">
      <c r="A1080" s="71" t="n">
        <v>40870</v>
      </c>
      <c r="B1080" s="72" t="n">
        <v>0.25</v>
      </c>
      <c r="C1080" s="71" t="n">
        <v>40870</v>
      </c>
      <c r="D1080" s="72" t="n">
        <v>0</v>
      </c>
    </row>
    <row r="1081">
      <c r="A1081" s="71" t="n">
        <v>40871</v>
      </c>
      <c r="B1081" s="72" t="n">
        <v>0.25</v>
      </c>
      <c r="C1081" s="71" t="n">
        <v>40871</v>
      </c>
      <c r="D1081" s="72" t="n">
        <v>0</v>
      </c>
    </row>
    <row r="1082">
      <c r="A1082" s="71" t="n">
        <v>40872</v>
      </c>
      <c r="B1082" s="72" t="n">
        <v>0.25</v>
      </c>
      <c r="C1082" s="71" t="n">
        <v>40872</v>
      </c>
      <c r="D1082" s="72" t="n">
        <v>0</v>
      </c>
    </row>
    <row r="1083">
      <c r="A1083" s="71" t="n">
        <v>40873</v>
      </c>
      <c r="B1083" s="72" t="n">
        <v>0.25</v>
      </c>
      <c r="C1083" s="71" t="n">
        <v>40873</v>
      </c>
      <c r="D1083" s="72" t="n">
        <v>0</v>
      </c>
    </row>
    <row r="1084">
      <c r="A1084" s="71" t="n">
        <v>40874</v>
      </c>
      <c r="B1084" s="72" t="n">
        <v>0.25</v>
      </c>
      <c r="C1084" s="71" t="n">
        <v>40874</v>
      </c>
      <c r="D1084" s="72" t="n">
        <v>0</v>
      </c>
    </row>
    <row r="1085">
      <c r="A1085" s="71" t="n">
        <v>40875</v>
      </c>
      <c r="B1085" s="72" t="n">
        <v>0.25</v>
      </c>
      <c r="C1085" s="71" t="n">
        <v>40875</v>
      </c>
      <c r="D1085" s="72" t="n">
        <v>0</v>
      </c>
    </row>
    <row r="1086">
      <c r="A1086" s="71" t="n">
        <v>40876</v>
      </c>
      <c r="B1086" s="72" t="n">
        <v>0.25</v>
      </c>
      <c r="C1086" s="71" t="n">
        <v>40876</v>
      </c>
      <c r="D1086" s="72" t="n">
        <v>0</v>
      </c>
    </row>
    <row r="1087">
      <c r="A1087" s="71" t="n">
        <v>40877</v>
      </c>
      <c r="B1087" s="72" t="n">
        <v>0.25</v>
      </c>
      <c r="C1087" s="71" t="n">
        <v>40877</v>
      </c>
      <c r="D1087" s="72" t="n">
        <v>0</v>
      </c>
    </row>
    <row r="1088">
      <c r="A1088" s="71" t="n">
        <v>40878</v>
      </c>
      <c r="B1088" s="72" t="n">
        <v>0.25</v>
      </c>
      <c r="C1088" s="71" t="n">
        <v>40878</v>
      </c>
      <c r="D1088" s="72" t="n">
        <v>0</v>
      </c>
    </row>
    <row r="1089">
      <c r="A1089" s="71" t="n">
        <v>40879</v>
      </c>
      <c r="B1089" s="72" t="n">
        <v>0.25</v>
      </c>
      <c r="C1089" s="71" t="n">
        <v>40879</v>
      </c>
      <c r="D1089" s="72" t="n">
        <v>0</v>
      </c>
    </row>
    <row r="1090">
      <c r="A1090" s="71" t="n">
        <v>40880</v>
      </c>
      <c r="B1090" s="72" t="n">
        <v>0.25</v>
      </c>
      <c r="C1090" s="71" t="n">
        <v>40880</v>
      </c>
      <c r="D1090" s="72" t="n">
        <v>0</v>
      </c>
    </row>
    <row r="1091">
      <c r="A1091" s="71" t="n">
        <v>40881</v>
      </c>
      <c r="B1091" s="72" t="n">
        <v>0.25</v>
      </c>
      <c r="C1091" s="71" t="n">
        <v>40881</v>
      </c>
      <c r="D1091" s="72" t="n">
        <v>0</v>
      </c>
    </row>
    <row r="1092">
      <c r="A1092" s="71" t="n">
        <v>40882</v>
      </c>
      <c r="B1092" s="72" t="n">
        <v>0.25</v>
      </c>
      <c r="C1092" s="71" t="n">
        <v>40882</v>
      </c>
      <c r="D1092" s="72" t="n">
        <v>0</v>
      </c>
    </row>
    <row r="1093">
      <c r="A1093" s="71" t="n">
        <v>40883</v>
      </c>
      <c r="B1093" s="72" t="n">
        <v>0.25</v>
      </c>
      <c r="C1093" s="71" t="n">
        <v>40883</v>
      </c>
      <c r="D1093" s="72" t="n">
        <v>0</v>
      </c>
    </row>
    <row r="1094">
      <c r="A1094" s="71" t="n">
        <v>40884</v>
      </c>
      <c r="B1094" s="72" t="n">
        <v>0.25</v>
      </c>
      <c r="C1094" s="71" t="n">
        <v>40884</v>
      </c>
      <c r="D1094" s="72" t="n">
        <v>0</v>
      </c>
    </row>
    <row r="1095">
      <c r="A1095" s="71" t="n">
        <v>40885</v>
      </c>
      <c r="B1095" s="72" t="n">
        <v>0.25</v>
      </c>
      <c r="C1095" s="71" t="n">
        <v>40885</v>
      </c>
      <c r="D1095" s="72" t="n">
        <v>0</v>
      </c>
    </row>
    <row r="1096">
      <c r="A1096" s="71" t="n">
        <v>40886</v>
      </c>
      <c r="B1096" s="72" t="n">
        <v>0.25</v>
      </c>
      <c r="C1096" s="71" t="n">
        <v>40886</v>
      </c>
      <c r="D1096" s="72" t="n">
        <v>0</v>
      </c>
    </row>
    <row r="1097">
      <c r="A1097" s="71" t="n">
        <v>40887</v>
      </c>
      <c r="B1097" s="72" t="n">
        <v>0.25</v>
      </c>
      <c r="C1097" s="71" t="n">
        <v>40887</v>
      </c>
      <c r="D1097" s="72" t="n">
        <v>0</v>
      </c>
    </row>
    <row r="1098">
      <c r="A1098" s="71" t="n">
        <v>40888</v>
      </c>
      <c r="B1098" s="72" t="n">
        <v>0.25</v>
      </c>
      <c r="C1098" s="71" t="n">
        <v>40888</v>
      </c>
      <c r="D1098" s="72" t="n">
        <v>0</v>
      </c>
    </row>
    <row r="1099">
      <c r="A1099" s="71" t="n">
        <v>40889</v>
      </c>
      <c r="B1099" s="72" t="n">
        <v>0.25</v>
      </c>
      <c r="C1099" s="71" t="n">
        <v>40889</v>
      </c>
      <c r="D1099" s="72" t="n">
        <v>0</v>
      </c>
    </row>
    <row r="1100">
      <c r="A1100" s="71" t="n">
        <v>40890</v>
      </c>
      <c r="B1100" s="72" t="n">
        <v>0.25</v>
      </c>
      <c r="C1100" s="71" t="n">
        <v>40890</v>
      </c>
      <c r="D1100" s="72" t="n">
        <v>0</v>
      </c>
    </row>
    <row r="1101">
      <c r="A1101" s="71" t="n">
        <v>40891</v>
      </c>
      <c r="B1101" s="72" t="n">
        <v>0.25</v>
      </c>
      <c r="C1101" s="71" t="n">
        <v>40891</v>
      </c>
      <c r="D1101" s="72" t="n">
        <v>0</v>
      </c>
    </row>
    <row r="1102">
      <c r="A1102" s="71" t="n">
        <v>40892</v>
      </c>
      <c r="B1102" s="72" t="n">
        <v>0.25</v>
      </c>
      <c r="C1102" s="71" t="n">
        <v>40892</v>
      </c>
      <c r="D1102" s="72" t="n">
        <v>0</v>
      </c>
    </row>
    <row r="1103">
      <c r="A1103" s="71" t="n">
        <v>40893</v>
      </c>
      <c r="B1103" s="72" t="n">
        <v>0.25</v>
      </c>
      <c r="C1103" s="71" t="n">
        <v>40893</v>
      </c>
      <c r="D1103" s="72" t="n">
        <v>0</v>
      </c>
    </row>
    <row r="1104">
      <c r="A1104" s="71" t="n">
        <v>40894</v>
      </c>
      <c r="B1104" s="72" t="n">
        <v>0.25</v>
      </c>
      <c r="C1104" s="71" t="n">
        <v>40894</v>
      </c>
      <c r="D1104" s="72" t="n">
        <v>0</v>
      </c>
    </row>
    <row r="1105">
      <c r="A1105" s="71" t="n">
        <v>40895</v>
      </c>
      <c r="B1105" s="72" t="n">
        <v>0.25</v>
      </c>
      <c r="C1105" s="71" t="n">
        <v>40895</v>
      </c>
      <c r="D1105" s="72" t="n">
        <v>0</v>
      </c>
    </row>
    <row r="1106">
      <c r="A1106" s="71" t="n">
        <v>40896</v>
      </c>
      <c r="B1106" s="72" t="n">
        <v>0.25</v>
      </c>
      <c r="C1106" s="71" t="n">
        <v>40896</v>
      </c>
      <c r="D1106" s="72" t="n">
        <v>0</v>
      </c>
    </row>
    <row r="1107">
      <c r="A1107" s="71" t="n">
        <v>40897</v>
      </c>
      <c r="B1107" s="72" t="n">
        <v>0.25</v>
      </c>
      <c r="C1107" s="71" t="n">
        <v>40897</v>
      </c>
      <c r="D1107" s="72" t="n">
        <v>0</v>
      </c>
    </row>
    <row r="1108">
      <c r="A1108" s="71" t="n">
        <v>40898</v>
      </c>
      <c r="B1108" s="72" t="n">
        <v>0.25</v>
      </c>
      <c r="C1108" s="71" t="n">
        <v>40898</v>
      </c>
      <c r="D1108" s="72" t="n">
        <v>0</v>
      </c>
    </row>
    <row r="1109">
      <c r="A1109" s="71" t="n">
        <v>40899</v>
      </c>
      <c r="B1109" s="72" t="n">
        <v>0.25</v>
      </c>
      <c r="C1109" s="71" t="n">
        <v>40899</v>
      </c>
      <c r="D1109" s="72" t="n">
        <v>0</v>
      </c>
    </row>
    <row r="1110">
      <c r="A1110" s="71" t="n">
        <v>40900</v>
      </c>
      <c r="B1110" s="72" t="n">
        <v>0.25</v>
      </c>
      <c r="C1110" s="71" t="n">
        <v>40900</v>
      </c>
      <c r="D1110" s="72" t="n">
        <v>0</v>
      </c>
    </row>
    <row r="1111">
      <c r="A1111" s="71" t="n">
        <v>40901</v>
      </c>
      <c r="B1111" s="72" t="n">
        <v>0.25</v>
      </c>
      <c r="C1111" s="71" t="n">
        <v>40901</v>
      </c>
      <c r="D1111" s="72" t="n">
        <v>0</v>
      </c>
    </row>
    <row r="1112">
      <c r="A1112" s="71" t="n">
        <v>40902</v>
      </c>
      <c r="B1112" s="72" t="n">
        <v>0.25</v>
      </c>
      <c r="C1112" s="71" t="n">
        <v>40902</v>
      </c>
      <c r="D1112" s="72" t="n">
        <v>0</v>
      </c>
    </row>
    <row r="1113">
      <c r="A1113" s="71" t="n">
        <v>40903</v>
      </c>
      <c r="B1113" s="72" t="n">
        <v>0.25</v>
      </c>
      <c r="C1113" s="71" t="n">
        <v>40903</v>
      </c>
      <c r="D1113" s="72" t="n">
        <v>0</v>
      </c>
    </row>
    <row r="1114">
      <c r="A1114" s="71" t="n">
        <v>40904</v>
      </c>
      <c r="B1114" s="72" t="n">
        <v>0.25</v>
      </c>
      <c r="C1114" s="71" t="n">
        <v>40904</v>
      </c>
      <c r="D1114" s="72" t="n">
        <v>0</v>
      </c>
    </row>
    <row r="1115">
      <c r="A1115" s="71" t="n">
        <v>40905</v>
      </c>
      <c r="B1115" s="72" t="n">
        <v>0.25</v>
      </c>
      <c r="C1115" s="71" t="n">
        <v>40905</v>
      </c>
      <c r="D1115" s="72" t="n">
        <v>0</v>
      </c>
    </row>
    <row r="1116">
      <c r="A1116" s="71" t="n">
        <v>40906</v>
      </c>
      <c r="B1116" s="72" t="n">
        <v>0.25</v>
      </c>
      <c r="C1116" s="71" t="n">
        <v>40906</v>
      </c>
      <c r="D1116" s="72" t="n">
        <v>0</v>
      </c>
    </row>
    <row r="1117">
      <c r="A1117" s="71" t="n">
        <v>40907</v>
      </c>
      <c r="B1117" s="72" t="n">
        <v>0.25</v>
      </c>
      <c r="C1117" s="71" t="n">
        <v>40907</v>
      </c>
      <c r="D1117" s="72" t="n">
        <v>0</v>
      </c>
    </row>
    <row r="1118">
      <c r="A1118" s="71" t="n">
        <v>40908</v>
      </c>
      <c r="B1118" s="72" t="n">
        <v>0.25</v>
      </c>
      <c r="C1118" s="71" t="n">
        <v>40908</v>
      </c>
      <c r="D1118" s="72" t="n">
        <v>0</v>
      </c>
    </row>
    <row r="1119">
      <c r="A1119" s="71" t="n">
        <v>40909</v>
      </c>
      <c r="B1119" s="72" t="n">
        <v>0.25</v>
      </c>
      <c r="C1119" s="71" t="n">
        <v>40909</v>
      </c>
      <c r="D1119" s="72" t="n">
        <v>0</v>
      </c>
    </row>
    <row r="1120">
      <c r="A1120" s="71" t="n">
        <v>40910</v>
      </c>
      <c r="B1120" s="72" t="n">
        <v>0.25</v>
      </c>
      <c r="C1120" s="71" t="n">
        <v>40910</v>
      </c>
      <c r="D1120" s="72" t="n">
        <v>0</v>
      </c>
    </row>
    <row r="1121">
      <c r="A1121" s="71" t="n">
        <v>40911</v>
      </c>
      <c r="B1121" s="72" t="n">
        <v>0.25</v>
      </c>
      <c r="C1121" s="71" t="n">
        <v>40911</v>
      </c>
      <c r="D1121" s="72" t="n">
        <v>0</v>
      </c>
    </row>
    <row r="1122">
      <c r="A1122" s="71" t="n">
        <v>40912</v>
      </c>
      <c r="B1122" s="72" t="n">
        <v>0.25</v>
      </c>
      <c r="C1122" s="71" t="n">
        <v>40912</v>
      </c>
      <c r="D1122" s="72" t="n">
        <v>0</v>
      </c>
    </row>
    <row r="1123">
      <c r="A1123" s="71" t="n">
        <v>40913</v>
      </c>
      <c r="B1123" s="72" t="n">
        <v>0.25</v>
      </c>
      <c r="C1123" s="71" t="n">
        <v>40913</v>
      </c>
      <c r="D1123" s="72" t="n">
        <v>0</v>
      </c>
    </row>
    <row r="1124">
      <c r="A1124" s="71" t="n">
        <v>40914</v>
      </c>
      <c r="B1124" s="72" t="n">
        <v>0.25</v>
      </c>
      <c r="C1124" s="71" t="n">
        <v>40914</v>
      </c>
      <c r="D1124" s="72" t="n">
        <v>0</v>
      </c>
    </row>
    <row r="1125">
      <c r="A1125" s="71" t="n">
        <v>40915</v>
      </c>
      <c r="B1125" s="72" t="n">
        <v>0.25</v>
      </c>
      <c r="C1125" s="71" t="n">
        <v>40915</v>
      </c>
      <c r="D1125" s="72" t="n">
        <v>0</v>
      </c>
    </row>
    <row r="1126">
      <c r="A1126" s="71" t="n">
        <v>40916</v>
      </c>
      <c r="B1126" s="72" t="n">
        <v>0.25</v>
      </c>
      <c r="C1126" s="71" t="n">
        <v>40916</v>
      </c>
      <c r="D1126" s="72" t="n">
        <v>0</v>
      </c>
    </row>
    <row r="1127">
      <c r="A1127" s="71" t="n">
        <v>40917</v>
      </c>
      <c r="B1127" s="72" t="n">
        <v>0.25</v>
      </c>
      <c r="C1127" s="71" t="n">
        <v>40917</v>
      </c>
      <c r="D1127" s="72" t="n">
        <v>0</v>
      </c>
    </row>
    <row r="1128">
      <c r="A1128" s="71" t="n">
        <v>40918</v>
      </c>
      <c r="B1128" s="72" t="n">
        <v>0.25</v>
      </c>
      <c r="C1128" s="71" t="n">
        <v>40918</v>
      </c>
      <c r="D1128" s="72" t="n">
        <v>0</v>
      </c>
    </row>
    <row r="1129">
      <c r="A1129" s="71" t="n">
        <v>40919</v>
      </c>
      <c r="B1129" s="72" t="n">
        <v>0.25</v>
      </c>
      <c r="C1129" s="71" t="n">
        <v>40919</v>
      </c>
      <c r="D1129" s="72" t="n">
        <v>0</v>
      </c>
    </row>
    <row r="1130">
      <c r="A1130" s="71" t="n">
        <v>40920</v>
      </c>
      <c r="B1130" s="72" t="n">
        <v>0.25</v>
      </c>
      <c r="C1130" s="71" t="n">
        <v>40920</v>
      </c>
      <c r="D1130" s="72" t="n">
        <v>0</v>
      </c>
    </row>
    <row r="1131">
      <c r="A1131" s="71" t="n">
        <v>40921</v>
      </c>
      <c r="B1131" s="72" t="n">
        <v>0.25</v>
      </c>
      <c r="C1131" s="71" t="n">
        <v>40921</v>
      </c>
      <c r="D1131" s="72" t="n">
        <v>0</v>
      </c>
    </row>
    <row r="1132">
      <c r="A1132" s="71" t="n">
        <v>40922</v>
      </c>
      <c r="B1132" s="72" t="n">
        <v>0.25</v>
      </c>
      <c r="C1132" s="71" t="n">
        <v>40922</v>
      </c>
      <c r="D1132" s="72" t="n">
        <v>0</v>
      </c>
    </row>
    <row r="1133">
      <c r="A1133" s="71" t="n">
        <v>40923</v>
      </c>
      <c r="B1133" s="72" t="n">
        <v>0.25</v>
      </c>
      <c r="C1133" s="71" t="n">
        <v>40923</v>
      </c>
      <c r="D1133" s="72" t="n">
        <v>0</v>
      </c>
    </row>
    <row r="1134">
      <c r="A1134" s="71" t="n">
        <v>40924</v>
      </c>
      <c r="B1134" s="72" t="n">
        <v>0.25</v>
      </c>
      <c r="C1134" s="71" t="n">
        <v>40924</v>
      </c>
      <c r="D1134" s="72" t="n">
        <v>0</v>
      </c>
    </row>
    <row r="1135">
      <c r="A1135" s="71" t="n">
        <v>40925</v>
      </c>
      <c r="B1135" s="72" t="n">
        <v>0.25</v>
      </c>
      <c r="C1135" s="71" t="n">
        <v>40925</v>
      </c>
      <c r="D1135" s="72" t="n">
        <v>0</v>
      </c>
    </row>
    <row r="1136">
      <c r="A1136" s="71" t="n">
        <v>40926</v>
      </c>
      <c r="B1136" s="72" t="n">
        <v>0.25</v>
      </c>
      <c r="C1136" s="71" t="n">
        <v>40926</v>
      </c>
      <c r="D1136" s="72" t="n">
        <v>0</v>
      </c>
    </row>
    <row r="1137">
      <c r="A1137" s="71" t="n">
        <v>40927</v>
      </c>
      <c r="B1137" s="72" t="n">
        <v>0.25</v>
      </c>
      <c r="C1137" s="71" t="n">
        <v>40927</v>
      </c>
      <c r="D1137" s="72" t="n">
        <v>0</v>
      </c>
    </row>
    <row r="1138">
      <c r="A1138" s="71" t="n">
        <v>40928</v>
      </c>
      <c r="B1138" s="72" t="n">
        <v>0.25</v>
      </c>
      <c r="C1138" s="71" t="n">
        <v>40928</v>
      </c>
      <c r="D1138" s="72" t="n">
        <v>0</v>
      </c>
    </row>
    <row r="1139">
      <c r="A1139" s="71" t="n">
        <v>40929</v>
      </c>
      <c r="B1139" s="72" t="n">
        <v>0.25</v>
      </c>
      <c r="C1139" s="71" t="n">
        <v>40929</v>
      </c>
      <c r="D1139" s="72" t="n">
        <v>0</v>
      </c>
    </row>
    <row r="1140">
      <c r="A1140" s="71" t="n">
        <v>40930</v>
      </c>
      <c r="B1140" s="72" t="n">
        <v>0.25</v>
      </c>
      <c r="C1140" s="71" t="n">
        <v>40930</v>
      </c>
      <c r="D1140" s="72" t="n">
        <v>0</v>
      </c>
    </row>
    <row r="1141">
      <c r="A1141" s="71" t="n">
        <v>40931</v>
      </c>
      <c r="B1141" s="72" t="n">
        <v>0.25</v>
      </c>
      <c r="C1141" s="71" t="n">
        <v>40931</v>
      </c>
      <c r="D1141" s="72" t="n">
        <v>0</v>
      </c>
    </row>
    <row r="1142">
      <c r="A1142" s="71" t="n">
        <v>40932</v>
      </c>
      <c r="B1142" s="72" t="n">
        <v>0.25</v>
      </c>
      <c r="C1142" s="71" t="n">
        <v>40932</v>
      </c>
      <c r="D1142" s="72" t="n">
        <v>0</v>
      </c>
    </row>
    <row r="1143">
      <c r="A1143" s="71" t="n">
        <v>40933</v>
      </c>
      <c r="B1143" s="72" t="n">
        <v>0.25</v>
      </c>
      <c r="C1143" s="71" t="n">
        <v>40933</v>
      </c>
      <c r="D1143" s="72" t="n">
        <v>0</v>
      </c>
    </row>
    <row r="1144">
      <c r="A1144" s="71" t="n">
        <v>40934</v>
      </c>
      <c r="B1144" s="72" t="n">
        <v>0.25</v>
      </c>
      <c r="C1144" s="71" t="n">
        <v>40934</v>
      </c>
      <c r="D1144" s="72" t="n">
        <v>0</v>
      </c>
    </row>
    <row r="1145">
      <c r="A1145" s="71" t="n">
        <v>40935</v>
      </c>
      <c r="B1145" s="72" t="n">
        <v>0.25</v>
      </c>
      <c r="C1145" s="71" t="n">
        <v>40935</v>
      </c>
      <c r="D1145" s="72" t="n">
        <v>0</v>
      </c>
    </row>
    <row r="1146">
      <c r="A1146" s="71" t="n">
        <v>40936</v>
      </c>
      <c r="B1146" s="72" t="n">
        <v>0.25</v>
      </c>
      <c r="C1146" s="71" t="n">
        <v>40936</v>
      </c>
      <c r="D1146" s="72" t="n">
        <v>0</v>
      </c>
    </row>
    <row r="1147">
      <c r="A1147" s="71" t="n">
        <v>40937</v>
      </c>
      <c r="B1147" s="72" t="n">
        <v>0.25</v>
      </c>
      <c r="C1147" s="71" t="n">
        <v>40937</v>
      </c>
      <c r="D1147" s="72" t="n">
        <v>0</v>
      </c>
    </row>
    <row r="1148">
      <c r="A1148" s="71" t="n">
        <v>40938</v>
      </c>
      <c r="B1148" s="72" t="n">
        <v>0.25</v>
      </c>
      <c r="C1148" s="71" t="n">
        <v>40938</v>
      </c>
      <c r="D1148" s="72" t="n">
        <v>0</v>
      </c>
    </row>
    <row r="1149">
      <c r="A1149" s="71" t="n">
        <v>40939</v>
      </c>
      <c r="B1149" s="72" t="n">
        <v>0.25</v>
      </c>
      <c r="C1149" s="71" t="n">
        <v>40939</v>
      </c>
      <c r="D1149" s="72" t="n">
        <v>0</v>
      </c>
    </row>
    <row r="1150">
      <c r="A1150" s="71" t="n">
        <v>40940</v>
      </c>
      <c r="B1150" s="72" t="n">
        <v>0.25</v>
      </c>
      <c r="C1150" s="71" t="n">
        <v>40940</v>
      </c>
      <c r="D1150" s="72" t="n">
        <v>0</v>
      </c>
    </row>
    <row r="1151">
      <c r="A1151" s="71" t="n">
        <v>40941</v>
      </c>
      <c r="B1151" s="72" t="n">
        <v>0.25</v>
      </c>
      <c r="C1151" s="71" t="n">
        <v>40941</v>
      </c>
      <c r="D1151" s="72" t="n">
        <v>0</v>
      </c>
    </row>
    <row r="1152">
      <c r="A1152" s="71" t="n">
        <v>40942</v>
      </c>
      <c r="B1152" s="72" t="n">
        <v>0.25</v>
      </c>
      <c r="C1152" s="71" t="n">
        <v>40942</v>
      </c>
      <c r="D1152" s="72" t="n">
        <v>0</v>
      </c>
    </row>
    <row r="1153">
      <c r="A1153" s="71" t="n">
        <v>40943</v>
      </c>
      <c r="B1153" s="72" t="n">
        <v>0.25</v>
      </c>
      <c r="C1153" s="71" t="n">
        <v>40943</v>
      </c>
      <c r="D1153" s="72" t="n">
        <v>0</v>
      </c>
    </row>
    <row r="1154">
      <c r="A1154" s="71" t="n">
        <v>40944</v>
      </c>
      <c r="B1154" s="72" t="n">
        <v>0.25</v>
      </c>
      <c r="C1154" s="71" t="n">
        <v>40944</v>
      </c>
      <c r="D1154" s="72" t="n">
        <v>0</v>
      </c>
    </row>
    <row r="1155">
      <c r="A1155" s="71" t="n">
        <v>40945</v>
      </c>
      <c r="B1155" s="72" t="n">
        <v>0.25</v>
      </c>
      <c r="C1155" s="71" t="n">
        <v>40945</v>
      </c>
      <c r="D1155" s="72" t="n">
        <v>0</v>
      </c>
    </row>
    <row r="1156">
      <c r="A1156" s="71" t="n">
        <v>40946</v>
      </c>
      <c r="B1156" s="72" t="n">
        <v>0.25</v>
      </c>
      <c r="C1156" s="71" t="n">
        <v>40946</v>
      </c>
      <c r="D1156" s="72" t="n">
        <v>0</v>
      </c>
    </row>
    <row r="1157">
      <c r="A1157" s="71" t="n">
        <v>40947</v>
      </c>
      <c r="B1157" s="72" t="n">
        <v>0.25</v>
      </c>
      <c r="C1157" s="71" t="n">
        <v>40947</v>
      </c>
      <c r="D1157" s="72" t="n">
        <v>0</v>
      </c>
    </row>
    <row r="1158">
      <c r="A1158" s="71" t="n">
        <v>40948</v>
      </c>
      <c r="B1158" s="72" t="n">
        <v>0.25</v>
      </c>
      <c r="C1158" s="71" t="n">
        <v>40948</v>
      </c>
      <c r="D1158" s="72" t="n">
        <v>0</v>
      </c>
    </row>
    <row r="1159">
      <c r="A1159" s="71" t="n">
        <v>40949</v>
      </c>
      <c r="B1159" s="72" t="n">
        <v>0.25</v>
      </c>
      <c r="C1159" s="71" t="n">
        <v>40949</v>
      </c>
      <c r="D1159" s="72" t="n">
        <v>0</v>
      </c>
    </row>
    <row r="1160">
      <c r="A1160" s="71" t="n">
        <v>40950</v>
      </c>
      <c r="B1160" s="72" t="n">
        <v>0.25</v>
      </c>
      <c r="C1160" s="71" t="n">
        <v>40950</v>
      </c>
      <c r="D1160" s="72" t="n">
        <v>0</v>
      </c>
    </row>
    <row r="1161">
      <c r="A1161" s="71" t="n">
        <v>40951</v>
      </c>
      <c r="B1161" s="72" t="n">
        <v>0.25</v>
      </c>
      <c r="C1161" s="71" t="n">
        <v>40951</v>
      </c>
      <c r="D1161" s="72" t="n">
        <v>0</v>
      </c>
    </row>
    <row r="1162">
      <c r="A1162" s="71" t="n">
        <v>40952</v>
      </c>
      <c r="B1162" s="72" t="n">
        <v>0.25</v>
      </c>
      <c r="C1162" s="71" t="n">
        <v>40952</v>
      </c>
      <c r="D1162" s="72" t="n">
        <v>0</v>
      </c>
    </row>
    <row r="1163">
      <c r="A1163" s="71" t="n">
        <v>40953</v>
      </c>
      <c r="B1163" s="72" t="n">
        <v>0.25</v>
      </c>
      <c r="C1163" s="71" t="n">
        <v>40953</v>
      </c>
      <c r="D1163" s="72" t="n">
        <v>0</v>
      </c>
    </row>
    <row r="1164">
      <c r="A1164" s="71" t="n">
        <v>40954</v>
      </c>
      <c r="B1164" s="72" t="n">
        <v>0.25</v>
      </c>
      <c r="C1164" s="71" t="n">
        <v>40954</v>
      </c>
      <c r="D1164" s="72" t="n">
        <v>0</v>
      </c>
    </row>
    <row r="1165">
      <c r="A1165" s="71" t="n">
        <v>40955</v>
      </c>
      <c r="B1165" s="72" t="n">
        <v>0.25</v>
      </c>
      <c r="C1165" s="71" t="n">
        <v>40955</v>
      </c>
      <c r="D1165" s="72" t="n">
        <v>0</v>
      </c>
    </row>
    <row r="1166">
      <c r="A1166" s="71" t="n">
        <v>40956</v>
      </c>
      <c r="B1166" s="72" t="n">
        <v>0.25</v>
      </c>
      <c r="C1166" s="71" t="n">
        <v>40956</v>
      </c>
      <c r="D1166" s="72" t="n">
        <v>0</v>
      </c>
    </row>
    <row r="1167">
      <c r="A1167" s="71" t="n">
        <v>40957</v>
      </c>
      <c r="B1167" s="72" t="n">
        <v>0.25</v>
      </c>
      <c r="C1167" s="71" t="n">
        <v>40957</v>
      </c>
      <c r="D1167" s="72" t="n">
        <v>0</v>
      </c>
    </row>
    <row r="1168">
      <c r="A1168" s="71" t="n">
        <v>40958</v>
      </c>
      <c r="B1168" s="72" t="n">
        <v>0.25</v>
      </c>
      <c r="C1168" s="71" t="n">
        <v>40958</v>
      </c>
      <c r="D1168" s="72" t="n">
        <v>0</v>
      </c>
    </row>
    <row r="1169">
      <c r="A1169" s="71" t="n">
        <v>40959</v>
      </c>
      <c r="B1169" s="72" t="n">
        <v>0.25</v>
      </c>
      <c r="C1169" s="71" t="n">
        <v>40959</v>
      </c>
      <c r="D1169" s="72" t="n">
        <v>0</v>
      </c>
    </row>
    <row r="1170">
      <c r="A1170" s="71" t="n">
        <v>40960</v>
      </c>
      <c r="B1170" s="72" t="n">
        <v>0.25</v>
      </c>
      <c r="C1170" s="71" t="n">
        <v>40960</v>
      </c>
      <c r="D1170" s="72" t="n">
        <v>0</v>
      </c>
    </row>
    <row r="1171">
      <c r="A1171" s="71" t="n">
        <v>40961</v>
      </c>
      <c r="B1171" s="72" t="n">
        <v>0.25</v>
      </c>
      <c r="C1171" s="71" t="n">
        <v>40961</v>
      </c>
      <c r="D1171" s="72" t="n">
        <v>0</v>
      </c>
    </row>
    <row r="1172">
      <c r="A1172" s="71" t="n">
        <v>40962</v>
      </c>
      <c r="B1172" s="72" t="n">
        <v>0.25</v>
      </c>
      <c r="C1172" s="71" t="n">
        <v>40962</v>
      </c>
      <c r="D1172" s="72" t="n">
        <v>0</v>
      </c>
    </row>
    <row r="1173">
      <c r="A1173" s="71" t="n">
        <v>40963</v>
      </c>
      <c r="B1173" s="72" t="n">
        <v>0.25</v>
      </c>
      <c r="C1173" s="71" t="n">
        <v>40963</v>
      </c>
      <c r="D1173" s="72" t="n">
        <v>0</v>
      </c>
    </row>
    <row r="1174">
      <c r="A1174" s="71" t="n">
        <v>40964</v>
      </c>
      <c r="B1174" s="72" t="n">
        <v>0.25</v>
      </c>
      <c r="C1174" s="71" t="n">
        <v>40964</v>
      </c>
      <c r="D1174" s="72" t="n">
        <v>0</v>
      </c>
    </row>
    <row r="1175">
      <c r="A1175" s="71" t="n">
        <v>40965</v>
      </c>
      <c r="B1175" s="72" t="n">
        <v>0.25</v>
      </c>
      <c r="C1175" s="71" t="n">
        <v>40965</v>
      </c>
      <c r="D1175" s="72" t="n">
        <v>0</v>
      </c>
    </row>
    <row r="1176">
      <c r="A1176" s="71" t="n">
        <v>40966</v>
      </c>
      <c r="B1176" s="72" t="n">
        <v>0.25</v>
      </c>
      <c r="C1176" s="71" t="n">
        <v>40966</v>
      </c>
      <c r="D1176" s="72" t="n">
        <v>0</v>
      </c>
    </row>
    <row r="1177">
      <c r="A1177" s="71" t="n">
        <v>40967</v>
      </c>
      <c r="B1177" s="72" t="n">
        <v>0.25</v>
      </c>
      <c r="C1177" s="71" t="n">
        <v>40967</v>
      </c>
      <c r="D1177" s="72" t="n">
        <v>0</v>
      </c>
    </row>
    <row r="1178">
      <c r="A1178" s="71" t="n">
        <v>40968</v>
      </c>
      <c r="B1178" s="72" t="n">
        <v>0.25</v>
      </c>
      <c r="C1178" s="71" t="n">
        <v>40968</v>
      </c>
      <c r="D1178" s="72" t="n">
        <v>0</v>
      </c>
    </row>
    <row r="1179">
      <c r="A1179" s="71" t="n">
        <v>40969</v>
      </c>
      <c r="B1179" s="72" t="n">
        <v>0.25</v>
      </c>
      <c r="C1179" s="71" t="n">
        <v>40969</v>
      </c>
      <c r="D1179" s="72" t="n">
        <v>0</v>
      </c>
    </row>
    <row r="1180">
      <c r="A1180" s="71" t="n">
        <v>40970</v>
      </c>
      <c r="B1180" s="72" t="n">
        <v>0.25</v>
      </c>
      <c r="C1180" s="71" t="n">
        <v>40970</v>
      </c>
      <c r="D1180" s="72" t="n">
        <v>0</v>
      </c>
    </row>
    <row r="1181">
      <c r="A1181" s="71" t="n">
        <v>40971</v>
      </c>
      <c r="B1181" s="72" t="n">
        <v>0.25</v>
      </c>
      <c r="C1181" s="71" t="n">
        <v>40971</v>
      </c>
      <c r="D1181" s="72" t="n">
        <v>0</v>
      </c>
    </row>
    <row r="1182">
      <c r="A1182" s="71" t="n">
        <v>40972</v>
      </c>
      <c r="B1182" s="72" t="n">
        <v>0.25</v>
      </c>
      <c r="C1182" s="71" t="n">
        <v>40972</v>
      </c>
      <c r="D1182" s="72" t="n">
        <v>0</v>
      </c>
    </row>
    <row r="1183">
      <c r="A1183" s="71" t="n">
        <v>40973</v>
      </c>
      <c r="B1183" s="72" t="n">
        <v>0.25</v>
      </c>
      <c r="C1183" s="71" t="n">
        <v>40973</v>
      </c>
      <c r="D1183" s="72" t="n">
        <v>0</v>
      </c>
    </row>
    <row r="1184">
      <c r="A1184" s="71" t="n">
        <v>40974</v>
      </c>
      <c r="B1184" s="72" t="n">
        <v>0.25</v>
      </c>
      <c r="C1184" s="71" t="n">
        <v>40974</v>
      </c>
      <c r="D1184" s="72" t="n">
        <v>0</v>
      </c>
    </row>
    <row r="1185">
      <c r="A1185" s="71" t="n">
        <v>40975</v>
      </c>
      <c r="B1185" s="72" t="n">
        <v>0.25</v>
      </c>
      <c r="C1185" s="71" t="n">
        <v>40975</v>
      </c>
      <c r="D1185" s="72" t="n">
        <v>0</v>
      </c>
    </row>
    <row r="1186">
      <c r="A1186" s="71" t="n">
        <v>40976</v>
      </c>
      <c r="B1186" s="72" t="n">
        <v>0.25</v>
      </c>
      <c r="C1186" s="71" t="n">
        <v>40976</v>
      </c>
      <c r="D1186" s="72" t="n">
        <v>0</v>
      </c>
    </row>
    <row r="1187">
      <c r="A1187" s="71" t="n">
        <v>40977</v>
      </c>
      <c r="B1187" s="72" t="n">
        <v>0.25</v>
      </c>
      <c r="C1187" s="71" t="n">
        <v>40977</v>
      </c>
      <c r="D1187" s="72" t="n">
        <v>0</v>
      </c>
    </row>
    <row r="1188">
      <c r="A1188" s="71" t="n">
        <v>40978</v>
      </c>
      <c r="B1188" s="72" t="n">
        <v>0.25</v>
      </c>
      <c r="C1188" s="71" t="n">
        <v>40978</v>
      </c>
      <c r="D1188" s="72" t="n">
        <v>0</v>
      </c>
    </row>
    <row r="1189">
      <c r="A1189" s="71" t="n">
        <v>40979</v>
      </c>
      <c r="B1189" s="72" t="n">
        <v>0.25</v>
      </c>
      <c r="C1189" s="71" t="n">
        <v>40979</v>
      </c>
      <c r="D1189" s="72" t="n">
        <v>0</v>
      </c>
    </row>
    <row r="1190">
      <c r="A1190" s="71" t="n">
        <v>40980</v>
      </c>
      <c r="B1190" s="72" t="n">
        <v>0.25</v>
      </c>
      <c r="C1190" s="71" t="n">
        <v>40980</v>
      </c>
      <c r="D1190" s="72" t="n">
        <v>0</v>
      </c>
    </row>
    <row r="1191">
      <c r="A1191" s="71" t="n">
        <v>40981</v>
      </c>
      <c r="B1191" s="72" t="n">
        <v>0.25</v>
      </c>
      <c r="C1191" s="71" t="n">
        <v>40981</v>
      </c>
      <c r="D1191" s="72" t="n">
        <v>0</v>
      </c>
    </row>
    <row r="1192">
      <c r="A1192" s="71" t="n">
        <v>40982</v>
      </c>
      <c r="B1192" s="72" t="n">
        <v>0.25</v>
      </c>
      <c r="C1192" s="71" t="n">
        <v>40982</v>
      </c>
      <c r="D1192" s="72" t="n">
        <v>0</v>
      </c>
    </row>
    <row r="1193">
      <c r="A1193" s="71" t="n">
        <v>40983</v>
      </c>
      <c r="B1193" s="72" t="n">
        <v>0.25</v>
      </c>
      <c r="C1193" s="71" t="n">
        <v>40983</v>
      </c>
      <c r="D1193" s="72" t="n">
        <v>0</v>
      </c>
    </row>
    <row r="1194">
      <c r="A1194" s="71" t="n">
        <v>40984</v>
      </c>
      <c r="B1194" s="72" t="n">
        <v>0.25</v>
      </c>
      <c r="C1194" s="71" t="n">
        <v>40984</v>
      </c>
      <c r="D1194" s="72" t="n">
        <v>0</v>
      </c>
    </row>
    <row r="1195">
      <c r="A1195" s="71" t="n">
        <v>40985</v>
      </c>
      <c r="B1195" s="72" t="n">
        <v>0.25</v>
      </c>
      <c r="C1195" s="71" t="n">
        <v>40985</v>
      </c>
      <c r="D1195" s="72" t="n">
        <v>0</v>
      </c>
    </row>
    <row r="1196">
      <c r="A1196" s="71" t="n">
        <v>40986</v>
      </c>
      <c r="B1196" s="72" t="n">
        <v>0.25</v>
      </c>
      <c r="C1196" s="71" t="n">
        <v>40986</v>
      </c>
      <c r="D1196" s="72" t="n">
        <v>0</v>
      </c>
    </row>
    <row r="1197">
      <c r="A1197" s="71" t="n">
        <v>40987</v>
      </c>
      <c r="B1197" s="72" t="n">
        <v>0.25</v>
      </c>
      <c r="C1197" s="71" t="n">
        <v>40987</v>
      </c>
      <c r="D1197" s="72" t="n">
        <v>0</v>
      </c>
    </row>
    <row r="1198">
      <c r="A1198" s="71" t="n">
        <v>40988</v>
      </c>
      <c r="B1198" s="72" t="n">
        <v>0.25</v>
      </c>
      <c r="C1198" s="71" t="n">
        <v>40988</v>
      </c>
      <c r="D1198" s="72" t="n">
        <v>0</v>
      </c>
    </row>
    <row r="1199">
      <c r="A1199" s="71" t="n">
        <v>40989</v>
      </c>
      <c r="B1199" s="72" t="n">
        <v>0.25</v>
      </c>
      <c r="C1199" s="71" t="n">
        <v>40989</v>
      </c>
      <c r="D1199" s="72" t="n">
        <v>0</v>
      </c>
    </row>
    <row r="1200">
      <c r="A1200" s="71" t="n">
        <v>40990</v>
      </c>
      <c r="B1200" s="72" t="n">
        <v>0.25</v>
      </c>
      <c r="C1200" s="71" t="n">
        <v>40990</v>
      </c>
      <c r="D1200" s="72" t="n">
        <v>0</v>
      </c>
    </row>
    <row r="1201">
      <c r="A1201" s="71" t="n">
        <v>40991</v>
      </c>
      <c r="B1201" s="72" t="n">
        <v>0.25</v>
      </c>
      <c r="C1201" s="71" t="n">
        <v>40991</v>
      </c>
      <c r="D1201" s="72" t="n">
        <v>0</v>
      </c>
    </row>
    <row r="1202">
      <c r="A1202" s="71" t="n">
        <v>40992</v>
      </c>
      <c r="B1202" s="72" t="n">
        <v>0.25</v>
      </c>
      <c r="C1202" s="71" t="n">
        <v>40992</v>
      </c>
      <c r="D1202" s="72" t="n">
        <v>0</v>
      </c>
    </row>
    <row r="1203">
      <c r="A1203" s="71" t="n">
        <v>40993</v>
      </c>
      <c r="B1203" s="72" t="n">
        <v>0.25</v>
      </c>
      <c r="C1203" s="71" t="n">
        <v>40993</v>
      </c>
      <c r="D1203" s="72" t="n">
        <v>0</v>
      </c>
    </row>
    <row r="1204">
      <c r="A1204" s="71" t="n">
        <v>40994</v>
      </c>
      <c r="B1204" s="72" t="n">
        <v>0.25</v>
      </c>
      <c r="C1204" s="71" t="n">
        <v>40994</v>
      </c>
      <c r="D1204" s="72" t="n">
        <v>0</v>
      </c>
    </row>
    <row r="1205">
      <c r="A1205" s="71" t="n">
        <v>40995</v>
      </c>
      <c r="B1205" s="72" t="n">
        <v>0.25</v>
      </c>
      <c r="C1205" s="71" t="n">
        <v>40995</v>
      </c>
      <c r="D1205" s="72" t="n">
        <v>0</v>
      </c>
    </row>
    <row r="1206">
      <c r="A1206" s="71" t="n">
        <v>40996</v>
      </c>
      <c r="B1206" s="72" t="n">
        <v>0.25</v>
      </c>
      <c r="C1206" s="71" t="n">
        <v>40996</v>
      </c>
      <c r="D1206" s="72" t="n">
        <v>0</v>
      </c>
    </row>
    <row r="1207">
      <c r="A1207" s="71" t="n">
        <v>40997</v>
      </c>
      <c r="B1207" s="72" t="n">
        <v>0.25</v>
      </c>
      <c r="C1207" s="71" t="n">
        <v>40997</v>
      </c>
      <c r="D1207" s="72" t="n">
        <v>0</v>
      </c>
    </row>
    <row r="1208">
      <c r="A1208" s="71" t="n">
        <v>40998</v>
      </c>
      <c r="B1208" s="72" t="n">
        <v>0.25</v>
      </c>
      <c r="C1208" s="71" t="n">
        <v>40998</v>
      </c>
      <c r="D1208" s="72" t="n">
        <v>0</v>
      </c>
    </row>
    <row r="1209">
      <c r="A1209" s="71" t="n">
        <v>40999</v>
      </c>
      <c r="B1209" s="72" t="n">
        <v>0.25</v>
      </c>
      <c r="C1209" s="71" t="n">
        <v>40999</v>
      </c>
      <c r="D1209" s="72" t="n">
        <v>0</v>
      </c>
    </row>
    <row r="1210">
      <c r="A1210" s="71" t="n">
        <v>41000</v>
      </c>
      <c r="B1210" s="72" t="n">
        <v>0.25</v>
      </c>
      <c r="C1210" s="71" t="n">
        <v>41000</v>
      </c>
      <c r="D1210" s="72" t="n">
        <v>0</v>
      </c>
    </row>
    <row r="1211">
      <c r="A1211" s="71" t="n">
        <v>41001</v>
      </c>
      <c r="B1211" s="72" t="n">
        <v>0.25</v>
      </c>
      <c r="C1211" s="71" t="n">
        <v>41001</v>
      </c>
      <c r="D1211" s="72" t="n">
        <v>0</v>
      </c>
    </row>
    <row r="1212">
      <c r="A1212" s="71" t="n">
        <v>41002</v>
      </c>
      <c r="B1212" s="72" t="n">
        <v>0.25</v>
      </c>
      <c r="C1212" s="71" t="n">
        <v>41002</v>
      </c>
      <c r="D1212" s="72" t="n">
        <v>0</v>
      </c>
    </row>
    <row r="1213">
      <c r="A1213" s="71" t="n">
        <v>41003</v>
      </c>
      <c r="B1213" s="72" t="n">
        <v>0.25</v>
      </c>
      <c r="C1213" s="71" t="n">
        <v>41003</v>
      </c>
      <c r="D1213" s="72" t="n">
        <v>0</v>
      </c>
    </row>
    <row r="1214">
      <c r="A1214" s="71" t="n">
        <v>41004</v>
      </c>
      <c r="B1214" s="72" t="n">
        <v>0.25</v>
      </c>
      <c r="C1214" s="71" t="n">
        <v>41004</v>
      </c>
      <c r="D1214" s="72" t="n">
        <v>0</v>
      </c>
    </row>
    <row r="1215">
      <c r="A1215" s="71" t="n">
        <v>41005</v>
      </c>
      <c r="B1215" s="72" t="n">
        <v>0.25</v>
      </c>
      <c r="C1215" s="71" t="n">
        <v>41005</v>
      </c>
      <c r="D1215" s="72" t="n">
        <v>0</v>
      </c>
    </row>
    <row r="1216">
      <c r="A1216" s="71" t="n">
        <v>41006</v>
      </c>
      <c r="B1216" s="72" t="n">
        <v>0.25</v>
      </c>
      <c r="C1216" s="71" t="n">
        <v>41006</v>
      </c>
      <c r="D1216" s="72" t="n">
        <v>0</v>
      </c>
    </row>
    <row r="1217">
      <c r="A1217" s="71" t="n">
        <v>41007</v>
      </c>
      <c r="B1217" s="72" t="n">
        <v>0.25</v>
      </c>
      <c r="C1217" s="71" t="n">
        <v>41007</v>
      </c>
      <c r="D1217" s="72" t="n">
        <v>0</v>
      </c>
    </row>
    <row r="1218">
      <c r="A1218" s="71" t="n">
        <v>41008</v>
      </c>
      <c r="B1218" s="72" t="n">
        <v>0.25</v>
      </c>
      <c r="C1218" s="71" t="n">
        <v>41008</v>
      </c>
      <c r="D1218" s="72" t="n">
        <v>0</v>
      </c>
    </row>
    <row r="1219">
      <c r="A1219" s="71" t="n">
        <v>41009</v>
      </c>
      <c r="B1219" s="72" t="n">
        <v>0.25</v>
      </c>
      <c r="C1219" s="71" t="n">
        <v>41009</v>
      </c>
      <c r="D1219" s="72" t="n">
        <v>0</v>
      </c>
    </row>
    <row r="1220">
      <c r="A1220" s="71" t="n">
        <v>41010</v>
      </c>
      <c r="B1220" s="72" t="n">
        <v>0.25</v>
      </c>
      <c r="C1220" s="71" t="n">
        <v>41010</v>
      </c>
      <c r="D1220" s="72" t="n">
        <v>0</v>
      </c>
    </row>
    <row r="1221">
      <c r="A1221" s="71" t="n">
        <v>41011</v>
      </c>
      <c r="B1221" s="72" t="n">
        <v>0.25</v>
      </c>
      <c r="C1221" s="71" t="n">
        <v>41011</v>
      </c>
      <c r="D1221" s="72" t="n">
        <v>0</v>
      </c>
    </row>
    <row r="1222">
      <c r="A1222" s="71" t="n">
        <v>41012</v>
      </c>
      <c r="B1222" s="72" t="n">
        <v>0.25</v>
      </c>
      <c r="C1222" s="71" t="n">
        <v>41012</v>
      </c>
      <c r="D1222" s="72" t="n">
        <v>0</v>
      </c>
    </row>
    <row r="1223">
      <c r="A1223" s="71" t="n">
        <v>41013</v>
      </c>
      <c r="B1223" s="72" t="n">
        <v>0.25</v>
      </c>
      <c r="C1223" s="71" t="n">
        <v>41013</v>
      </c>
      <c r="D1223" s="72" t="n">
        <v>0</v>
      </c>
    </row>
    <row r="1224">
      <c r="A1224" s="71" t="n">
        <v>41014</v>
      </c>
      <c r="B1224" s="72" t="n">
        <v>0.25</v>
      </c>
      <c r="C1224" s="71" t="n">
        <v>41014</v>
      </c>
      <c r="D1224" s="72" t="n">
        <v>0</v>
      </c>
    </row>
    <row r="1225">
      <c r="A1225" s="71" t="n">
        <v>41015</v>
      </c>
      <c r="B1225" s="72" t="n">
        <v>0.25</v>
      </c>
      <c r="C1225" s="71" t="n">
        <v>41015</v>
      </c>
      <c r="D1225" s="72" t="n">
        <v>0</v>
      </c>
    </row>
    <row r="1226">
      <c r="A1226" s="71" t="n">
        <v>41016</v>
      </c>
      <c r="B1226" s="72" t="n">
        <v>0.25</v>
      </c>
      <c r="C1226" s="71" t="n">
        <v>41016</v>
      </c>
      <c r="D1226" s="72" t="n">
        <v>0</v>
      </c>
    </row>
    <row r="1227">
      <c r="A1227" s="71" t="n">
        <v>41017</v>
      </c>
      <c r="B1227" s="72" t="n">
        <v>0.25</v>
      </c>
      <c r="C1227" s="71" t="n">
        <v>41017</v>
      </c>
      <c r="D1227" s="72" t="n">
        <v>0</v>
      </c>
    </row>
    <row r="1228">
      <c r="A1228" s="71" t="n">
        <v>41018</v>
      </c>
      <c r="B1228" s="72" t="n">
        <v>0.25</v>
      </c>
      <c r="C1228" s="71" t="n">
        <v>41018</v>
      </c>
      <c r="D1228" s="72" t="n">
        <v>0</v>
      </c>
    </row>
    <row r="1229">
      <c r="A1229" s="71" t="n">
        <v>41019</v>
      </c>
      <c r="B1229" s="72" t="n">
        <v>0.25</v>
      </c>
      <c r="C1229" s="71" t="n">
        <v>41019</v>
      </c>
      <c r="D1229" s="72" t="n">
        <v>0</v>
      </c>
    </row>
    <row r="1230">
      <c r="A1230" s="71" t="n">
        <v>41020</v>
      </c>
      <c r="B1230" s="72" t="n">
        <v>0.25</v>
      </c>
      <c r="C1230" s="71" t="n">
        <v>41020</v>
      </c>
      <c r="D1230" s="72" t="n">
        <v>0</v>
      </c>
    </row>
    <row r="1231">
      <c r="A1231" s="71" t="n">
        <v>41021</v>
      </c>
      <c r="B1231" s="72" t="n">
        <v>0.25</v>
      </c>
      <c r="C1231" s="71" t="n">
        <v>41021</v>
      </c>
      <c r="D1231" s="72" t="n">
        <v>0</v>
      </c>
    </row>
    <row r="1232">
      <c r="A1232" s="71" t="n">
        <v>41022</v>
      </c>
      <c r="B1232" s="72" t="n">
        <v>0.25</v>
      </c>
      <c r="C1232" s="71" t="n">
        <v>41022</v>
      </c>
      <c r="D1232" s="72" t="n">
        <v>0</v>
      </c>
    </row>
    <row r="1233">
      <c r="A1233" s="71" t="n">
        <v>41023</v>
      </c>
      <c r="B1233" s="72" t="n">
        <v>0.25</v>
      </c>
      <c r="C1233" s="71" t="n">
        <v>41023</v>
      </c>
      <c r="D1233" s="72" t="n">
        <v>0</v>
      </c>
    </row>
    <row r="1234">
      <c r="A1234" s="71" t="n">
        <v>41024</v>
      </c>
      <c r="B1234" s="72" t="n">
        <v>0.25</v>
      </c>
      <c r="C1234" s="71" t="n">
        <v>41024</v>
      </c>
      <c r="D1234" s="72" t="n">
        <v>0</v>
      </c>
    </row>
    <row r="1235">
      <c r="A1235" s="71" t="n">
        <v>41025</v>
      </c>
      <c r="B1235" s="72" t="n">
        <v>0.25</v>
      </c>
      <c r="C1235" s="71" t="n">
        <v>41025</v>
      </c>
      <c r="D1235" s="72" t="n">
        <v>0</v>
      </c>
    </row>
    <row r="1236">
      <c r="A1236" s="71" t="n">
        <v>41026</v>
      </c>
      <c r="B1236" s="72" t="n">
        <v>0.25</v>
      </c>
      <c r="C1236" s="71" t="n">
        <v>41026</v>
      </c>
      <c r="D1236" s="72" t="n">
        <v>0</v>
      </c>
    </row>
    <row r="1237">
      <c r="A1237" s="71" t="n">
        <v>41027</v>
      </c>
      <c r="B1237" s="72" t="n">
        <v>0.25</v>
      </c>
      <c r="C1237" s="71" t="n">
        <v>41027</v>
      </c>
      <c r="D1237" s="72" t="n">
        <v>0</v>
      </c>
    </row>
    <row r="1238">
      <c r="A1238" s="71" t="n">
        <v>41028</v>
      </c>
      <c r="B1238" s="72" t="n">
        <v>0.25</v>
      </c>
      <c r="C1238" s="71" t="n">
        <v>41028</v>
      </c>
      <c r="D1238" s="72" t="n">
        <v>0</v>
      </c>
    </row>
    <row r="1239">
      <c r="A1239" s="71" t="n">
        <v>41029</v>
      </c>
      <c r="B1239" s="72" t="n">
        <v>0.25</v>
      </c>
      <c r="C1239" s="71" t="n">
        <v>41029</v>
      </c>
      <c r="D1239" s="72" t="n">
        <v>0</v>
      </c>
    </row>
    <row r="1240">
      <c r="A1240" s="71" t="n">
        <v>41030</v>
      </c>
      <c r="B1240" s="72" t="n">
        <v>0.25</v>
      </c>
      <c r="C1240" s="71" t="n">
        <v>41030</v>
      </c>
      <c r="D1240" s="72" t="n">
        <v>0</v>
      </c>
    </row>
    <row r="1241">
      <c r="A1241" s="71" t="n">
        <v>41031</v>
      </c>
      <c r="B1241" s="72" t="n">
        <v>0.25</v>
      </c>
      <c r="C1241" s="71" t="n">
        <v>41031</v>
      </c>
      <c r="D1241" s="72" t="n">
        <v>0</v>
      </c>
    </row>
    <row r="1242">
      <c r="A1242" s="71" t="n">
        <v>41032</v>
      </c>
      <c r="B1242" s="72" t="n">
        <v>0.25</v>
      </c>
      <c r="C1242" s="71" t="n">
        <v>41032</v>
      </c>
      <c r="D1242" s="72" t="n">
        <v>0</v>
      </c>
    </row>
    <row r="1243">
      <c r="A1243" s="71" t="n">
        <v>41033</v>
      </c>
      <c r="B1243" s="72" t="n">
        <v>0.25</v>
      </c>
      <c r="C1243" s="71" t="n">
        <v>41033</v>
      </c>
      <c r="D1243" s="72" t="n">
        <v>0</v>
      </c>
    </row>
    <row r="1244">
      <c r="A1244" s="71" t="n">
        <v>41034</v>
      </c>
      <c r="B1244" s="72" t="n">
        <v>0.25</v>
      </c>
      <c r="C1244" s="71" t="n">
        <v>41034</v>
      </c>
      <c r="D1244" s="72" t="n">
        <v>0</v>
      </c>
    </row>
    <row r="1245">
      <c r="A1245" s="71" t="n">
        <v>41035</v>
      </c>
      <c r="B1245" s="72" t="n">
        <v>0.25</v>
      </c>
      <c r="C1245" s="71" t="n">
        <v>41035</v>
      </c>
      <c r="D1245" s="72" t="n">
        <v>0</v>
      </c>
    </row>
    <row r="1246">
      <c r="A1246" s="71" t="n">
        <v>41036</v>
      </c>
      <c r="B1246" s="72" t="n">
        <v>0.25</v>
      </c>
      <c r="C1246" s="71" t="n">
        <v>41036</v>
      </c>
      <c r="D1246" s="72" t="n">
        <v>0</v>
      </c>
    </row>
    <row r="1247">
      <c r="A1247" s="71" t="n">
        <v>41037</v>
      </c>
      <c r="B1247" s="72" t="n">
        <v>0.25</v>
      </c>
      <c r="C1247" s="71" t="n">
        <v>41037</v>
      </c>
      <c r="D1247" s="72" t="n">
        <v>0</v>
      </c>
    </row>
    <row r="1248">
      <c r="A1248" s="71" t="n">
        <v>41038</v>
      </c>
      <c r="B1248" s="72" t="n">
        <v>0.25</v>
      </c>
      <c r="C1248" s="71" t="n">
        <v>41038</v>
      </c>
      <c r="D1248" s="72" t="n">
        <v>0</v>
      </c>
    </row>
    <row r="1249">
      <c r="A1249" s="71" t="n">
        <v>41039</v>
      </c>
      <c r="B1249" s="72" t="n">
        <v>0.25</v>
      </c>
      <c r="C1249" s="71" t="n">
        <v>41039</v>
      </c>
      <c r="D1249" s="72" t="n">
        <v>0</v>
      </c>
    </row>
    <row r="1250">
      <c r="A1250" s="71" t="n">
        <v>41040</v>
      </c>
      <c r="B1250" s="72" t="n">
        <v>0.25</v>
      </c>
      <c r="C1250" s="71" t="n">
        <v>41040</v>
      </c>
      <c r="D1250" s="72" t="n">
        <v>0</v>
      </c>
    </row>
    <row r="1251">
      <c r="A1251" s="71" t="n">
        <v>41041</v>
      </c>
      <c r="B1251" s="72" t="n">
        <v>0.25</v>
      </c>
      <c r="C1251" s="71" t="n">
        <v>41041</v>
      </c>
      <c r="D1251" s="72" t="n">
        <v>0</v>
      </c>
    </row>
    <row r="1252">
      <c r="A1252" s="71" t="n">
        <v>41042</v>
      </c>
      <c r="B1252" s="72" t="n">
        <v>0.25</v>
      </c>
      <c r="C1252" s="71" t="n">
        <v>41042</v>
      </c>
      <c r="D1252" s="72" t="n">
        <v>0</v>
      </c>
    </row>
    <row r="1253">
      <c r="A1253" s="71" t="n">
        <v>41043</v>
      </c>
      <c r="B1253" s="72" t="n">
        <v>0.25</v>
      </c>
      <c r="C1253" s="71" t="n">
        <v>41043</v>
      </c>
      <c r="D1253" s="72" t="n">
        <v>0</v>
      </c>
    </row>
    <row r="1254">
      <c r="A1254" s="71" t="n">
        <v>41044</v>
      </c>
      <c r="B1254" s="72" t="n">
        <v>0.25</v>
      </c>
      <c r="C1254" s="71" t="n">
        <v>41044</v>
      </c>
      <c r="D1254" s="72" t="n">
        <v>0</v>
      </c>
    </row>
    <row r="1255">
      <c r="A1255" s="71" t="n">
        <v>41045</v>
      </c>
      <c r="B1255" s="72" t="n">
        <v>0.25</v>
      </c>
      <c r="C1255" s="71" t="n">
        <v>41045</v>
      </c>
      <c r="D1255" s="72" t="n">
        <v>0</v>
      </c>
    </row>
    <row r="1256">
      <c r="A1256" s="71" t="n">
        <v>41046</v>
      </c>
      <c r="B1256" s="72" t="n">
        <v>0.25</v>
      </c>
      <c r="C1256" s="71" t="n">
        <v>41046</v>
      </c>
      <c r="D1256" s="72" t="n">
        <v>0</v>
      </c>
    </row>
    <row r="1257">
      <c r="A1257" s="71" t="n">
        <v>41047</v>
      </c>
      <c r="B1257" s="72" t="n">
        <v>0.25</v>
      </c>
      <c r="C1257" s="71" t="n">
        <v>41047</v>
      </c>
      <c r="D1257" s="72" t="n">
        <v>0</v>
      </c>
    </row>
    <row r="1258">
      <c r="A1258" s="71" t="n">
        <v>41048</v>
      </c>
      <c r="B1258" s="72" t="n">
        <v>0.25</v>
      </c>
      <c r="C1258" s="71" t="n">
        <v>41048</v>
      </c>
      <c r="D1258" s="72" t="n">
        <v>0</v>
      </c>
    </row>
    <row r="1259">
      <c r="A1259" s="71" t="n">
        <v>41049</v>
      </c>
      <c r="B1259" s="72" t="n">
        <v>0.25</v>
      </c>
      <c r="C1259" s="71" t="n">
        <v>41049</v>
      </c>
      <c r="D1259" s="72" t="n">
        <v>0</v>
      </c>
    </row>
    <row r="1260">
      <c r="A1260" s="71" t="n">
        <v>41050</v>
      </c>
      <c r="B1260" s="72" t="n">
        <v>0.25</v>
      </c>
      <c r="C1260" s="71" t="n">
        <v>41050</v>
      </c>
      <c r="D1260" s="72" t="n">
        <v>0</v>
      </c>
    </row>
    <row r="1261">
      <c r="A1261" s="71" t="n">
        <v>41051</v>
      </c>
      <c r="B1261" s="72" t="n">
        <v>0.25</v>
      </c>
      <c r="C1261" s="71" t="n">
        <v>41051</v>
      </c>
      <c r="D1261" s="72" t="n">
        <v>0</v>
      </c>
    </row>
    <row r="1262">
      <c r="A1262" s="71" t="n">
        <v>41052</v>
      </c>
      <c r="B1262" s="72" t="n">
        <v>0.25</v>
      </c>
      <c r="C1262" s="71" t="n">
        <v>41052</v>
      </c>
      <c r="D1262" s="72" t="n">
        <v>0</v>
      </c>
    </row>
    <row r="1263">
      <c r="A1263" s="71" t="n">
        <v>41053</v>
      </c>
      <c r="B1263" s="72" t="n">
        <v>0.25</v>
      </c>
      <c r="C1263" s="71" t="n">
        <v>41053</v>
      </c>
      <c r="D1263" s="72" t="n">
        <v>0</v>
      </c>
    </row>
    <row r="1264">
      <c r="A1264" s="71" t="n">
        <v>41054</v>
      </c>
      <c r="B1264" s="72" t="n">
        <v>0.25</v>
      </c>
      <c r="C1264" s="71" t="n">
        <v>41054</v>
      </c>
      <c r="D1264" s="72" t="n">
        <v>0</v>
      </c>
    </row>
    <row r="1265">
      <c r="A1265" s="71" t="n">
        <v>41055</v>
      </c>
      <c r="B1265" s="72" t="n">
        <v>0.25</v>
      </c>
      <c r="C1265" s="71" t="n">
        <v>41055</v>
      </c>
      <c r="D1265" s="72" t="n">
        <v>0</v>
      </c>
    </row>
    <row r="1266">
      <c r="A1266" s="71" t="n">
        <v>41056</v>
      </c>
      <c r="B1266" s="72" t="n">
        <v>0.25</v>
      </c>
      <c r="C1266" s="71" t="n">
        <v>41056</v>
      </c>
      <c r="D1266" s="72" t="n">
        <v>0</v>
      </c>
    </row>
    <row r="1267">
      <c r="A1267" s="71" t="n">
        <v>41057</v>
      </c>
      <c r="B1267" s="72" t="n">
        <v>0.25</v>
      </c>
      <c r="C1267" s="71" t="n">
        <v>41057</v>
      </c>
      <c r="D1267" s="72" t="n">
        <v>0</v>
      </c>
    </row>
    <row r="1268">
      <c r="A1268" s="71" t="n">
        <v>41058</v>
      </c>
      <c r="B1268" s="72" t="n">
        <v>0.25</v>
      </c>
      <c r="C1268" s="71" t="n">
        <v>41058</v>
      </c>
      <c r="D1268" s="72" t="n">
        <v>0</v>
      </c>
    </row>
    <row r="1269">
      <c r="A1269" s="71" t="n">
        <v>41059</v>
      </c>
      <c r="B1269" s="72" t="n">
        <v>0.25</v>
      </c>
      <c r="C1269" s="71" t="n">
        <v>41059</v>
      </c>
      <c r="D1269" s="72" t="n">
        <v>0</v>
      </c>
    </row>
    <row r="1270">
      <c r="A1270" s="71" t="n">
        <v>41060</v>
      </c>
      <c r="B1270" s="72" t="n">
        <v>0.25</v>
      </c>
      <c r="C1270" s="71" t="n">
        <v>41060</v>
      </c>
      <c r="D1270" s="72" t="n">
        <v>0</v>
      </c>
    </row>
    <row r="1271">
      <c r="A1271" s="71" t="n">
        <v>41061</v>
      </c>
      <c r="B1271" s="72" t="n">
        <v>0.25</v>
      </c>
      <c r="C1271" s="71" t="n">
        <v>41061</v>
      </c>
      <c r="D1271" s="72" t="n">
        <v>0</v>
      </c>
    </row>
    <row r="1272">
      <c r="A1272" s="71" t="n">
        <v>41062</v>
      </c>
      <c r="B1272" s="72" t="n">
        <v>0.25</v>
      </c>
      <c r="C1272" s="71" t="n">
        <v>41062</v>
      </c>
      <c r="D1272" s="72" t="n">
        <v>0</v>
      </c>
    </row>
    <row r="1273">
      <c r="A1273" s="71" t="n">
        <v>41063</v>
      </c>
      <c r="B1273" s="72" t="n">
        <v>0.25</v>
      </c>
      <c r="C1273" s="71" t="n">
        <v>41063</v>
      </c>
      <c r="D1273" s="72" t="n">
        <v>0</v>
      </c>
    </row>
    <row r="1274">
      <c r="A1274" s="71" t="n">
        <v>41064</v>
      </c>
      <c r="B1274" s="72" t="n">
        <v>0.25</v>
      </c>
      <c r="C1274" s="71" t="n">
        <v>41064</v>
      </c>
      <c r="D1274" s="72" t="n">
        <v>0</v>
      </c>
    </row>
    <row r="1275">
      <c r="A1275" s="71" t="n">
        <v>41065</v>
      </c>
      <c r="B1275" s="72" t="n">
        <v>0.25</v>
      </c>
      <c r="C1275" s="71" t="n">
        <v>41065</v>
      </c>
      <c r="D1275" s="72" t="n">
        <v>0</v>
      </c>
    </row>
    <row r="1276">
      <c r="A1276" s="71" t="n">
        <v>41066</v>
      </c>
      <c r="B1276" s="72" t="n">
        <v>0.25</v>
      </c>
      <c r="C1276" s="71" t="n">
        <v>41066</v>
      </c>
      <c r="D1276" s="72" t="n">
        <v>0</v>
      </c>
    </row>
    <row r="1277">
      <c r="A1277" s="71" t="n">
        <v>41067</v>
      </c>
      <c r="B1277" s="72" t="n">
        <v>0.25</v>
      </c>
      <c r="C1277" s="71" t="n">
        <v>41067</v>
      </c>
      <c r="D1277" s="72" t="n">
        <v>0</v>
      </c>
    </row>
    <row r="1278">
      <c r="A1278" s="71" t="n">
        <v>41068</v>
      </c>
      <c r="B1278" s="72" t="n">
        <v>0.25</v>
      </c>
      <c r="C1278" s="71" t="n">
        <v>41068</v>
      </c>
      <c r="D1278" s="72" t="n">
        <v>0</v>
      </c>
    </row>
    <row r="1279">
      <c r="A1279" s="71" t="n">
        <v>41069</v>
      </c>
      <c r="B1279" s="72" t="n">
        <v>0.25</v>
      </c>
      <c r="C1279" s="71" t="n">
        <v>41069</v>
      </c>
      <c r="D1279" s="72" t="n">
        <v>0</v>
      </c>
    </row>
    <row r="1280">
      <c r="A1280" s="71" t="n">
        <v>41070</v>
      </c>
      <c r="B1280" s="72" t="n">
        <v>0.25</v>
      </c>
      <c r="C1280" s="71" t="n">
        <v>41070</v>
      </c>
      <c r="D1280" s="72" t="n">
        <v>0</v>
      </c>
    </row>
    <row r="1281">
      <c r="A1281" s="71" t="n">
        <v>41071</v>
      </c>
      <c r="B1281" s="72" t="n">
        <v>0.25</v>
      </c>
      <c r="C1281" s="71" t="n">
        <v>41071</v>
      </c>
      <c r="D1281" s="72" t="n">
        <v>0</v>
      </c>
    </row>
    <row r="1282">
      <c r="A1282" s="71" t="n">
        <v>41072</v>
      </c>
      <c r="B1282" s="72" t="n">
        <v>0.25</v>
      </c>
      <c r="C1282" s="71" t="n">
        <v>41072</v>
      </c>
      <c r="D1282" s="72" t="n">
        <v>0</v>
      </c>
    </row>
    <row r="1283">
      <c r="A1283" s="71" t="n">
        <v>41073</v>
      </c>
      <c r="B1283" s="72" t="n">
        <v>0.25</v>
      </c>
      <c r="C1283" s="71" t="n">
        <v>41073</v>
      </c>
      <c r="D1283" s="72" t="n">
        <v>0</v>
      </c>
    </row>
    <row r="1284">
      <c r="A1284" s="71" t="n">
        <v>41074</v>
      </c>
      <c r="B1284" s="72" t="n">
        <v>0.25</v>
      </c>
      <c r="C1284" s="71" t="n">
        <v>41074</v>
      </c>
      <c r="D1284" s="72" t="n">
        <v>0</v>
      </c>
    </row>
    <row r="1285">
      <c r="A1285" s="71" t="n">
        <v>41075</v>
      </c>
      <c r="B1285" s="72" t="n">
        <v>0.25</v>
      </c>
      <c r="C1285" s="71" t="n">
        <v>41075</v>
      </c>
      <c r="D1285" s="72" t="n">
        <v>0</v>
      </c>
    </row>
    <row r="1286">
      <c r="A1286" s="71" t="n">
        <v>41076</v>
      </c>
      <c r="B1286" s="72" t="n">
        <v>0.25</v>
      </c>
      <c r="C1286" s="71" t="n">
        <v>41076</v>
      </c>
      <c r="D1286" s="72" t="n">
        <v>0</v>
      </c>
    </row>
    <row r="1287">
      <c r="A1287" s="71" t="n">
        <v>41077</v>
      </c>
      <c r="B1287" s="72" t="n">
        <v>0.25</v>
      </c>
      <c r="C1287" s="71" t="n">
        <v>41077</v>
      </c>
      <c r="D1287" s="72" t="n">
        <v>0</v>
      </c>
    </row>
    <row r="1288">
      <c r="A1288" s="71" t="n">
        <v>41078</v>
      </c>
      <c r="B1288" s="72" t="n">
        <v>0.25</v>
      </c>
      <c r="C1288" s="71" t="n">
        <v>41078</v>
      </c>
      <c r="D1288" s="72" t="n">
        <v>0</v>
      </c>
    </row>
    <row r="1289">
      <c r="A1289" s="71" t="n">
        <v>41079</v>
      </c>
      <c r="B1289" s="72" t="n">
        <v>0.25</v>
      </c>
      <c r="C1289" s="71" t="n">
        <v>41079</v>
      </c>
      <c r="D1289" s="72" t="n">
        <v>0</v>
      </c>
    </row>
    <row r="1290">
      <c r="A1290" s="71" t="n">
        <v>41080</v>
      </c>
      <c r="B1290" s="72" t="n">
        <v>0.25</v>
      </c>
      <c r="C1290" s="71" t="n">
        <v>41080</v>
      </c>
      <c r="D1290" s="72" t="n">
        <v>0</v>
      </c>
    </row>
    <row r="1291">
      <c r="A1291" s="71" t="n">
        <v>41081</v>
      </c>
      <c r="B1291" s="72" t="n">
        <v>0.25</v>
      </c>
      <c r="C1291" s="71" t="n">
        <v>41081</v>
      </c>
      <c r="D1291" s="72" t="n">
        <v>0</v>
      </c>
    </row>
    <row r="1292">
      <c r="A1292" s="71" t="n">
        <v>41082</v>
      </c>
      <c r="B1292" s="72" t="n">
        <v>0.25</v>
      </c>
      <c r="C1292" s="71" t="n">
        <v>41082</v>
      </c>
      <c r="D1292" s="72" t="n">
        <v>0</v>
      </c>
    </row>
    <row r="1293">
      <c r="A1293" s="71" t="n">
        <v>41083</v>
      </c>
      <c r="B1293" s="72" t="n">
        <v>0.25</v>
      </c>
      <c r="C1293" s="71" t="n">
        <v>41083</v>
      </c>
      <c r="D1293" s="72" t="n">
        <v>0</v>
      </c>
    </row>
    <row r="1294">
      <c r="A1294" s="71" t="n">
        <v>41084</v>
      </c>
      <c r="B1294" s="72" t="n">
        <v>0.25</v>
      </c>
      <c r="C1294" s="71" t="n">
        <v>41084</v>
      </c>
      <c r="D1294" s="72" t="n">
        <v>0</v>
      </c>
    </row>
    <row r="1295">
      <c r="A1295" s="71" t="n">
        <v>41085</v>
      </c>
      <c r="B1295" s="72" t="n">
        <v>0.25</v>
      </c>
      <c r="C1295" s="71" t="n">
        <v>41085</v>
      </c>
      <c r="D1295" s="72" t="n">
        <v>0</v>
      </c>
    </row>
    <row r="1296">
      <c r="A1296" s="71" t="n">
        <v>41086</v>
      </c>
      <c r="B1296" s="72" t="n">
        <v>0.25</v>
      </c>
      <c r="C1296" s="71" t="n">
        <v>41086</v>
      </c>
      <c r="D1296" s="72" t="n">
        <v>0</v>
      </c>
    </row>
    <row r="1297">
      <c r="A1297" s="71" t="n">
        <v>41087</v>
      </c>
      <c r="B1297" s="72" t="n">
        <v>0.25</v>
      </c>
      <c r="C1297" s="71" t="n">
        <v>41087</v>
      </c>
      <c r="D1297" s="72" t="n">
        <v>0</v>
      </c>
    </row>
    <row r="1298">
      <c r="A1298" s="71" t="n">
        <v>41088</v>
      </c>
      <c r="B1298" s="72" t="n">
        <v>0.25</v>
      </c>
      <c r="C1298" s="71" t="n">
        <v>41088</v>
      </c>
      <c r="D1298" s="72" t="n">
        <v>0</v>
      </c>
    </row>
    <row r="1299">
      <c r="A1299" s="71" t="n">
        <v>41089</v>
      </c>
      <c r="B1299" s="72" t="n">
        <v>0.25</v>
      </c>
      <c r="C1299" s="71" t="n">
        <v>41089</v>
      </c>
      <c r="D1299" s="72" t="n">
        <v>0</v>
      </c>
    </row>
    <row r="1300">
      <c r="A1300" s="71" t="n">
        <v>41090</v>
      </c>
      <c r="B1300" s="72" t="n">
        <v>0.25</v>
      </c>
      <c r="C1300" s="71" t="n">
        <v>41090</v>
      </c>
      <c r="D1300" s="72" t="n">
        <v>0</v>
      </c>
    </row>
    <row r="1301">
      <c r="A1301" s="71" t="n">
        <v>41091</v>
      </c>
      <c r="B1301" s="72" t="n">
        <v>0.25</v>
      </c>
      <c r="C1301" s="71" t="n">
        <v>41091</v>
      </c>
      <c r="D1301" s="72" t="n">
        <v>0</v>
      </c>
    </row>
    <row r="1302">
      <c r="A1302" s="71" t="n">
        <v>41092</v>
      </c>
      <c r="B1302" s="72" t="n">
        <v>0.25</v>
      </c>
      <c r="C1302" s="71" t="n">
        <v>41092</v>
      </c>
      <c r="D1302" s="72" t="n">
        <v>0</v>
      </c>
    </row>
    <row r="1303">
      <c r="A1303" s="71" t="n">
        <v>41093</v>
      </c>
      <c r="B1303" s="72" t="n">
        <v>0.25</v>
      </c>
      <c r="C1303" s="71" t="n">
        <v>41093</v>
      </c>
      <c r="D1303" s="72" t="n">
        <v>0</v>
      </c>
    </row>
    <row r="1304">
      <c r="A1304" s="71" t="n">
        <v>41094</v>
      </c>
      <c r="B1304" s="72" t="n">
        <v>0.25</v>
      </c>
      <c r="C1304" s="71" t="n">
        <v>41094</v>
      </c>
      <c r="D1304" s="72" t="n">
        <v>0</v>
      </c>
    </row>
    <row r="1305">
      <c r="A1305" s="71" t="n">
        <v>41095</v>
      </c>
      <c r="B1305" s="72" t="n">
        <v>0.25</v>
      </c>
      <c r="C1305" s="71" t="n">
        <v>41095</v>
      </c>
      <c r="D1305" s="72" t="n">
        <v>0</v>
      </c>
    </row>
    <row r="1306">
      <c r="A1306" s="71" t="n">
        <v>41096</v>
      </c>
      <c r="B1306" s="72" t="n">
        <v>0.25</v>
      </c>
      <c r="C1306" s="71" t="n">
        <v>41096</v>
      </c>
      <c r="D1306" s="72" t="n">
        <v>0</v>
      </c>
    </row>
    <row r="1307">
      <c r="A1307" s="71" t="n">
        <v>41097</v>
      </c>
      <c r="B1307" s="72" t="n">
        <v>0.25</v>
      </c>
      <c r="C1307" s="71" t="n">
        <v>41097</v>
      </c>
      <c r="D1307" s="72" t="n">
        <v>0</v>
      </c>
    </row>
    <row r="1308">
      <c r="A1308" s="71" t="n">
        <v>41098</v>
      </c>
      <c r="B1308" s="72" t="n">
        <v>0.25</v>
      </c>
      <c r="C1308" s="71" t="n">
        <v>41098</v>
      </c>
      <c r="D1308" s="72" t="n">
        <v>0</v>
      </c>
    </row>
    <row r="1309">
      <c r="A1309" s="71" t="n">
        <v>41099</v>
      </c>
      <c r="B1309" s="72" t="n">
        <v>0.25</v>
      </c>
      <c r="C1309" s="71" t="n">
        <v>41099</v>
      </c>
      <c r="D1309" s="72" t="n">
        <v>0</v>
      </c>
    </row>
    <row r="1310">
      <c r="A1310" s="71" t="n">
        <v>41100</v>
      </c>
      <c r="B1310" s="72" t="n">
        <v>0.25</v>
      </c>
      <c r="C1310" s="71" t="n">
        <v>41100</v>
      </c>
      <c r="D1310" s="72" t="n">
        <v>0</v>
      </c>
    </row>
    <row r="1311">
      <c r="A1311" s="71" t="n">
        <v>41101</v>
      </c>
      <c r="B1311" s="72" t="n">
        <v>0.25</v>
      </c>
      <c r="C1311" s="71" t="n">
        <v>41101</v>
      </c>
      <c r="D1311" s="72" t="n">
        <v>0</v>
      </c>
    </row>
    <row r="1312">
      <c r="A1312" s="71" t="n">
        <v>41102</v>
      </c>
      <c r="B1312" s="72" t="n">
        <v>0.25</v>
      </c>
      <c r="C1312" s="71" t="n">
        <v>41102</v>
      </c>
      <c r="D1312" s="72" t="n">
        <v>0</v>
      </c>
    </row>
    <row r="1313">
      <c r="A1313" s="71" t="n">
        <v>41103</v>
      </c>
      <c r="B1313" s="72" t="n">
        <v>0.25</v>
      </c>
      <c r="C1313" s="71" t="n">
        <v>41103</v>
      </c>
      <c r="D1313" s="72" t="n">
        <v>0</v>
      </c>
    </row>
    <row r="1314">
      <c r="A1314" s="71" t="n">
        <v>41104</v>
      </c>
      <c r="B1314" s="72" t="n">
        <v>0.25</v>
      </c>
      <c r="C1314" s="71" t="n">
        <v>41104</v>
      </c>
      <c r="D1314" s="72" t="n">
        <v>0</v>
      </c>
    </row>
    <row r="1315">
      <c r="A1315" s="71" t="n">
        <v>41105</v>
      </c>
      <c r="B1315" s="72" t="n">
        <v>0.25</v>
      </c>
      <c r="C1315" s="71" t="n">
        <v>41105</v>
      </c>
      <c r="D1315" s="72" t="n">
        <v>0</v>
      </c>
    </row>
    <row r="1316">
      <c r="A1316" s="71" t="n">
        <v>41106</v>
      </c>
      <c r="B1316" s="72" t="n">
        <v>0.25</v>
      </c>
      <c r="C1316" s="71" t="n">
        <v>41106</v>
      </c>
      <c r="D1316" s="72" t="n">
        <v>0</v>
      </c>
    </row>
    <row r="1317">
      <c r="A1317" s="71" t="n">
        <v>41107</v>
      </c>
      <c r="B1317" s="72" t="n">
        <v>0.25</v>
      </c>
      <c r="C1317" s="71" t="n">
        <v>41107</v>
      </c>
      <c r="D1317" s="72" t="n">
        <v>0</v>
      </c>
    </row>
    <row r="1318">
      <c r="A1318" s="71" t="n">
        <v>41108</v>
      </c>
      <c r="B1318" s="72" t="n">
        <v>0.25</v>
      </c>
      <c r="C1318" s="71" t="n">
        <v>41108</v>
      </c>
      <c r="D1318" s="72" t="n">
        <v>0</v>
      </c>
    </row>
    <row r="1319">
      <c r="A1319" s="71" t="n">
        <v>41109</v>
      </c>
      <c r="B1319" s="72" t="n">
        <v>0.25</v>
      </c>
      <c r="C1319" s="71" t="n">
        <v>41109</v>
      </c>
      <c r="D1319" s="72" t="n">
        <v>0</v>
      </c>
    </row>
    <row r="1320">
      <c r="A1320" s="71" t="n">
        <v>41110</v>
      </c>
      <c r="B1320" s="72" t="n">
        <v>0.25</v>
      </c>
      <c r="C1320" s="71" t="n">
        <v>41110</v>
      </c>
      <c r="D1320" s="72" t="n">
        <v>0</v>
      </c>
    </row>
    <row r="1321">
      <c r="A1321" s="71" t="n">
        <v>41111</v>
      </c>
      <c r="B1321" s="72" t="n">
        <v>0.25</v>
      </c>
      <c r="C1321" s="71" t="n">
        <v>41111</v>
      </c>
      <c r="D1321" s="72" t="n">
        <v>0</v>
      </c>
    </row>
    <row r="1322">
      <c r="A1322" s="71" t="n">
        <v>41112</v>
      </c>
      <c r="B1322" s="72" t="n">
        <v>0.25</v>
      </c>
      <c r="C1322" s="71" t="n">
        <v>41112</v>
      </c>
      <c r="D1322" s="72" t="n">
        <v>0</v>
      </c>
    </row>
    <row r="1323">
      <c r="A1323" s="71" t="n">
        <v>41113</v>
      </c>
      <c r="B1323" s="72" t="n">
        <v>0.25</v>
      </c>
      <c r="C1323" s="71" t="n">
        <v>41113</v>
      </c>
      <c r="D1323" s="72" t="n">
        <v>0</v>
      </c>
    </row>
    <row r="1324">
      <c r="A1324" s="71" t="n">
        <v>41114</v>
      </c>
      <c r="B1324" s="72" t="n">
        <v>0.25</v>
      </c>
      <c r="C1324" s="71" t="n">
        <v>41114</v>
      </c>
      <c r="D1324" s="72" t="n">
        <v>0</v>
      </c>
    </row>
    <row r="1325">
      <c r="A1325" s="71" t="n">
        <v>41115</v>
      </c>
      <c r="B1325" s="72" t="n">
        <v>0.25</v>
      </c>
      <c r="C1325" s="71" t="n">
        <v>41115</v>
      </c>
      <c r="D1325" s="72" t="n">
        <v>0</v>
      </c>
    </row>
    <row r="1326">
      <c r="A1326" s="71" t="n">
        <v>41116</v>
      </c>
      <c r="B1326" s="72" t="n">
        <v>0.25</v>
      </c>
      <c r="C1326" s="71" t="n">
        <v>41116</v>
      </c>
      <c r="D1326" s="72" t="n">
        <v>0</v>
      </c>
    </row>
    <row r="1327">
      <c r="A1327" s="71" t="n">
        <v>41117</v>
      </c>
      <c r="B1327" s="72" t="n">
        <v>0.25</v>
      </c>
      <c r="C1327" s="71" t="n">
        <v>41117</v>
      </c>
      <c r="D1327" s="72" t="n">
        <v>0</v>
      </c>
    </row>
    <row r="1328">
      <c r="A1328" s="71" t="n">
        <v>41118</v>
      </c>
      <c r="B1328" s="72" t="n">
        <v>0.25</v>
      </c>
      <c r="C1328" s="71" t="n">
        <v>41118</v>
      </c>
      <c r="D1328" s="72" t="n">
        <v>0</v>
      </c>
    </row>
    <row r="1329">
      <c r="A1329" s="71" t="n">
        <v>41119</v>
      </c>
      <c r="B1329" s="72" t="n">
        <v>0.25</v>
      </c>
      <c r="C1329" s="71" t="n">
        <v>41119</v>
      </c>
      <c r="D1329" s="72" t="n">
        <v>0</v>
      </c>
    </row>
    <row r="1330">
      <c r="A1330" s="71" t="n">
        <v>41120</v>
      </c>
      <c r="B1330" s="72" t="n">
        <v>0.25</v>
      </c>
      <c r="C1330" s="71" t="n">
        <v>41120</v>
      </c>
      <c r="D1330" s="72" t="n">
        <v>0</v>
      </c>
    </row>
    <row r="1331">
      <c r="A1331" s="71" t="n">
        <v>41121</v>
      </c>
      <c r="B1331" s="72" t="n">
        <v>0.25</v>
      </c>
      <c r="C1331" s="71" t="n">
        <v>41121</v>
      </c>
      <c r="D1331" s="72" t="n">
        <v>0</v>
      </c>
    </row>
    <row r="1332">
      <c r="A1332" s="71" t="n">
        <v>41122</v>
      </c>
      <c r="B1332" s="72" t="n">
        <v>0.25</v>
      </c>
      <c r="C1332" s="71" t="n">
        <v>41122</v>
      </c>
      <c r="D1332" s="72" t="n">
        <v>0</v>
      </c>
    </row>
    <row r="1333">
      <c r="A1333" s="71" t="n">
        <v>41123</v>
      </c>
      <c r="B1333" s="72" t="n">
        <v>0.25</v>
      </c>
      <c r="C1333" s="71" t="n">
        <v>41123</v>
      </c>
      <c r="D1333" s="72" t="n">
        <v>0</v>
      </c>
    </row>
    <row r="1334">
      <c r="A1334" s="71" t="n">
        <v>41124</v>
      </c>
      <c r="B1334" s="72" t="n">
        <v>0.25</v>
      </c>
      <c r="C1334" s="71" t="n">
        <v>41124</v>
      </c>
      <c r="D1334" s="72" t="n">
        <v>0</v>
      </c>
    </row>
    <row r="1335">
      <c r="A1335" s="71" t="n">
        <v>41125</v>
      </c>
      <c r="B1335" s="72" t="n">
        <v>0.25</v>
      </c>
      <c r="C1335" s="71" t="n">
        <v>41125</v>
      </c>
      <c r="D1335" s="72" t="n">
        <v>0</v>
      </c>
    </row>
    <row r="1336">
      <c r="A1336" s="71" t="n">
        <v>41126</v>
      </c>
      <c r="B1336" s="72" t="n">
        <v>0.25</v>
      </c>
      <c r="C1336" s="71" t="n">
        <v>41126</v>
      </c>
      <c r="D1336" s="72" t="n">
        <v>0</v>
      </c>
    </row>
    <row r="1337">
      <c r="A1337" s="71" t="n">
        <v>41127</v>
      </c>
      <c r="B1337" s="72" t="n">
        <v>0.25</v>
      </c>
      <c r="C1337" s="71" t="n">
        <v>41127</v>
      </c>
      <c r="D1337" s="72" t="n">
        <v>0</v>
      </c>
    </row>
    <row r="1338">
      <c r="A1338" s="71" t="n">
        <v>41128</v>
      </c>
      <c r="B1338" s="72" t="n">
        <v>0.25</v>
      </c>
      <c r="C1338" s="71" t="n">
        <v>41128</v>
      </c>
      <c r="D1338" s="72" t="n">
        <v>0</v>
      </c>
    </row>
    <row r="1339">
      <c r="A1339" s="71" t="n">
        <v>41129</v>
      </c>
      <c r="B1339" s="72" t="n">
        <v>0.25</v>
      </c>
      <c r="C1339" s="71" t="n">
        <v>41129</v>
      </c>
      <c r="D1339" s="72" t="n">
        <v>0</v>
      </c>
    </row>
    <row r="1340">
      <c r="A1340" s="71" t="n">
        <v>41130</v>
      </c>
      <c r="B1340" s="72" t="n">
        <v>0.25</v>
      </c>
      <c r="C1340" s="71" t="n">
        <v>41130</v>
      </c>
      <c r="D1340" s="72" t="n">
        <v>0</v>
      </c>
    </row>
    <row r="1341">
      <c r="A1341" s="71" t="n">
        <v>41131</v>
      </c>
      <c r="B1341" s="72" t="n">
        <v>0.25</v>
      </c>
      <c r="C1341" s="71" t="n">
        <v>41131</v>
      </c>
      <c r="D1341" s="72" t="n">
        <v>0</v>
      </c>
    </row>
    <row r="1342">
      <c r="A1342" s="71" t="n">
        <v>41132</v>
      </c>
      <c r="B1342" s="72" t="n">
        <v>0.25</v>
      </c>
      <c r="C1342" s="71" t="n">
        <v>41132</v>
      </c>
      <c r="D1342" s="72" t="n">
        <v>0</v>
      </c>
    </row>
    <row r="1343">
      <c r="A1343" s="71" t="n">
        <v>41133</v>
      </c>
      <c r="B1343" s="72" t="n">
        <v>0.25</v>
      </c>
      <c r="C1343" s="71" t="n">
        <v>41133</v>
      </c>
      <c r="D1343" s="72" t="n">
        <v>0</v>
      </c>
    </row>
    <row r="1344">
      <c r="A1344" s="71" t="n">
        <v>41134</v>
      </c>
      <c r="B1344" s="72" t="n">
        <v>0.25</v>
      </c>
      <c r="C1344" s="71" t="n">
        <v>41134</v>
      </c>
      <c r="D1344" s="72" t="n">
        <v>0</v>
      </c>
    </row>
    <row r="1345">
      <c r="A1345" s="71" t="n">
        <v>41135</v>
      </c>
      <c r="B1345" s="72" t="n">
        <v>0.25</v>
      </c>
      <c r="C1345" s="71" t="n">
        <v>41135</v>
      </c>
      <c r="D1345" s="72" t="n">
        <v>0</v>
      </c>
    </row>
    <row r="1346">
      <c r="A1346" s="71" t="n">
        <v>41136</v>
      </c>
      <c r="B1346" s="72" t="n">
        <v>0.25</v>
      </c>
      <c r="C1346" s="71" t="n">
        <v>41136</v>
      </c>
      <c r="D1346" s="72" t="n">
        <v>0</v>
      </c>
    </row>
    <row r="1347">
      <c r="A1347" s="71" t="n">
        <v>41137</v>
      </c>
      <c r="B1347" s="72" t="n">
        <v>0.25</v>
      </c>
      <c r="C1347" s="71" t="n">
        <v>41137</v>
      </c>
      <c r="D1347" s="72" t="n">
        <v>0</v>
      </c>
    </row>
    <row r="1348">
      <c r="A1348" s="71" t="n">
        <v>41138</v>
      </c>
      <c r="B1348" s="72" t="n">
        <v>0.25</v>
      </c>
      <c r="C1348" s="71" t="n">
        <v>41138</v>
      </c>
      <c r="D1348" s="72" t="n">
        <v>0</v>
      </c>
    </row>
    <row r="1349">
      <c r="A1349" s="71" t="n">
        <v>41139</v>
      </c>
      <c r="B1349" s="72" t="n">
        <v>0.25</v>
      </c>
      <c r="C1349" s="71" t="n">
        <v>41139</v>
      </c>
      <c r="D1349" s="72" t="n">
        <v>0</v>
      </c>
    </row>
    <row r="1350">
      <c r="A1350" s="71" t="n">
        <v>41140</v>
      </c>
      <c r="B1350" s="72" t="n">
        <v>0.25</v>
      </c>
      <c r="C1350" s="71" t="n">
        <v>41140</v>
      </c>
      <c r="D1350" s="72" t="n">
        <v>0</v>
      </c>
    </row>
    <row r="1351">
      <c r="A1351" s="71" t="n">
        <v>41141</v>
      </c>
      <c r="B1351" s="72" t="n">
        <v>0.25</v>
      </c>
      <c r="C1351" s="71" t="n">
        <v>41141</v>
      </c>
      <c r="D1351" s="72" t="n">
        <v>0</v>
      </c>
    </row>
    <row r="1352">
      <c r="A1352" s="71" t="n">
        <v>41142</v>
      </c>
      <c r="B1352" s="72" t="n">
        <v>0.25</v>
      </c>
      <c r="C1352" s="71" t="n">
        <v>41142</v>
      </c>
      <c r="D1352" s="72" t="n">
        <v>0</v>
      </c>
    </row>
    <row r="1353">
      <c r="A1353" s="71" t="n">
        <v>41143</v>
      </c>
      <c r="B1353" s="72" t="n">
        <v>0.25</v>
      </c>
      <c r="C1353" s="71" t="n">
        <v>41143</v>
      </c>
      <c r="D1353" s="72" t="n">
        <v>0</v>
      </c>
    </row>
    <row r="1354">
      <c r="A1354" s="71" t="n">
        <v>41144</v>
      </c>
      <c r="B1354" s="72" t="n">
        <v>0.25</v>
      </c>
      <c r="C1354" s="71" t="n">
        <v>41144</v>
      </c>
      <c r="D1354" s="72" t="n">
        <v>0</v>
      </c>
    </row>
    <row r="1355">
      <c r="A1355" s="71" t="n">
        <v>41145</v>
      </c>
      <c r="B1355" s="72" t="n">
        <v>0.25</v>
      </c>
      <c r="C1355" s="71" t="n">
        <v>41145</v>
      </c>
      <c r="D1355" s="72" t="n">
        <v>0</v>
      </c>
    </row>
    <row r="1356">
      <c r="A1356" s="71" t="n">
        <v>41146</v>
      </c>
      <c r="B1356" s="72" t="n">
        <v>0.25</v>
      </c>
      <c r="C1356" s="71" t="n">
        <v>41146</v>
      </c>
      <c r="D1356" s="72" t="n">
        <v>0</v>
      </c>
    </row>
    <row r="1357">
      <c r="A1357" s="71" t="n">
        <v>41147</v>
      </c>
      <c r="B1357" s="72" t="n">
        <v>0.25</v>
      </c>
      <c r="C1357" s="71" t="n">
        <v>41147</v>
      </c>
      <c r="D1357" s="72" t="n">
        <v>0</v>
      </c>
    </row>
    <row r="1358">
      <c r="A1358" s="71" t="n">
        <v>41148</v>
      </c>
      <c r="B1358" s="72" t="n">
        <v>0.25</v>
      </c>
      <c r="C1358" s="71" t="n">
        <v>41148</v>
      </c>
      <c r="D1358" s="72" t="n">
        <v>0</v>
      </c>
    </row>
    <row r="1359">
      <c r="A1359" s="71" t="n">
        <v>41149</v>
      </c>
      <c r="B1359" s="72" t="n">
        <v>0.25</v>
      </c>
      <c r="C1359" s="71" t="n">
        <v>41149</v>
      </c>
      <c r="D1359" s="72" t="n">
        <v>0</v>
      </c>
    </row>
    <row r="1360">
      <c r="A1360" s="71" t="n">
        <v>41150</v>
      </c>
      <c r="B1360" s="72" t="n">
        <v>0.25</v>
      </c>
      <c r="C1360" s="71" t="n">
        <v>41150</v>
      </c>
      <c r="D1360" s="72" t="n">
        <v>0</v>
      </c>
    </row>
    <row r="1361">
      <c r="A1361" s="71" t="n">
        <v>41151</v>
      </c>
      <c r="B1361" s="72" t="n">
        <v>0.25</v>
      </c>
      <c r="C1361" s="71" t="n">
        <v>41151</v>
      </c>
      <c r="D1361" s="72" t="n">
        <v>0</v>
      </c>
    </row>
    <row r="1362">
      <c r="A1362" s="71" t="n">
        <v>41152</v>
      </c>
      <c r="B1362" s="72" t="n">
        <v>0.25</v>
      </c>
      <c r="C1362" s="71" t="n">
        <v>41152</v>
      </c>
      <c r="D1362" s="72" t="n">
        <v>0</v>
      </c>
    </row>
    <row r="1363">
      <c r="A1363" s="71" t="n">
        <v>41153</v>
      </c>
      <c r="B1363" s="72" t="n">
        <v>0.25</v>
      </c>
      <c r="C1363" s="71" t="n">
        <v>41153</v>
      </c>
      <c r="D1363" s="72" t="n">
        <v>0</v>
      </c>
    </row>
    <row r="1364">
      <c r="A1364" s="71" t="n">
        <v>41154</v>
      </c>
      <c r="B1364" s="72" t="n">
        <v>0.25</v>
      </c>
      <c r="C1364" s="71" t="n">
        <v>41154</v>
      </c>
      <c r="D1364" s="72" t="n">
        <v>0</v>
      </c>
    </row>
    <row r="1365">
      <c r="A1365" s="71" t="n">
        <v>41155</v>
      </c>
      <c r="B1365" s="72" t="n">
        <v>0.25</v>
      </c>
      <c r="C1365" s="71" t="n">
        <v>41155</v>
      </c>
      <c r="D1365" s="72" t="n">
        <v>0</v>
      </c>
    </row>
    <row r="1366">
      <c r="A1366" s="71" t="n">
        <v>41156</v>
      </c>
      <c r="B1366" s="72" t="n">
        <v>0.25</v>
      </c>
      <c r="C1366" s="71" t="n">
        <v>41156</v>
      </c>
      <c r="D1366" s="72" t="n">
        <v>0</v>
      </c>
    </row>
    <row r="1367">
      <c r="A1367" s="71" t="n">
        <v>41157</v>
      </c>
      <c r="B1367" s="72" t="n">
        <v>0.25</v>
      </c>
      <c r="C1367" s="71" t="n">
        <v>41157</v>
      </c>
      <c r="D1367" s="72" t="n">
        <v>0</v>
      </c>
    </row>
    <row r="1368">
      <c r="A1368" s="71" t="n">
        <v>41158</v>
      </c>
      <c r="B1368" s="72" t="n">
        <v>0.25</v>
      </c>
      <c r="C1368" s="71" t="n">
        <v>41158</v>
      </c>
      <c r="D1368" s="72" t="n">
        <v>0</v>
      </c>
    </row>
    <row r="1369">
      <c r="A1369" s="71" t="n">
        <v>41159</v>
      </c>
      <c r="B1369" s="72" t="n">
        <v>0.25</v>
      </c>
      <c r="C1369" s="71" t="n">
        <v>41159</v>
      </c>
      <c r="D1369" s="72" t="n">
        <v>0</v>
      </c>
    </row>
    <row r="1370">
      <c r="A1370" s="71" t="n">
        <v>41160</v>
      </c>
      <c r="B1370" s="72" t="n">
        <v>0.25</v>
      </c>
      <c r="C1370" s="71" t="n">
        <v>41160</v>
      </c>
      <c r="D1370" s="72" t="n">
        <v>0</v>
      </c>
    </row>
    <row r="1371">
      <c r="A1371" s="71" t="n">
        <v>41161</v>
      </c>
      <c r="B1371" s="72" t="n">
        <v>0.25</v>
      </c>
      <c r="C1371" s="71" t="n">
        <v>41161</v>
      </c>
      <c r="D1371" s="72" t="n">
        <v>0</v>
      </c>
    </row>
    <row r="1372">
      <c r="A1372" s="71" t="n">
        <v>41162</v>
      </c>
      <c r="B1372" s="72" t="n">
        <v>0.25</v>
      </c>
      <c r="C1372" s="71" t="n">
        <v>41162</v>
      </c>
      <c r="D1372" s="72" t="n">
        <v>0</v>
      </c>
    </row>
    <row r="1373">
      <c r="A1373" s="71" t="n">
        <v>41163</v>
      </c>
      <c r="B1373" s="72" t="n">
        <v>0.25</v>
      </c>
      <c r="C1373" s="71" t="n">
        <v>41163</v>
      </c>
      <c r="D1373" s="72" t="n">
        <v>0</v>
      </c>
    </row>
    <row r="1374">
      <c r="A1374" s="71" t="n">
        <v>41164</v>
      </c>
      <c r="B1374" s="72" t="n">
        <v>0.25</v>
      </c>
      <c r="C1374" s="71" t="n">
        <v>41164</v>
      </c>
      <c r="D1374" s="72" t="n">
        <v>0</v>
      </c>
    </row>
    <row r="1375">
      <c r="A1375" s="71" t="n">
        <v>41165</v>
      </c>
      <c r="B1375" s="72" t="n">
        <v>0.25</v>
      </c>
      <c r="C1375" s="71" t="n">
        <v>41165</v>
      </c>
      <c r="D1375" s="72" t="n">
        <v>0</v>
      </c>
    </row>
    <row r="1376">
      <c r="A1376" s="71" t="n">
        <v>41166</v>
      </c>
      <c r="B1376" s="72" t="n">
        <v>0.25</v>
      </c>
      <c r="C1376" s="71" t="n">
        <v>41166</v>
      </c>
      <c r="D1376" s="72" t="n">
        <v>0</v>
      </c>
    </row>
    <row r="1377">
      <c r="A1377" s="71" t="n">
        <v>41167</v>
      </c>
      <c r="B1377" s="72" t="n">
        <v>0.25</v>
      </c>
      <c r="C1377" s="71" t="n">
        <v>41167</v>
      </c>
      <c r="D1377" s="72" t="n">
        <v>0</v>
      </c>
    </row>
    <row r="1378">
      <c r="A1378" s="71" t="n">
        <v>41168</v>
      </c>
      <c r="B1378" s="72" t="n">
        <v>0.25</v>
      </c>
      <c r="C1378" s="71" t="n">
        <v>41168</v>
      </c>
      <c r="D1378" s="72" t="n">
        <v>0</v>
      </c>
    </row>
    <row r="1379">
      <c r="A1379" s="71" t="n">
        <v>41169</v>
      </c>
      <c r="B1379" s="72" t="n">
        <v>0.25</v>
      </c>
      <c r="C1379" s="71" t="n">
        <v>41169</v>
      </c>
      <c r="D1379" s="72" t="n">
        <v>0</v>
      </c>
    </row>
    <row r="1380">
      <c r="A1380" s="71" t="n">
        <v>41170</v>
      </c>
      <c r="B1380" s="72" t="n">
        <v>0.25</v>
      </c>
      <c r="C1380" s="71" t="n">
        <v>41170</v>
      </c>
      <c r="D1380" s="72" t="n">
        <v>0</v>
      </c>
    </row>
    <row r="1381">
      <c r="A1381" s="71" t="n">
        <v>41171</v>
      </c>
      <c r="B1381" s="72" t="n">
        <v>0.25</v>
      </c>
      <c r="C1381" s="71" t="n">
        <v>41171</v>
      </c>
      <c r="D1381" s="72" t="n">
        <v>0</v>
      </c>
    </row>
    <row r="1382">
      <c r="A1382" s="71" t="n">
        <v>41172</v>
      </c>
      <c r="B1382" s="72" t="n">
        <v>0.25</v>
      </c>
      <c r="C1382" s="71" t="n">
        <v>41172</v>
      </c>
      <c r="D1382" s="72" t="n">
        <v>0</v>
      </c>
    </row>
    <row r="1383">
      <c r="A1383" s="71" t="n">
        <v>41173</v>
      </c>
      <c r="B1383" s="72" t="n">
        <v>0.25</v>
      </c>
      <c r="C1383" s="71" t="n">
        <v>41173</v>
      </c>
      <c r="D1383" s="72" t="n">
        <v>0</v>
      </c>
    </row>
    <row r="1384">
      <c r="A1384" s="71" t="n">
        <v>41174</v>
      </c>
      <c r="B1384" s="72" t="n">
        <v>0.25</v>
      </c>
      <c r="C1384" s="71" t="n">
        <v>41174</v>
      </c>
      <c r="D1384" s="72" t="n">
        <v>0</v>
      </c>
    </row>
    <row r="1385">
      <c r="A1385" s="71" t="n">
        <v>41175</v>
      </c>
      <c r="B1385" s="72" t="n">
        <v>0.25</v>
      </c>
      <c r="C1385" s="71" t="n">
        <v>41175</v>
      </c>
      <c r="D1385" s="72" t="n">
        <v>0</v>
      </c>
    </row>
    <row r="1386">
      <c r="A1386" s="71" t="n">
        <v>41176</v>
      </c>
      <c r="B1386" s="72" t="n">
        <v>0.25</v>
      </c>
      <c r="C1386" s="71" t="n">
        <v>41176</v>
      </c>
      <c r="D1386" s="72" t="n">
        <v>0</v>
      </c>
    </row>
    <row r="1387">
      <c r="A1387" s="71" t="n">
        <v>41177</v>
      </c>
      <c r="B1387" s="72" t="n">
        <v>0.25</v>
      </c>
      <c r="C1387" s="71" t="n">
        <v>41177</v>
      </c>
      <c r="D1387" s="72" t="n">
        <v>0</v>
      </c>
    </row>
    <row r="1388">
      <c r="A1388" s="71" t="n">
        <v>41178</v>
      </c>
      <c r="B1388" s="72" t="n">
        <v>0.25</v>
      </c>
      <c r="C1388" s="71" t="n">
        <v>41178</v>
      </c>
      <c r="D1388" s="72" t="n">
        <v>0</v>
      </c>
    </row>
    <row r="1389">
      <c r="A1389" s="71" t="n">
        <v>41179</v>
      </c>
      <c r="B1389" s="72" t="n">
        <v>0.25</v>
      </c>
      <c r="C1389" s="71" t="n">
        <v>41179</v>
      </c>
      <c r="D1389" s="72" t="n">
        <v>0</v>
      </c>
    </row>
    <row r="1390">
      <c r="A1390" s="71" t="n">
        <v>41180</v>
      </c>
      <c r="B1390" s="72" t="n">
        <v>0.25</v>
      </c>
      <c r="C1390" s="71" t="n">
        <v>41180</v>
      </c>
      <c r="D1390" s="72" t="n">
        <v>0</v>
      </c>
    </row>
    <row r="1391">
      <c r="A1391" s="71" t="n">
        <v>41181</v>
      </c>
      <c r="B1391" s="72" t="n">
        <v>0.25</v>
      </c>
      <c r="C1391" s="71" t="n">
        <v>41181</v>
      </c>
      <c r="D1391" s="72" t="n">
        <v>0</v>
      </c>
    </row>
    <row r="1392">
      <c r="A1392" s="71" t="n">
        <v>41182</v>
      </c>
      <c r="B1392" s="72" t="n">
        <v>0.25</v>
      </c>
      <c r="C1392" s="71" t="n">
        <v>41182</v>
      </c>
      <c r="D1392" s="72" t="n">
        <v>0</v>
      </c>
    </row>
    <row r="1393">
      <c r="A1393" s="71" t="n">
        <v>41183</v>
      </c>
      <c r="B1393" s="72" t="n">
        <v>0.25</v>
      </c>
      <c r="C1393" s="71" t="n">
        <v>41183</v>
      </c>
      <c r="D1393" s="72" t="n">
        <v>0</v>
      </c>
    </row>
    <row r="1394">
      <c r="A1394" s="71" t="n">
        <v>41184</v>
      </c>
      <c r="B1394" s="72" t="n">
        <v>0.25</v>
      </c>
      <c r="C1394" s="71" t="n">
        <v>41184</v>
      </c>
      <c r="D1394" s="72" t="n">
        <v>0</v>
      </c>
    </row>
    <row r="1395">
      <c r="A1395" s="71" t="n">
        <v>41185</v>
      </c>
      <c r="B1395" s="72" t="n">
        <v>0.25</v>
      </c>
      <c r="C1395" s="71" t="n">
        <v>41185</v>
      </c>
      <c r="D1395" s="72" t="n">
        <v>0</v>
      </c>
    </row>
    <row r="1396">
      <c r="A1396" s="71" t="n">
        <v>41186</v>
      </c>
      <c r="B1396" s="72" t="n">
        <v>0.25</v>
      </c>
      <c r="C1396" s="71" t="n">
        <v>41186</v>
      </c>
      <c r="D1396" s="72" t="n">
        <v>0</v>
      </c>
    </row>
    <row r="1397">
      <c r="A1397" s="71" t="n">
        <v>41187</v>
      </c>
      <c r="B1397" s="72" t="n">
        <v>0.25</v>
      </c>
      <c r="C1397" s="71" t="n">
        <v>41187</v>
      </c>
      <c r="D1397" s="72" t="n">
        <v>0</v>
      </c>
    </row>
    <row r="1398">
      <c r="A1398" s="71" t="n">
        <v>41188</v>
      </c>
      <c r="B1398" s="72" t="n">
        <v>0.25</v>
      </c>
      <c r="C1398" s="71" t="n">
        <v>41188</v>
      </c>
      <c r="D1398" s="72" t="n">
        <v>0</v>
      </c>
    </row>
    <row r="1399">
      <c r="A1399" s="71" t="n">
        <v>41189</v>
      </c>
      <c r="B1399" s="72" t="n">
        <v>0.25</v>
      </c>
      <c r="C1399" s="71" t="n">
        <v>41189</v>
      </c>
      <c r="D1399" s="72" t="n">
        <v>0</v>
      </c>
    </row>
    <row r="1400">
      <c r="A1400" s="71" t="n">
        <v>41190</v>
      </c>
      <c r="B1400" s="72" t="n">
        <v>0.25</v>
      </c>
      <c r="C1400" s="71" t="n">
        <v>41190</v>
      </c>
      <c r="D1400" s="72" t="n">
        <v>0</v>
      </c>
    </row>
    <row r="1401">
      <c r="A1401" s="71" t="n">
        <v>41191</v>
      </c>
      <c r="B1401" s="72" t="n">
        <v>0.25</v>
      </c>
      <c r="C1401" s="71" t="n">
        <v>41191</v>
      </c>
      <c r="D1401" s="72" t="n">
        <v>0</v>
      </c>
    </row>
    <row r="1402">
      <c r="A1402" s="71" t="n">
        <v>41192</v>
      </c>
      <c r="B1402" s="72" t="n">
        <v>0.25</v>
      </c>
      <c r="C1402" s="71" t="n">
        <v>41192</v>
      </c>
      <c r="D1402" s="72" t="n">
        <v>0</v>
      </c>
    </row>
    <row r="1403">
      <c r="A1403" s="71" t="n">
        <v>41193</v>
      </c>
      <c r="B1403" s="72" t="n">
        <v>0.25</v>
      </c>
      <c r="C1403" s="71" t="n">
        <v>41193</v>
      </c>
      <c r="D1403" s="72" t="n">
        <v>0</v>
      </c>
    </row>
    <row r="1404">
      <c r="A1404" s="71" t="n">
        <v>41194</v>
      </c>
      <c r="B1404" s="72" t="n">
        <v>0.25</v>
      </c>
      <c r="C1404" s="71" t="n">
        <v>41194</v>
      </c>
      <c r="D1404" s="72" t="n">
        <v>0</v>
      </c>
    </row>
    <row r="1405">
      <c r="A1405" s="71" t="n">
        <v>41195</v>
      </c>
      <c r="B1405" s="72" t="n">
        <v>0.25</v>
      </c>
      <c r="C1405" s="71" t="n">
        <v>41195</v>
      </c>
      <c r="D1405" s="72" t="n">
        <v>0</v>
      </c>
    </row>
    <row r="1406">
      <c r="A1406" s="71" t="n">
        <v>41196</v>
      </c>
      <c r="B1406" s="72" t="n">
        <v>0.25</v>
      </c>
      <c r="C1406" s="71" t="n">
        <v>41196</v>
      </c>
      <c r="D1406" s="72" t="n">
        <v>0</v>
      </c>
    </row>
    <row r="1407">
      <c r="A1407" s="71" t="n">
        <v>41197</v>
      </c>
      <c r="B1407" s="72" t="n">
        <v>0.25</v>
      </c>
      <c r="C1407" s="71" t="n">
        <v>41197</v>
      </c>
      <c r="D1407" s="72" t="n">
        <v>0</v>
      </c>
    </row>
    <row r="1408">
      <c r="A1408" s="71" t="n">
        <v>41198</v>
      </c>
      <c r="B1408" s="72" t="n">
        <v>0.25</v>
      </c>
      <c r="C1408" s="71" t="n">
        <v>41198</v>
      </c>
      <c r="D1408" s="72" t="n">
        <v>0</v>
      </c>
    </row>
    <row r="1409">
      <c r="A1409" s="71" t="n">
        <v>41199</v>
      </c>
      <c r="B1409" s="72" t="n">
        <v>0.25</v>
      </c>
      <c r="C1409" s="71" t="n">
        <v>41199</v>
      </c>
      <c r="D1409" s="72" t="n">
        <v>0</v>
      </c>
    </row>
    <row r="1410">
      <c r="A1410" s="71" t="n">
        <v>41200</v>
      </c>
      <c r="B1410" s="72" t="n">
        <v>0.25</v>
      </c>
      <c r="C1410" s="71" t="n">
        <v>41200</v>
      </c>
      <c r="D1410" s="72" t="n">
        <v>0</v>
      </c>
    </row>
    <row r="1411">
      <c r="A1411" s="71" t="n">
        <v>41201</v>
      </c>
      <c r="B1411" s="72" t="n">
        <v>0.25</v>
      </c>
      <c r="C1411" s="71" t="n">
        <v>41201</v>
      </c>
      <c r="D1411" s="72" t="n">
        <v>0</v>
      </c>
    </row>
    <row r="1412">
      <c r="A1412" s="71" t="n">
        <v>41202</v>
      </c>
      <c r="B1412" s="72" t="n">
        <v>0.25</v>
      </c>
      <c r="C1412" s="71" t="n">
        <v>41202</v>
      </c>
      <c r="D1412" s="72" t="n">
        <v>0</v>
      </c>
    </row>
    <row r="1413">
      <c r="A1413" s="71" t="n">
        <v>41203</v>
      </c>
      <c r="B1413" s="72" t="n">
        <v>0.25</v>
      </c>
      <c r="C1413" s="71" t="n">
        <v>41203</v>
      </c>
      <c r="D1413" s="72" t="n">
        <v>0</v>
      </c>
    </row>
    <row r="1414">
      <c r="A1414" s="71" t="n">
        <v>41204</v>
      </c>
      <c r="B1414" s="72" t="n">
        <v>0.25</v>
      </c>
      <c r="C1414" s="71" t="n">
        <v>41204</v>
      </c>
      <c r="D1414" s="72" t="n">
        <v>0</v>
      </c>
    </row>
    <row r="1415">
      <c r="A1415" s="71" t="n">
        <v>41205</v>
      </c>
      <c r="B1415" s="72" t="n">
        <v>0.25</v>
      </c>
      <c r="C1415" s="71" t="n">
        <v>41205</v>
      </c>
      <c r="D1415" s="72" t="n">
        <v>0</v>
      </c>
    </row>
    <row r="1416">
      <c r="A1416" s="71" t="n">
        <v>41206</v>
      </c>
      <c r="B1416" s="72" t="n">
        <v>0.25</v>
      </c>
      <c r="C1416" s="71" t="n">
        <v>41206</v>
      </c>
      <c r="D1416" s="72" t="n">
        <v>0</v>
      </c>
    </row>
    <row r="1417">
      <c r="A1417" s="71" t="n">
        <v>41207</v>
      </c>
      <c r="B1417" s="72" t="n">
        <v>0.25</v>
      </c>
      <c r="C1417" s="71" t="n">
        <v>41207</v>
      </c>
      <c r="D1417" s="72" t="n">
        <v>0</v>
      </c>
    </row>
    <row r="1418">
      <c r="A1418" s="71" t="n">
        <v>41208</v>
      </c>
      <c r="B1418" s="72" t="n">
        <v>0.25</v>
      </c>
      <c r="C1418" s="71" t="n">
        <v>41208</v>
      </c>
      <c r="D1418" s="72" t="n">
        <v>0</v>
      </c>
    </row>
    <row r="1419">
      <c r="A1419" s="71" t="n">
        <v>41209</v>
      </c>
      <c r="B1419" s="72" t="n">
        <v>0.25</v>
      </c>
      <c r="C1419" s="71" t="n">
        <v>41209</v>
      </c>
      <c r="D1419" s="72" t="n">
        <v>0</v>
      </c>
    </row>
    <row r="1420">
      <c r="A1420" s="71" t="n">
        <v>41210</v>
      </c>
      <c r="B1420" s="72" t="n">
        <v>0.25</v>
      </c>
      <c r="C1420" s="71" t="n">
        <v>41210</v>
      </c>
      <c r="D1420" s="72" t="n">
        <v>0</v>
      </c>
    </row>
    <row r="1421">
      <c r="A1421" s="71" t="n">
        <v>41211</v>
      </c>
      <c r="B1421" s="72" t="n">
        <v>0.25</v>
      </c>
      <c r="C1421" s="71" t="n">
        <v>41211</v>
      </c>
      <c r="D1421" s="72" t="n">
        <v>0</v>
      </c>
    </row>
    <row r="1422">
      <c r="A1422" s="71" t="n">
        <v>41212</v>
      </c>
      <c r="B1422" s="72" t="n">
        <v>0.25</v>
      </c>
      <c r="C1422" s="71" t="n">
        <v>41212</v>
      </c>
      <c r="D1422" s="72" t="n">
        <v>0</v>
      </c>
    </row>
    <row r="1423">
      <c r="A1423" s="71" t="n">
        <v>41213</v>
      </c>
      <c r="B1423" s="72" t="n">
        <v>0.25</v>
      </c>
      <c r="C1423" s="71" t="n">
        <v>41213</v>
      </c>
      <c r="D1423" s="72" t="n">
        <v>0</v>
      </c>
    </row>
    <row r="1424">
      <c r="A1424" s="71" t="n">
        <v>41214</v>
      </c>
      <c r="B1424" s="72" t="n">
        <v>0.25</v>
      </c>
      <c r="C1424" s="71" t="n">
        <v>41214</v>
      </c>
      <c r="D1424" s="72" t="n">
        <v>0</v>
      </c>
    </row>
    <row r="1425">
      <c r="A1425" s="71" t="n">
        <v>41215</v>
      </c>
      <c r="B1425" s="72" t="n">
        <v>0.25</v>
      </c>
      <c r="C1425" s="71" t="n">
        <v>41215</v>
      </c>
      <c r="D1425" s="72" t="n">
        <v>0</v>
      </c>
    </row>
    <row r="1426">
      <c r="A1426" s="71" t="n">
        <v>41216</v>
      </c>
      <c r="B1426" s="72" t="n">
        <v>0.25</v>
      </c>
      <c r="C1426" s="71" t="n">
        <v>41216</v>
      </c>
      <c r="D1426" s="72" t="n">
        <v>0</v>
      </c>
    </row>
    <row r="1427">
      <c r="A1427" s="71" t="n">
        <v>41217</v>
      </c>
      <c r="B1427" s="72" t="n">
        <v>0.25</v>
      </c>
      <c r="C1427" s="71" t="n">
        <v>41217</v>
      </c>
      <c r="D1427" s="72" t="n">
        <v>0</v>
      </c>
    </row>
    <row r="1428">
      <c r="A1428" s="71" t="n">
        <v>41218</v>
      </c>
      <c r="B1428" s="72" t="n">
        <v>0.25</v>
      </c>
      <c r="C1428" s="71" t="n">
        <v>41218</v>
      </c>
      <c r="D1428" s="72" t="n">
        <v>0</v>
      </c>
    </row>
    <row r="1429">
      <c r="A1429" s="71" t="n">
        <v>41219</v>
      </c>
      <c r="B1429" s="72" t="n">
        <v>0.25</v>
      </c>
      <c r="C1429" s="71" t="n">
        <v>41219</v>
      </c>
      <c r="D1429" s="72" t="n">
        <v>0</v>
      </c>
    </row>
    <row r="1430">
      <c r="A1430" s="71" t="n">
        <v>41220</v>
      </c>
      <c r="B1430" s="72" t="n">
        <v>0.25</v>
      </c>
      <c r="C1430" s="71" t="n">
        <v>41220</v>
      </c>
      <c r="D1430" s="72" t="n">
        <v>0</v>
      </c>
    </row>
    <row r="1431">
      <c r="A1431" s="71" t="n">
        <v>41221</v>
      </c>
      <c r="B1431" s="72" t="n">
        <v>0.25</v>
      </c>
      <c r="C1431" s="71" t="n">
        <v>41221</v>
      </c>
      <c r="D1431" s="72" t="n">
        <v>0</v>
      </c>
    </row>
    <row r="1432">
      <c r="A1432" s="71" t="n">
        <v>41222</v>
      </c>
      <c r="B1432" s="72" t="n">
        <v>0.25</v>
      </c>
      <c r="C1432" s="71" t="n">
        <v>41222</v>
      </c>
      <c r="D1432" s="72" t="n">
        <v>0</v>
      </c>
    </row>
    <row r="1433">
      <c r="A1433" s="71" t="n">
        <v>41223</v>
      </c>
      <c r="B1433" s="72" t="n">
        <v>0.25</v>
      </c>
      <c r="C1433" s="71" t="n">
        <v>41223</v>
      </c>
      <c r="D1433" s="72" t="n">
        <v>0</v>
      </c>
    </row>
    <row r="1434">
      <c r="A1434" s="71" t="n">
        <v>41224</v>
      </c>
      <c r="B1434" s="72" t="n">
        <v>0.25</v>
      </c>
      <c r="C1434" s="71" t="n">
        <v>41224</v>
      </c>
      <c r="D1434" s="72" t="n">
        <v>0</v>
      </c>
    </row>
    <row r="1435">
      <c r="A1435" s="71" t="n">
        <v>41225</v>
      </c>
      <c r="B1435" s="72" t="n">
        <v>0.25</v>
      </c>
      <c r="C1435" s="71" t="n">
        <v>41225</v>
      </c>
      <c r="D1435" s="72" t="n">
        <v>0</v>
      </c>
    </row>
    <row r="1436">
      <c r="A1436" s="71" t="n">
        <v>41226</v>
      </c>
      <c r="B1436" s="72" t="n">
        <v>0.25</v>
      </c>
      <c r="C1436" s="71" t="n">
        <v>41226</v>
      </c>
      <c r="D1436" s="72" t="n">
        <v>0</v>
      </c>
    </row>
    <row r="1437">
      <c r="A1437" s="71" t="n">
        <v>41227</v>
      </c>
      <c r="B1437" s="72" t="n">
        <v>0.25</v>
      </c>
      <c r="C1437" s="71" t="n">
        <v>41227</v>
      </c>
      <c r="D1437" s="72" t="n">
        <v>0</v>
      </c>
    </row>
    <row r="1438">
      <c r="A1438" s="71" t="n">
        <v>41228</v>
      </c>
      <c r="B1438" s="72" t="n">
        <v>0.25</v>
      </c>
      <c r="C1438" s="71" t="n">
        <v>41228</v>
      </c>
      <c r="D1438" s="72" t="n">
        <v>0</v>
      </c>
    </row>
    <row r="1439">
      <c r="A1439" s="71" t="n">
        <v>41229</v>
      </c>
      <c r="B1439" s="72" t="n">
        <v>0.25</v>
      </c>
      <c r="C1439" s="71" t="n">
        <v>41229</v>
      </c>
      <c r="D1439" s="72" t="n">
        <v>0</v>
      </c>
    </row>
    <row r="1440">
      <c r="A1440" s="71" t="n">
        <v>41230</v>
      </c>
      <c r="B1440" s="72" t="n">
        <v>0.25</v>
      </c>
      <c r="C1440" s="71" t="n">
        <v>41230</v>
      </c>
      <c r="D1440" s="72" t="n">
        <v>0</v>
      </c>
    </row>
    <row r="1441">
      <c r="A1441" s="71" t="n">
        <v>41231</v>
      </c>
      <c r="B1441" s="72" t="n">
        <v>0.25</v>
      </c>
      <c r="C1441" s="71" t="n">
        <v>41231</v>
      </c>
      <c r="D1441" s="72" t="n">
        <v>0</v>
      </c>
    </row>
    <row r="1442">
      <c r="A1442" s="71" t="n">
        <v>41232</v>
      </c>
      <c r="B1442" s="72" t="n">
        <v>0.25</v>
      </c>
      <c r="C1442" s="71" t="n">
        <v>41232</v>
      </c>
      <c r="D1442" s="72" t="n">
        <v>0</v>
      </c>
    </row>
    <row r="1443">
      <c r="A1443" s="71" t="n">
        <v>41233</v>
      </c>
      <c r="B1443" s="72" t="n">
        <v>0.25</v>
      </c>
      <c r="C1443" s="71" t="n">
        <v>41233</v>
      </c>
      <c r="D1443" s="72" t="n">
        <v>0</v>
      </c>
    </row>
    <row r="1444">
      <c r="A1444" s="71" t="n">
        <v>41234</v>
      </c>
      <c r="B1444" s="72" t="n">
        <v>0.25</v>
      </c>
      <c r="C1444" s="71" t="n">
        <v>41234</v>
      </c>
      <c r="D1444" s="72" t="n">
        <v>0</v>
      </c>
    </row>
    <row r="1445">
      <c r="A1445" s="71" t="n">
        <v>41235</v>
      </c>
      <c r="B1445" s="72" t="n">
        <v>0.25</v>
      </c>
      <c r="C1445" s="71" t="n">
        <v>41235</v>
      </c>
      <c r="D1445" s="72" t="n">
        <v>0</v>
      </c>
    </row>
    <row r="1446">
      <c r="A1446" s="71" t="n">
        <v>41236</v>
      </c>
      <c r="B1446" s="72" t="n">
        <v>0.25</v>
      </c>
      <c r="C1446" s="71" t="n">
        <v>41236</v>
      </c>
      <c r="D1446" s="72" t="n">
        <v>0</v>
      </c>
    </row>
    <row r="1447">
      <c r="A1447" s="71" t="n">
        <v>41237</v>
      </c>
      <c r="B1447" s="72" t="n">
        <v>0.25</v>
      </c>
      <c r="C1447" s="71" t="n">
        <v>41237</v>
      </c>
      <c r="D1447" s="72" t="n">
        <v>0</v>
      </c>
    </row>
    <row r="1448">
      <c r="A1448" s="71" t="n">
        <v>41238</v>
      </c>
      <c r="B1448" s="72" t="n">
        <v>0.25</v>
      </c>
      <c r="C1448" s="71" t="n">
        <v>41238</v>
      </c>
      <c r="D1448" s="72" t="n">
        <v>0</v>
      </c>
    </row>
    <row r="1449">
      <c r="A1449" s="71" t="n">
        <v>41239</v>
      </c>
      <c r="B1449" s="72" t="n">
        <v>0.25</v>
      </c>
      <c r="C1449" s="71" t="n">
        <v>41239</v>
      </c>
      <c r="D1449" s="72" t="n">
        <v>0</v>
      </c>
    </row>
    <row r="1450">
      <c r="A1450" s="71" t="n">
        <v>41240</v>
      </c>
      <c r="B1450" s="72" t="n">
        <v>0.25</v>
      </c>
      <c r="C1450" s="71" t="n">
        <v>41240</v>
      </c>
      <c r="D1450" s="72" t="n">
        <v>0</v>
      </c>
    </row>
    <row r="1451">
      <c r="A1451" s="71" t="n">
        <v>41241</v>
      </c>
      <c r="B1451" s="72" t="n">
        <v>0.25</v>
      </c>
      <c r="C1451" s="71" t="n">
        <v>41241</v>
      </c>
      <c r="D1451" s="72" t="n">
        <v>0</v>
      </c>
    </row>
    <row r="1452">
      <c r="A1452" s="71" t="n">
        <v>41242</v>
      </c>
      <c r="B1452" s="72" t="n">
        <v>0.25</v>
      </c>
      <c r="C1452" s="71" t="n">
        <v>41242</v>
      </c>
      <c r="D1452" s="72" t="n">
        <v>0</v>
      </c>
    </row>
    <row r="1453">
      <c r="A1453" s="71" t="n">
        <v>41243</v>
      </c>
      <c r="B1453" s="72" t="n">
        <v>0.25</v>
      </c>
      <c r="C1453" s="71" t="n">
        <v>41243</v>
      </c>
      <c r="D1453" s="72" t="n">
        <v>0</v>
      </c>
    </row>
    <row r="1454">
      <c r="A1454" s="71" t="n">
        <v>41244</v>
      </c>
      <c r="B1454" s="72" t="n">
        <v>0.25</v>
      </c>
      <c r="C1454" s="71" t="n">
        <v>41244</v>
      </c>
      <c r="D1454" s="72" t="n">
        <v>0</v>
      </c>
    </row>
    <row r="1455">
      <c r="A1455" s="71" t="n">
        <v>41245</v>
      </c>
      <c r="B1455" s="72" t="n">
        <v>0.25</v>
      </c>
      <c r="C1455" s="71" t="n">
        <v>41245</v>
      </c>
      <c r="D1455" s="72" t="n">
        <v>0</v>
      </c>
    </row>
    <row r="1456">
      <c r="A1456" s="71" t="n">
        <v>41246</v>
      </c>
      <c r="B1456" s="72" t="n">
        <v>0.25</v>
      </c>
      <c r="C1456" s="71" t="n">
        <v>41246</v>
      </c>
      <c r="D1456" s="72" t="n">
        <v>0</v>
      </c>
    </row>
    <row r="1457">
      <c r="A1457" s="71" t="n">
        <v>41247</v>
      </c>
      <c r="B1457" s="72" t="n">
        <v>0.25</v>
      </c>
      <c r="C1457" s="71" t="n">
        <v>41247</v>
      </c>
      <c r="D1457" s="72" t="n">
        <v>0</v>
      </c>
    </row>
    <row r="1458">
      <c r="A1458" s="71" t="n">
        <v>41248</v>
      </c>
      <c r="B1458" s="72" t="n">
        <v>0.25</v>
      </c>
      <c r="C1458" s="71" t="n">
        <v>41248</v>
      </c>
      <c r="D1458" s="72" t="n">
        <v>0</v>
      </c>
    </row>
    <row r="1459">
      <c r="A1459" s="71" t="n">
        <v>41249</v>
      </c>
      <c r="B1459" s="72" t="n">
        <v>0.25</v>
      </c>
      <c r="C1459" s="71" t="n">
        <v>41249</v>
      </c>
      <c r="D1459" s="72" t="n">
        <v>0</v>
      </c>
    </row>
    <row r="1460">
      <c r="A1460" s="71" t="n">
        <v>41250</v>
      </c>
      <c r="B1460" s="72" t="n">
        <v>0.25</v>
      </c>
      <c r="C1460" s="71" t="n">
        <v>41250</v>
      </c>
      <c r="D1460" s="72" t="n">
        <v>0</v>
      </c>
    </row>
    <row r="1461">
      <c r="A1461" s="71" t="n">
        <v>41251</v>
      </c>
      <c r="B1461" s="72" t="n">
        <v>0.25</v>
      </c>
      <c r="C1461" s="71" t="n">
        <v>41251</v>
      </c>
      <c r="D1461" s="72" t="n">
        <v>0</v>
      </c>
    </row>
    <row r="1462">
      <c r="A1462" s="71" t="n">
        <v>41252</v>
      </c>
      <c r="B1462" s="72" t="n">
        <v>0.25</v>
      </c>
      <c r="C1462" s="71" t="n">
        <v>41252</v>
      </c>
      <c r="D1462" s="72" t="n">
        <v>0</v>
      </c>
    </row>
    <row r="1463">
      <c r="A1463" s="71" t="n">
        <v>41253</v>
      </c>
      <c r="B1463" s="72" t="n">
        <v>0.25</v>
      </c>
      <c r="C1463" s="71" t="n">
        <v>41253</v>
      </c>
      <c r="D1463" s="72" t="n">
        <v>0</v>
      </c>
    </row>
    <row r="1464">
      <c r="A1464" s="71" t="n">
        <v>41254</v>
      </c>
      <c r="B1464" s="72" t="n">
        <v>0.25</v>
      </c>
      <c r="C1464" s="71" t="n">
        <v>41254</v>
      </c>
      <c r="D1464" s="72" t="n">
        <v>0</v>
      </c>
    </row>
    <row r="1465">
      <c r="A1465" s="71" t="n">
        <v>41255</v>
      </c>
      <c r="B1465" s="72" t="n">
        <v>0.25</v>
      </c>
      <c r="C1465" s="71" t="n">
        <v>41255</v>
      </c>
      <c r="D1465" s="72" t="n">
        <v>0</v>
      </c>
    </row>
    <row r="1466">
      <c r="A1466" s="71" t="n">
        <v>41256</v>
      </c>
      <c r="B1466" s="72" t="n">
        <v>0.25</v>
      </c>
      <c r="C1466" s="71" t="n">
        <v>41256</v>
      </c>
      <c r="D1466" s="72" t="n">
        <v>0</v>
      </c>
    </row>
    <row r="1467">
      <c r="A1467" s="71" t="n">
        <v>41257</v>
      </c>
      <c r="B1467" s="72" t="n">
        <v>0.25</v>
      </c>
      <c r="C1467" s="71" t="n">
        <v>41257</v>
      </c>
      <c r="D1467" s="72" t="n">
        <v>0</v>
      </c>
    </row>
    <row r="1468">
      <c r="A1468" s="71" t="n">
        <v>41258</v>
      </c>
      <c r="B1468" s="72" t="n">
        <v>0.25</v>
      </c>
      <c r="C1468" s="71" t="n">
        <v>41258</v>
      </c>
      <c r="D1468" s="72" t="n">
        <v>0</v>
      </c>
    </row>
    <row r="1469">
      <c r="A1469" s="71" t="n">
        <v>41259</v>
      </c>
      <c r="B1469" s="72" t="n">
        <v>0.25</v>
      </c>
      <c r="C1469" s="71" t="n">
        <v>41259</v>
      </c>
      <c r="D1469" s="72" t="n">
        <v>0</v>
      </c>
    </row>
    <row r="1470">
      <c r="A1470" s="71" t="n">
        <v>41260</v>
      </c>
      <c r="B1470" s="72" t="n">
        <v>0.25</v>
      </c>
      <c r="C1470" s="71" t="n">
        <v>41260</v>
      </c>
      <c r="D1470" s="72" t="n">
        <v>0</v>
      </c>
    </row>
    <row r="1471">
      <c r="A1471" s="71" t="n">
        <v>41261</v>
      </c>
      <c r="B1471" s="72" t="n">
        <v>0.25</v>
      </c>
      <c r="C1471" s="71" t="n">
        <v>41261</v>
      </c>
      <c r="D1471" s="72" t="n">
        <v>0</v>
      </c>
    </row>
    <row r="1472">
      <c r="A1472" s="71" t="n">
        <v>41262</v>
      </c>
      <c r="B1472" s="72" t="n">
        <v>0.25</v>
      </c>
      <c r="C1472" s="71" t="n">
        <v>41262</v>
      </c>
      <c r="D1472" s="72" t="n">
        <v>0</v>
      </c>
    </row>
    <row r="1473">
      <c r="A1473" s="71" t="n">
        <v>41263</v>
      </c>
      <c r="B1473" s="72" t="n">
        <v>0.25</v>
      </c>
      <c r="C1473" s="71" t="n">
        <v>41263</v>
      </c>
      <c r="D1473" s="72" t="n">
        <v>0</v>
      </c>
    </row>
    <row r="1474">
      <c r="A1474" s="71" t="n">
        <v>41264</v>
      </c>
      <c r="B1474" s="72" t="n">
        <v>0.25</v>
      </c>
      <c r="C1474" s="71" t="n">
        <v>41264</v>
      </c>
      <c r="D1474" s="72" t="n">
        <v>0</v>
      </c>
    </row>
    <row r="1475">
      <c r="A1475" s="71" t="n">
        <v>41265</v>
      </c>
      <c r="B1475" s="72" t="n">
        <v>0.25</v>
      </c>
      <c r="C1475" s="71" t="n">
        <v>41265</v>
      </c>
      <c r="D1475" s="72" t="n">
        <v>0</v>
      </c>
    </row>
    <row r="1476">
      <c r="A1476" s="71" t="n">
        <v>41266</v>
      </c>
      <c r="B1476" s="72" t="n">
        <v>0.25</v>
      </c>
      <c r="C1476" s="71" t="n">
        <v>41266</v>
      </c>
      <c r="D1476" s="72" t="n">
        <v>0</v>
      </c>
    </row>
    <row r="1477">
      <c r="A1477" s="71" t="n">
        <v>41267</v>
      </c>
      <c r="B1477" s="72" t="n">
        <v>0.25</v>
      </c>
      <c r="C1477" s="71" t="n">
        <v>41267</v>
      </c>
      <c r="D1477" s="72" t="n">
        <v>0</v>
      </c>
    </row>
    <row r="1478">
      <c r="A1478" s="71" t="n">
        <v>41268</v>
      </c>
      <c r="B1478" s="72" t="n">
        <v>0.25</v>
      </c>
      <c r="C1478" s="71" t="n">
        <v>41268</v>
      </c>
      <c r="D1478" s="72" t="n">
        <v>0</v>
      </c>
    </row>
    <row r="1479">
      <c r="A1479" s="71" t="n">
        <v>41269</v>
      </c>
      <c r="B1479" s="72" t="n">
        <v>0.25</v>
      </c>
      <c r="C1479" s="71" t="n">
        <v>41269</v>
      </c>
      <c r="D1479" s="72" t="n">
        <v>0</v>
      </c>
    </row>
    <row r="1480">
      <c r="A1480" s="71" t="n">
        <v>41270</v>
      </c>
      <c r="B1480" s="72" t="n">
        <v>0.25</v>
      </c>
      <c r="C1480" s="71" t="n">
        <v>41270</v>
      </c>
      <c r="D1480" s="72" t="n">
        <v>0</v>
      </c>
    </row>
    <row r="1481">
      <c r="A1481" s="71" t="n">
        <v>41271</v>
      </c>
      <c r="B1481" s="72" t="n">
        <v>0.25</v>
      </c>
      <c r="C1481" s="71" t="n">
        <v>41271</v>
      </c>
      <c r="D1481" s="72" t="n">
        <v>0</v>
      </c>
    </row>
    <row r="1482">
      <c r="A1482" s="71" t="n">
        <v>41272</v>
      </c>
      <c r="B1482" s="72" t="n">
        <v>0.25</v>
      </c>
      <c r="C1482" s="71" t="n">
        <v>41272</v>
      </c>
      <c r="D1482" s="72" t="n">
        <v>0</v>
      </c>
    </row>
    <row r="1483">
      <c r="A1483" s="71" t="n">
        <v>41273</v>
      </c>
      <c r="B1483" s="72" t="n">
        <v>0.25</v>
      </c>
      <c r="C1483" s="71" t="n">
        <v>41273</v>
      </c>
      <c r="D1483" s="72" t="n">
        <v>0</v>
      </c>
    </row>
    <row r="1484">
      <c r="A1484" s="71" t="n">
        <v>41274</v>
      </c>
      <c r="B1484" s="72" t="n">
        <v>0.25</v>
      </c>
      <c r="C1484" s="71" t="n">
        <v>41274</v>
      </c>
      <c r="D1484" s="72" t="n">
        <v>0</v>
      </c>
    </row>
    <row r="1485">
      <c r="A1485" s="71" t="n">
        <v>41275</v>
      </c>
      <c r="B1485" s="72" t="n">
        <v>0.25</v>
      </c>
      <c r="C1485" s="71" t="n">
        <v>41275</v>
      </c>
      <c r="D1485" s="72" t="n">
        <v>0</v>
      </c>
    </row>
    <row r="1486">
      <c r="A1486" s="71" t="n">
        <v>41276</v>
      </c>
      <c r="B1486" s="72" t="n">
        <v>0.25</v>
      </c>
      <c r="C1486" s="71" t="n">
        <v>41276</v>
      </c>
      <c r="D1486" s="72" t="n">
        <v>0</v>
      </c>
    </row>
    <row r="1487">
      <c r="A1487" s="71" t="n">
        <v>41277</v>
      </c>
      <c r="B1487" s="72" t="n">
        <v>0.25</v>
      </c>
      <c r="C1487" s="71" t="n">
        <v>41277</v>
      </c>
      <c r="D1487" s="72" t="n">
        <v>0</v>
      </c>
    </row>
    <row r="1488">
      <c r="A1488" s="71" t="n">
        <v>41278</v>
      </c>
      <c r="B1488" s="72" t="n">
        <v>0.25</v>
      </c>
      <c r="C1488" s="71" t="n">
        <v>41278</v>
      </c>
      <c r="D1488" s="72" t="n">
        <v>0</v>
      </c>
    </row>
    <row r="1489">
      <c r="A1489" s="71" t="n">
        <v>41279</v>
      </c>
      <c r="B1489" s="72" t="n">
        <v>0.25</v>
      </c>
      <c r="C1489" s="71" t="n">
        <v>41279</v>
      </c>
      <c r="D1489" s="72" t="n">
        <v>0</v>
      </c>
    </row>
    <row r="1490">
      <c r="A1490" s="71" t="n">
        <v>41280</v>
      </c>
      <c r="B1490" s="72" t="n">
        <v>0.25</v>
      </c>
      <c r="C1490" s="71" t="n">
        <v>41280</v>
      </c>
      <c r="D1490" s="72" t="n">
        <v>0</v>
      </c>
    </row>
    <row r="1491">
      <c r="A1491" s="71" t="n">
        <v>41281</v>
      </c>
      <c r="B1491" s="72" t="n">
        <v>0.25</v>
      </c>
      <c r="C1491" s="71" t="n">
        <v>41281</v>
      </c>
      <c r="D1491" s="72" t="n">
        <v>0</v>
      </c>
    </row>
    <row r="1492">
      <c r="A1492" s="71" t="n">
        <v>41282</v>
      </c>
      <c r="B1492" s="72" t="n">
        <v>0.25</v>
      </c>
      <c r="C1492" s="71" t="n">
        <v>41282</v>
      </c>
      <c r="D1492" s="72" t="n">
        <v>0</v>
      </c>
    </row>
    <row r="1493">
      <c r="A1493" s="71" t="n">
        <v>41283</v>
      </c>
      <c r="B1493" s="72" t="n">
        <v>0.25</v>
      </c>
      <c r="C1493" s="71" t="n">
        <v>41283</v>
      </c>
      <c r="D1493" s="72" t="n">
        <v>0</v>
      </c>
    </row>
    <row r="1494">
      <c r="A1494" s="71" t="n">
        <v>41284</v>
      </c>
      <c r="B1494" s="72" t="n">
        <v>0.25</v>
      </c>
      <c r="C1494" s="71" t="n">
        <v>41284</v>
      </c>
      <c r="D1494" s="72" t="n">
        <v>0</v>
      </c>
    </row>
    <row r="1495">
      <c r="A1495" s="71" t="n">
        <v>41285</v>
      </c>
      <c r="B1495" s="72" t="n">
        <v>0.25</v>
      </c>
      <c r="C1495" s="71" t="n">
        <v>41285</v>
      </c>
      <c r="D1495" s="72" t="n">
        <v>0</v>
      </c>
    </row>
    <row r="1496">
      <c r="A1496" s="71" t="n">
        <v>41286</v>
      </c>
      <c r="B1496" s="72" t="n">
        <v>0.25</v>
      </c>
      <c r="C1496" s="71" t="n">
        <v>41286</v>
      </c>
      <c r="D1496" s="72" t="n">
        <v>0</v>
      </c>
    </row>
    <row r="1497">
      <c r="A1497" s="71" t="n">
        <v>41287</v>
      </c>
      <c r="B1497" s="72" t="n">
        <v>0.25</v>
      </c>
      <c r="C1497" s="71" t="n">
        <v>41287</v>
      </c>
      <c r="D1497" s="72" t="n">
        <v>0</v>
      </c>
    </row>
    <row r="1498">
      <c r="A1498" s="71" t="n">
        <v>41288</v>
      </c>
      <c r="B1498" s="72" t="n">
        <v>0.25</v>
      </c>
      <c r="C1498" s="71" t="n">
        <v>41288</v>
      </c>
      <c r="D1498" s="72" t="n">
        <v>0</v>
      </c>
    </row>
    <row r="1499">
      <c r="A1499" s="71" t="n">
        <v>41289</v>
      </c>
      <c r="B1499" s="72" t="n">
        <v>0.25</v>
      </c>
      <c r="C1499" s="71" t="n">
        <v>41289</v>
      </c>
      <c r="D1499" s="72" t="n">
        <v>0</v>
      </c>
    </row>
    <row r="1500">
      <c r="A1500" s="71" t="n">
        <v>41290</v>
      </c>
      <c r="B1500" s="72" t="n">
        <v>0.25</v>
      </c>
      <c r="C1500" s="71" t="n">
        <v>41290</v>
      </c>
      <c r="D1500" s="72" t="n">
        <v>0</v>
      </c>
    </row>
    <row r="1501">
      <c r="A1501" s="71" t="n">
        <v>41291</v>
      </c>
      <c r="B1501" s="72" t="n">
        <v>0.25</v>
      </c>
      <c r="C1501" s="71" t="n">
        <v>41291</v>
      </c>
      <c r="D1501" s="72" t="n">
        <v>0</v>
      </c>
    </row>
    <row r="1502">
      <c r="A1502" s="71" t="n">
        <v>41292</v>
      </c>
      <c r="B1502" s="72" t="n">
        <v>0.25</v>
      </c>
      <c r="C1502" s="71" t="n">
        <v>41292</v>
      </c>
      <c r="D1502" s="72" t="n">
        <v>0</v>
      </c>
    </row>
    <row r="1503">
      <c r="A1503" s="71" t="n">
        <v>41293</v>
      </c>
      <c r="B1503" s="72" t="n">
        <v>0.25</v>
      </c>
      <c r="C1503" s="71" t="n">
        <v>41293</v>
      </c>
      <c r="D1503" s="72" t="n">
        <v>0</v>
      </c>
    </row>
    <row r="1504">
      <c r="A1504" s="71" t="n">
        <v>41294</v>
      </c>
      <c r="B1504" s="72" t="n">
        <v>0.25</v>
      </c>
      <c r="C1504" s="71" t="n">
        <v>41294</v>
      </c>
      <c r="D1504" s="72" t="n">
        <v>0</v>
      </c>
    </row>
    <row r="1505">
      <c r="A1505" s="71" t="n">
        <v>41295</v>
      </c>
      <c r="B1505" s="72" t="n">
        <v>0.25</v>
      </c>
      <c r="C1505" s="71" t="n">
        <v>41295</v>
      </c>
      <c r="D1505" s="72" t="n">
        <v>0</v>
      </c>
    </row>
    <row r="1506">
      <c r="A1506" s="71" t="n">
        <v>41296</v>
      </c>
      <c r="B1506" s="72" t="n">
        <v>0.25</v>
      </c>
      <c r="C1506" s="71" t="n">
        <v>41296</v>
      </c>
      <c r="D1506" s="72" t="n">
        <v>0</v>
      </c>
    </row>
    <row r="1507">
      <c r="A1507" s="71" t="n">
        <v>41297</v>
      </c>
      <c r="B1507" s="72" t="n">
        <v>0.25</v>
      </c>
      <c r="C1507" s="71" t="n">
        <v>41297</v>
      </c>
      <c r="D1507" s="72" t="n">
        <v>0</v>
      </c>
    </row>
    <row r="1508">
      <c r="A1508" s="71" t="n">
        <v>41298</v>
      </c>
      <c r="B1508" s="72" t="n">
        <v>0.25</v>
      </c>
      <c r="C1508" s="71" t="n">
        <v>41298</v>
      </c>
      <c r="D1508" s="72" t="n">
        <v>0</v>
      </c>
    </row>
    <row r="1509">
      <c r="A1509" s="71" t="n">
        <v>41299</v>
      </c>
      <c r="B1509" s="72" t="n">
        <v>0.25</v>
      </c>
      <c r="C1509" s="71" t="n">
        <v>41299</v>
      </c>
      <c r="D1509" s="72" t="n">
        <v>0</v>
      </c>
    </row>
    <row r="1510">
      <c r="A1510" s="71" t="n">
        <v>41300</v>
      </c>
      <c r="B1510" s="72" t="n">
        <v>0.25</v>
      </c>
      <c r="C1510" s="71" t="n">
        <v>41300</v>
      </c>
      <c r="D1510" s="72" t="n">
        <v>0</v>
      </c>
    </row>
    <row r="1511">
      <c r="A1511" s="71" t="n">
        <v>41301</v>
      </c>
      <c r="B1511" s="72" t="n">
        <v>0.25</v>
      </c>
      <c r="C1511" s="71" t="n">
        <v>41301</v>
      </c>
      <c r="D1511" s="72" t="n">
        <v>0</v>
      </c>
    </row>
    <row r="1512">
      <c r="A1512" s="71" t="n">
        <v>41302</v>
      </c>
      <c r="B1512" s="72" t="n">
        <v>0.25</v>
      </c>
      <c r="C1512" s="71" t="n">
        <v>41302</v>
      </c>
      <c r="D1512" s="72" t="n">
        <v>0</v>
      </c>
    </row>
    <row r="1513">
      <c r="A1513" s="71" t="n">
        <v>41303</v>
      </c>
      <c r="B1513" s="72" t="n">
        <v>0.25</v>
      </c>
      <c r="C1513" s="71" t="n">
        <v>41303</v>
      </c>
      <c r="D1513" s="72" t="n">
        <v>0</v>
      </c>
    </row>
    <row r="1514">
      <c r="A1514" s="71" t="n">
        <v>41304</v>
      </c>
      <c r="B1514" s="72" t="n">
        <v>0.25</v>
      </c>
      <c r="C1514" s="71" t="n">
        <v>41304</v>
      </c>
      <c r="D1514" s="72" t="n">
        <v>0</v>
      </c>
    </row>
    <row r="1515">
      <c r="A1515" s="71" t="n">
        <v>41305</v>
      </c>
      <c r="B1515" s="72" t="n">
        <v>0.25</v>
      </c>
      <c r="C1515" s="71" t="n">
        <v>41305</v>
      </c>
      <c r="D1515" s="72" t="n">
        <v>0</v>
      </c>
    </row>
    <row r="1516">
      <c r="A1516" s="71" t="n">
        <v>41306</v>
      </c>
      <c r="B1516" s="72" t="n">
        <v>0.25</v>
      </c>
      <c r="C1516" s="71" t="n">
        <v>41306</v>
      </c>
      <c r="D1516" s="72" t="n">
        <v>0</v>
      </c>
    </row>
    <row r="1517">
      <c r="A1517" s="71" t="n">
        <v>41307</v>
      </c>
      <c r="B1517" s="72" t="n">
        <v>0.25</v>
      </c>
      <c r="C1517" s="71" t="n">
        <v>41307</v>
      </c>
      <c r="D1517" s="72" t="n">
        <v>0</v>
      </c>
    </row>
    <row r="1518">
      <c r="A1518" s="71" t="n">
        <v>41308</v>
      </c>
      <c r="B1518" s="72" t="n">
        <v>0.25</v>
      </c>
      <c r="C1518" s="71" t="n">
        <v>41308</v>
      </c>
      <c r="D1518" s="72" t="n">
        <v>0</v>
      </c>
    </row>
    <row r="1519">
      <c r="A1519" s="71" t="n">
        <v>41309</v>
      </c>
      <c r="B1519" s="72" t="n">
        <v>0.25</v>
      </c>
      <c r="C1519" s="71" t="n">
        <v>41309</v>
      </c>
      <c r="D1519" s="72" t="n">
        <v>0</v>
      </c>
    </row>
    <row r="1520">
      <c r="A1520" s="71" t="n">
        <v>41310</v>
      </c>
      <c r="B1520" s="72" t="n">
        <v>0.25</v>
      </c>
      <c r="C1520" s="71" t="n">
        <v>41310</v>
      </c>
      <c r="D1520" s="72" t="n">
        <v>0</v>
      </c>
    </row>
    <row r="1521">
      <c r="A1521" s="71" t="n">
        <v>41311</v>
      </c>
      <c r="B1521" s="72" t="n">
        <v>0.25</v>
      </c>
      <c r="C1521" s="71" t="n">
        <v>41311</v>
      </c>
      <c r="D1521" s="72" t="n">
        <v>0</v>
      </c>
    </row>
    <row r="1522">
      <c r="A1522" s="71" t="n">
        <v>41312</v>
      </c>
      <c r="B1522" s="72" t="n">
        <v>0.25</v>
      </c>
      <c r="C1522" s="71" t="n">
        <v>41312</v>
      </c>
      <c r="D1522" s="72" t="n">
        <v>0</v>
      </c>
    </row>
    <row r="1523">
      <c r="A1523" s="71" t="n">
        <v>41313</v>
      </c>
      <c r="B1523" s="72" t="n">
        <v>0.25</v>
      </c>
      <c r="C1523" s="71" t="n">
        <v>41313</v>
      </c>
      <c r="D1523" s="72" t="n">
        <v>0</v>
      </c>
    </row>
    <row r="1524">
      <c r="A1524" s="71" t="n">
        <v>41314</v>
      </c>
      <c r="B1524" s="72" t="n">
        <v>0.25</v>
      </c>
      <c r="C1524" s="71" t="n">
        <v>41314</v>
      </c>
      <c r="D1524" s="72" t="n">
        <v>0</v>
      </c>
    </row>
    <row r="1525">
      <c r="A1525" s="71" t="n">
        <v>41315</v>
      </c>
      <c r="B1525" s="72" t="n">
        <v>0.25</v>
      </c>
      <c r="C1525" s="71" t="n">
        <v>41315</v>
      </c>
      <c r="D1525" s="72" t="n">
        <v>0</v>
      </c>
    </row>
    <row r="1526">
      <c r="A1526" s="71" t="n">
        <v>41316</v>
      </c>
      <c r="B1526" s="72" t="n">
        <v>0.25</v>
      </c>
      <c r="C1526" s="71" t="n">
        <v>41316</v>
      </c>
      <c r="D1526" s="72" t="n">
        <v>0</v>
      </c>
    </row>
    <row r="1527">
      <c r="A1527" s="71" t="n">
        <v>41317</v>
      </c>
      <c r="B1527" s="72" t="n">
        <v>0.25</v>
      </c>
      <c r="C1527" s="71" t="n">
        <v>41317</v>
      </c>
      <c r="D1527" s="72" t="n">
        <v>0</v>
      </c>
    </row>
    <row r="1528">
      <c r="A1528" s="71" t="n">
        <v>41318</v>
      </c>
      <c r="B1528" s="72" t="n">
        <v>0.25</v>
      </c>
      <c r="C1528" s="71" t="n">
        <v>41318</v>
      </c>
      <c r="D1528" s="72" t="n">
        <v>0</v>
      </c>
    </row>
    <row r="1529">
      <c r="A1529" s="71" t="n">
        <v>41319</v>
      </c>
      <c r="B1529" s="72" t="n">
        <v>0.25</v>
      </c>
      <c r="C1529" s="71" t="n">
        <v>41319</v>
      </c>
      <c r="D1529" s="72" t="n">
        <v>0</v>
      </c>
    </row>
    <row r="1530">
      <c r="A1530" s="71" t="n">
        <v>41320</v>
      </c>
      <c r="B1530" s="72" t="n">
        <v>0.25</v>
      </c>
      <c r="C1530" s="71" t="n">
        <v>41320</v>
      </c>
      <c r="D1530" s="72" t="n">
        <v>0</v>
      </c>
    </row>
    <row r="1531">
      <c r="A1531" s="71" t="n">
        <v>41321</v>
      </c>
      <c r="B1531" s="72" t="n">
        <v>0.25</v>
      </c>
      <c r="C1531" s="71" t="n">
        <v>41321</v>
      </c>
      <c r="D1531" s="72" t="n">
        <v>0</v>
      </c>
    </row>
    <row r="1532">
      <c r="A1532" s="71" t="n">
        <v>41322</v>
      </c>
      <c r="B1532" s="72" t="n">
        <v>0.25</v>
      </c>
      <c r="C1532" s="71" t="n">
        <v>41322</v>
      </c>
      <c r="D1532" s="72" t="n">
        <v>0</v>
      </c>
    </row>
    <row r="1533">
      <c r="A1533" s="71" t="n">
        <v>41323</v>
      </c>
      <c r="B1533" s="72" t="n">
        <v>0.25</v>
      </c>
      <c r="C1533" s="71" t="n">
        <v>41323</v>
      </c>
      <c r="D1533" s="72" t="n">
        <v>0</v>
      </c>
    </row>
    <row r="1534">
      <c r="A1534" s="71" t="n">
        <v>41324</v>
      </c>
      <c r="B1534" s="72" t="n">
        <v>0.25</v>
      </c>
      <c r="C1534" s="71" t="n">
        <v>41324</v>
      </c>
      <c r="D1534" s="72" t="n">
        <v>0</v>
      </c>
    </row>
    <row r="1535">
      <c r="A1535" s="71" t="n">
        <v>41325</v>
      </c>
      <c r="B1535" s="72" t="n">
        <v>0.25</v>
      </c>
      <c r="C1535" s="71" t="n">
        <v>41325</v>
      </c>
      <c r="D1535" s="72" t="n">
        <v>0</v>
      </c>
    </row>
    <row r="1536">
      <c r="A1536" s="71" t="n">
        <v>41326</v>
      </c>
      <c r="B1536" s="72" t="n">
        <v>0.25</v>
      </c>
      <c r="C1536" s="71" t="n">
        <v>41326</v>
      </c>
      <c r="D1536" s="72" t="n">
        <v>0</v>
      </c>
    </row>
    <row r="1537">
      <c r="A1537" s="71" t="n">
        <v>41327</v>
      </c>
      <c r="B1537" s="72" t="n">
        <v>0.25</v>
      </c>
      <c r="C1537" s="71" t="n">
        <v>41327</v>
      </c>
      <c r="D1537" s="72" t="n">
        <v>0</v>
      </c>
    </row>
    <row r="1538">
      <c r="A1538" s="71" t="n">
        <v>41328</v>
      </c>
      <c r="B1538" s="72" t="n">
        <v>0.25</v>
      </c>
      <c r="C1538" s="71" t="n">
        <v>41328</v>
      </c>
      <c r="D1538" s="72" t="n">
        <v>0</v>
      </c>
    </row>
    <row r="1539">
      <c r="A1539" s="71" t="n">
        <v>41329</v>
      </c>
      <c r="B1539" s="72" t="n">
        <v>0.25</v>
      </c>
      <c r="C1539" s="71" t="n">
        <v>41329</v>
      </c>
      <c r="D1539" s="72" t="n">
        <v>0</v>
      </c>
    </row>
    <row r="1540">
      <c r="A1540" s="71" t="n">
        <v>41330</v>
      </c>
      <c r="B1540" s="72" t="n">
        <v>0.25</v>
      </c>
      <c r="C1540" s="71" t="n">
        <v>41330</v>
      </c>
      <c r="D1540" s="72" t="n">
        <v>0</v>
      </c>
    </row>
    <row r="1541">
      <c r="A1541" s="71" t="n">
        <v>41331</v>
      </c>
      <c r="B1541" s="72" t="n">
        <v>0.25</v>
      </c>
      <c r="C1541" s="71" t="n">
        <v>41331</v>
      </c>
      <c r="D1541" s="72" t="n">
        <v>0</v>
      </c>
    </row>
    <row r="1542">
      <c r="A1542" s="71" t="n">
        <v>41332</v>
      </c>
      <c r="B1542" s="72" t="n">
        <v>0.25</v>
      </c>
      <c r="C1542" s="71" t="n">
        <v>41332</v>
      </c>
      <c r="D1542" s="72" t="n">
        <v>0</v>
      </c>
    </row>
    <row r="1543">
      <c r="A1543" s="71" t="n">
        <v>41333</v>
      </c>
      <c r="B1543" s="72" t="n">
        <v>0.25</v>
      </c>
      <c r="C1543" s="71" t="n">
        <v>41333</v>
      </c>
      <c r="D1543" s="72" t="n">
        <v>0</v>
      </c>
    </row>
    <row r="1544">
      <c r="A1544" s="71" t="n">
        <v>41334</v>
      </c>
      <c r="B1544" s="72" t="n">
        <v>0.25</v>
      </c>
      <c r="C1544" s="71" t="n">
        <v>41334</v>
      </c>
      <c r="D1544" s="72" t="n">
        <v>0</v>
      </c>
    </row>
    <row r="1545">
      <c r="A1545" s="71" t="n">
        <v>41335</v>
      </c>
      <c r="B1545" s="72" t="n">
        <v>0.25</v>
      </c>
      <c r="C1545" s="71" t="n">
        <v>41335</v>
      </c>
      <c r="D1545" s="72" t="n">
        <v>0</v>
      </c>
    </row>
    <row r="1546">
      <c r="A1546" s="71" t="n">
        <v>41336</v>
      </c>
      <c r="B1546" s="72" t="n">
        <v>0.25</v>
      </c>
      <c r="C1546" s="71" t="n">
        <v>41336</v>
      </c>
      <c r="D1546" s="72" t="n">
        <v>0</v>
      </c>
    </row>
    <row r="1547">
      <c r="A1547" s="71" t="n">
        <v>41337</v>
      </c>
      <c r="B1547" s="72" t="n">
        <v>0.25</v>
      </c>
      <c r="C1547" s="71" t="n">
        <v>41337</v>
      </c>
      <c r="D1547" s="72" t="n">
        <v>0</v>
      </c>
    </row>
    <row r="1548">
      <c r="A1548" s="71" t="n">
        <v>41338</v>
      </c>
      <c r="B1548" s="72" t="n">
        <v>0.25</v>
      </c>
      <c r="C1548" s="71" t="n">
        <v>41338</v>
      </c>
      <c r="D1548" s="72" t="n">
        <v>0</v>
      </c>
    </row>
    <row r="1549">
      <c r="A1549" s="71" t="n">
        <v>41339</v>
      </c>
      <c r="B1549" s="72" t="n">
        <v>0.25</v>
      </c>
      <c r="C1549" s="71" t="n">
        <v>41339</v>
      </c>
      <c r="D1549" s="72" t="n">
        <v>0</v>
      </c>
    </row>
    <row r="1550">
      <c r="A1550" s="71" t="n">
        <v>41340</v>
      </c>
      <c r="B1550" s="72" t="n">
        <v>0.25</v>
      </c>
      <c r="C1550" s="71" t="n">
        <v>41340</v>
      </c>
      <c r="D1550" s="72" t="n">
        <v>0</v>
      </c>
    </row>
    <row r="1551">
      <c r="A1551" s="71" t="n">
        <v>41341</v>
      </c>
      <c r="B1551" s="72" t="n">
        <v>0.25</v>
      </c>
      <c r="C1551" s="71" t="n">
        <v>41341</v>
      </c>
      <c r="D1551" s="72" t="n">
        <v>0</v>
      </c>
    </row>
    <row r="1552">
      <c r="A1552" s="71" t="n">
        <v>41342</v>
      </c>
      <c r="B1552" s="72" t="n">
        <v>0.25</v>
      </c>
      <c r="C1552" s="71" t="n">
        <v>41342</v>
      </c>
      <c r="D1552" s="72" t="n">
        <v>0</v>
      </c>
    </row>
    <row r="1553">
      <c r="A1553" s="71" t="n">
        <v>41343</v>
      </c>
      <c r="B1553" s="72" t="n">
        <v>0.25</v>
      </c>
      <c r="C1553" s="71" t="n">
        <v>41343</v>
      </c>
      <c r="D1553" s="72" t="n">
        <v>0</v>
      </c>
    </row>
    <row r="1554">
      <c r="A1554" s="71" t="n">
        <v>41344</v>
      </c>
      <c r="B1554" s="72" t="n">
        <v>0.25</v>
      </c>
      <c r="C1554" s="71" t="n">
        <v>41344</v>
      </c>
      <c r="D1554" s="72" t="n">
        <v>0</v>
      </c>
    </row>
    <row r="1555">
      <c r="A1555" s="71" t="n">
        <v>41345</v>
      </c>
      <c r="B1555" s="72" t="n">
        <v>0.25</v>
      </c>
      <c r="C1555" s="71" t="n">
        <v>41345</v>
      </c>
      <c r="D1555" s="72" t="n">
        <v>0</v>
      </c>
    </row>
    <row r="1556">
      <c r="A1556" s="71" t="n">
        <v>41346</v>
      </c>
      <c r="B1556" s="72" t="n">
        <v>0.25</v>
      </c>
      <c r="C1556" s="71" t="n">
        <v>41346</v>
      </c>
      <c r="D1556" s="72" t="n">
        <v>0</v>
      </c>
    </row>
    <row r="1557">
      <c r="A1557" s="71" t="n">
        <v>41347</v>
      </c>
      <c r="B1557" s="72" t="n">
        <v>0.25</v>
      </c>
      <c r="C1557" s="71" t="n">
        <v>41347</v>
      </c>
      <c r="D1557" s="72" t="n">
        <v>0</v>
      </c>
    </row>
    <row r="1558">
      <c r="A1558" s="71" t="n">
        <v>41348</v>
      </c>
      <c r="B1558" s="72" t="n">
        <v>0.25</v>
      </c>
      <c r="C1558" s="71" t="n">
        <v>41348</v>
      </c>
      <c r="D1558" s="72" t="n">
        <v>0</v>
      </c>
    </row>
    <row r="1559">
      <c r="A1559" s="71" t="n">
        <v>41349</v>
      </c>
      <c r="B1559" s="72" t="n">
        <v>0.25</v>
      </c>
      <c r="C1559" s="71" t="n">
        <v>41349</v>
      </c>
      <c r="D1559" s="72" t="n">
        <v>0</v>
      </c>
    </row>
    <row r="1560">
      <c r="A1560" s="71" t="n">
        <v>41350</v>
      </c>
      <c r="B1560" s="72" t="n">
        <v>0.25</v>
      </c>
      <c r="C1560" s="71" t="n">
        <v>41350</v>
      </c>
      <c r="D1560" s="72" t="n">
        <v>0</v>
      </c>
    </row>
    <row r="1561">
      <c r="A1561" s="71" t="n">
        <v>41351</v>
      </c>
      <c r="B1561" s="72" t="n">
        <v>0.25</v>
      </c>
      <c r="C1561" s="71" t="n">
        <v>41351</v>
      </c>
      <c r="D1561" s="72" t="n">
        <v>0</v>
      </c>
    </row>
    <row r="1562">
      <c r="A1562" s="71" t="n">
        <v>41352</v>
      </c>
      <c r="B1562" s="72" t="n">
        <v>0.25</v>
      </c>
      <c r="C1562" s="71" t="n">
        <v>41352</v>
      </c>
      <c r="D1562" s="72" t="n">
        <v>0</v>
      </c>
    </row>
    <row r="1563">
      <c r="A1563" s="71" t="n">
        <v>41353</v>
      </c>
      <c r="B1563" s="72" t="n">
        <v>0.25</v>
      </c>
      <c r="C1563" s="71" t="n">
        <v>41353</v>
      </c>
      <c r="D1563" s="72" t="n">
        <v>0</v>
      </c>
    </row>
    <row r="1564">
      <c r="A1564" s="71" t="n">
        <v>41354</v>
      </c>
      <c r="B1564" s="72" t="n">
        <v>0.25</v>
      </c>
      <c r="C1564" s="71" t="n">
        <v>41354</v>
      </c>
      <c r="D1564" s="72" t="n">
        <v>0</v>
      </c>
    </row>
    <row r="1565">
      <c r="A1565" s="71" t="n">
        <v>41355</v>
      </c>
      <c r="B1565" s="72" t="n">
        <v>0.25</v>
      </c>
      <c r="C1565" s="71" t="n">
        <v>41355</v>
      </c>
      <c r="D1565" s="72" t="n">
        <v>0</v>
      </c>
    </row>
    <row r="1566">
      <c r="A1566" s="71" t="n">
        <v>41356</v>
      </c>
      <c r="B1566" s="72" t="n">
        <v>0.25</v>
      </c>
      <c r="C1566" s="71" t="n">
        <v>41356</v>
      </c>
      <c r="D1566" s="72" t="n">
        <v>0</v>
      </c>
    </row>
    <row r="1567">
      <c r="A1567" s="71" t="n">
        <v>41357</v>
      </c>
      <c r="B1567" s="72" t="n">
        <v>0.25</v>
      </c>
      <c r="C1567" s="71" t="n">
        <v>41357</v>
      </c>
      <c r="D1567" s="72" t="n">
        <v>0</v>
      </c>
    </row>
    <row r="1568">
      <c r="A1568" s="71" t="n">
        <v>41358</v>
      </c>
      <c r="B1568" s="72" t="n">
        <v>0.25</v>
      </c>
      <c r="C1568" s="71" t="n">
        <v>41358</v>
      </c>
      <c r="D1568" s="72" t="n">
        <v>0</v>
      </c>
    </row>
    <row r="1569">
      <c r="A1569" s="71" t="n">
        <v>41359</v>
      </c>
      <c r="B1569" s="72" t="n">
        <v>0.25</v>
      </c>
      <c r="C1569" s="71" t="n">
        <v>41359</v>
      </c>
      <c r="D1569" s="72" t="n">
        <v>0</v>
      </c>
    </row>
    <row r="1570">
      <c r="A1570" s="71" t="n">
        <v>41360</v>
      </c>
      <c r="B1570" s="72" t="n">
        <v>0.25</v>
      </c>
      <c r="C1570" s="71" t="n">
        <v>41360</v>
      </c>
      <c r="D1570" s="72" t="n">
        <v>0</v>
      </c>
    </row>
    <row r="1571">
      <c r="A1571" s="71" t="n">
        <v>41361</v>
      </c>
      <c r="B1571" s="72" t="n">
        <v>0.25</v>
      </c>
      <c r="C1571" s="71" t="n">
        <v>41361</v>
      </c>
      <c r="D1571" s="72" t="n">
        <v>0</v>
      </c>
    </row>
    <row r="1572">
      <c r="A1572" s="71" t="n">
        <v>41362</v>
      </c>
      <c r="B1572" s="72" t="n">
        <v>0.25</v>
      </c>
      <c r="C1572" s="71" t="n">
        <v>41362</v>
      </c>
      <c r="D1572" s="72" t="n">
        <v>0</v>
      </c>
    </row>
    <row r="1573">
      <c r="A1573" s="71" t="n">
        <v>41363</v>
      </c>
      <c r="B1573" s="72" t="n">
        <v>0.25</v>
      </c>
      <c r="C1573" s="71" t="n">
        <v>41363</v>
      </c>
      <c r="D1573" s="72" t="n">
        <v>0</v>
      </c>
    </row>
    <row r="1574">
      <c r="A1574" s="71" t="n">
        <v>41364</v>
      </c>
      <c r="B1574" s="72" t="n">
        <v>0.25</v>
      </c>
      <c r="C1574" s="71" t="n">
        <v>41364</v>
      </c>
      <c r="D1574" s="72" t="n">
        <v>0</v>
      </c>
    </row>
    <row r="1575">
      <c r="A1575" s="71" t="n">
        <v>41365</v>
      </c>
      <c r="B1575" s="72" t="n">
        <v>0.25</v>
      </c>
      <c r="C1575" s="71" t="n">
        <v>41365</v>
      </c>
      <c r="D1575" s="72" t="n">
        <v>0</v>
      </c>
    </row>
    <row r="1576">
      <c r="A1576" s="71" t="n">
        <v>41366</v>
      </c>
      <c r="B1576" s="72" t="n">
        <v>0.25</v>
      </c>
      <c r="C1576" s="71" t="n">
        <v>41366</v>
      </c>
      <c r="D1576" s="72" t="n">
        <v>0</v>
      </c>
    </row>
    <row r="1577">
      <c r="A1577" s="71" t="n">
        <v>41367</v>
      </c>
      <c r="B1577" s="72" t="n">
        <v>0.25</v>
      </c>
      <c r="C1577" s="71" t="n">
        <v>41367</v>
      </c>
      <c r="D1577" s="72" t="n">
        <v>0</v>
      </c>
    </row>
    <row r="1578">
      <c r="A1578" s="71" t="n">
        <v>41368</v>
      </c>
      <c r="B1578" s="72" t="n">
        <v>0.25</v>
      </c>
      <c r="C1578" s="71" t="n">
        <v>41368</v>
      </c>
      <c r="D1578" s="72" t="n">
        <v>0</v>
      </c>
    </row>
    <row r="1579">
      <c r="A1579" s="71" t="n">
        <v>41369</v>
      </c>
      <c r="B1579" s="72" t="n">
        <v>0.25</v>
      </c>
      <c r="C1579" s="71" t="n">
        <v>41369</v>
      </c>
      <c r="D1579" s="72" t="n">
        <v>0</v>
      </c>
    </row>
    <row r="1580">
      <c r="A1580" s="71" t="n">
        <v>41370</v>
      </c>
      <c r="B1580" s="72" t="n">
        <v>0.25</v>
      </c>
      <c r="C1580" s="71" t="n">
        <v>41370</v>
      </c>
      <c r="D1580" s="72" t="n">
        <v>0</v>
      </c>
    </row>
    <row r="1581">
      <c r="A1581" s="71" t="n">
        <v>41371</v>
      </c>
      <c r="B1581" s="72" t="n">
        <v>0.25</v>
      </c>
      <c r="C1581" s="71" t="n">
        <v>41371</v>
      </c>
      <c r="D1581" s="72" t="n">
        <v>0</v>
      </c>
    </row>
    <row r="1582">
      <c r="A1582" s="71" t="n">
        <v>41372</v>
      </c>
      <c r="B1582" s="72" t="n">
        <v>0.25</v>
      </c>
      <c r="C1582" s="71" t="n">
        <v>41372</v>
      </c>
      <c r="D1582" s="72" t="n">
        <v>0</v>
      </c>
    </row>
    <row r="1583">
      <c r="A1583" s="71" t="n">
        <v>41373</v>
      </c>
      <c r="B1583" s="72" t="n">
        <v>0.25</v>
      </c>
      <c r="C1583" s="71" t="n">
        <v>41373</v>
      </c>
      <c r="D1583" s="72" t="n">
        <v>0</v>
      </c>
    </row>
    <row r="1584">
      <c r="A1584" s="71" t="n">
        <v>41374</v>
      </c>
      <c r="B1584" s="72" t="n">
        <v>0.25</v>
      </c>
      <c r="C1584" s="71" t="n">
        <v>41374</v>
      </c>
      <c r="D1584" s="72" t="n">
        <v>0</v>
      </c>
    </row>
    <row r="1585">
      <c r="A1585" s="71" t="n">
        <v>41375</v>
      </c>
      <c r="B1585" s="72" t="n">
        <v>0.25</v>
      </c>
      <c r="C1585" s="71" t="n">
        <v>41375</v>
      </c>
      <c r="D1585" s="72" t="n">
        <v>0</v>
      </c>
    </row>
    <row r="1586">
      <c r="A1586" s="71" t="n">
        <v>41376</v>
      </c>
      <c r="B1586" s="72" t="n">
        <v>0.25</v>
      </c>
      <c r="C1586" s="71" t="n">
        <v>41376</v>
      </c>
      <c r="D1586" s="72" t="n">
        <v>0</v>
      </c>
    </row>
    <row r="1587">
      <c r="A1587" s="71" t="n">
        <v>41377</v>
      </c>
      <c r="B1587" s="72" t="n">
        <v>0.25</v>
      </c>
      <c r="C1587" s="71" t="n">
        <v>41377</v>
      </c>
      <c r="D1587" s="72" t="n">
        <v>0</v>
      </c>
    </row>
    <row r="1588">
      <c r="A1588" s="71" t="n">
        <v>41378</v>
      </c>
      <c r="B1588" s="72" t="n">
        <v>0.25</v>
      </c>
      <c r="C1588" s="71" t="n">
        <v>41378</v>
      </c>
      <c r="D1588" s="72" t="n">
        <v>0</v>
      </c>
    </row>
    <row r="1589">
      <c r="A1589" s="71" t="n">
        <v>41379</v>
      </c>
      <c r="B1589" s="72" t="n">
        <v>0.25</v>
      </c>
      <c r="C1589" s="71" t="n">
        <v>41379</v>
      </c>
      <c r="D1589" s="72" t="n">
        <v>0</v>
      </c>
    </row>
    <row r="1590">
      <c r="A1590" s="71" t="n">
        <v>41380</v>
      </c>
      <c r="B1590" s="72" t="n">
        <v>0.25</v>
      </c>
      <c r="C1590" s="71" t="n">
        <v>41380</v>
      </c>
      <c r="D1590" s="72" t="n">
        <v>0</v>
      </c>
    </row>
    <row r="1591">
      <c r="A1591" s="71" t="n">
        <v>41381</v>
      </c>
      <c r="B1591" s="72" t="n">
        <v>0.25</v>
      </c>
      <c r="C1591" s="71" t="n">
        <v>41381</v>
      </c>
      <c r="D1591" s="72" t="n">
        <v>0</v>
      </c>
    </row>
    <row r="1592">
      <c r="A1592" s="71" t="n">
        <v>41382</v>
      </c>
      <c r="B1592" s="72" t="n">
        <v>0.25</v>
      </c>
      <c r="C1592" s="71" t="n">
        <v>41382</v>
      </c>
      <c r="D1592" s="72" t="n">
        <v>0</v>
      </c>
    </row>
    <row r="1593">
      <c r="A1593" s="71" t="n">
        <v>41383</v>
      </c>
      <c r="B1593" s="72" t="n">
        <v>0.25</v>
      </c>
      <c r="C1593" s="71" t="n">
        <v>41383</v>
      </c>
      <c r="D1593" s="72" t="n">
        <v>0</v>
      </c>
    </row>
    <row r="1594">
      <c r="A1594" s="71" t="n">
        <v>41384</v>
      </c>
      <c r="B1594" s="72" t="n">
        <v>0.25</v>
      </c>
      <c r="C1594" s="71" t="n">
        <v>41384</v>
      </c>
      <c r="D1594" s="72" t="n">
        <v>0</v>
      </c>
    </row>
    <row r="1595">
      <c r="A1595" s="71" t="n">
        <v>41385</v>
      </c>
      <c r="B1595" s="72" t="n">
        <v>0.25</v>
      </c>
      <c r="C1595" s="71" t="n">
        <v>41385</v>
      </c>
      <c r="D1595" s="72" t="n">
        <v>0</v>
      </c>
    </row>
    <row r="1596">
      <c r="A1596" s="71" t="n">
        <v>41386</v>
      </c>
      <c r="B1596" s="72" t="n">
        <v>0.25</v>
      </c>
      <c r="C1596" s="71" t="n">
        <v>41386</v>
      </c>
      <c r="D1596" s="72" t="n">
        <v>0</v>
      </c>
    </row>
    <row r="1597">
      <c r="A1597" s="71" t="n">
        <v>41387</v>
      </c>
      <c r="B1597" s="72" t="n">
        <v>0.25</v>
      </c>
      <c r="C1597" s="71" t="n">
        <v>41387</v>
      </c>
      <c r="D1597" s="72" t="n">
        <v>0</v>
      </c>
    </row>
    <row r="1598">
      <c r="A1598" s="71" t="n">
        <v>41388</v>
      </c>
      <c r="B1598" s="72" t="n">
        <v>0.25</v>
      </c>
      <c r="C1598" s="71" t="n">
        <v>41388</v>
      </c>
      <c r="D1598" s="72" t="n">
        <v>0</v>
      </c>
    </row>
    <row r="1599">
      <c r="A1599" s="71" t="n">
        <v>41389</v>
      </c>
      <c r="B1599" s="72" t="n">
        <v>0.25</v>
      </c>
      <c r="C1599" s="71" t="n">
        <v>41389</v>
      </c>
      <c r="D1599" s="72" t="n">
        <v>0</v>
      </c>
    </row>
    <row r="1600">
      <c r="A1600" s="71" t="n">
        <v>41390</v>
      </c>
      <c r="B1600" s="72" t="n">
        <v>0.25</v>
      </c>
      <c r="C1600" s="71" t="n">
        <v>41390</v>
      </c>
      <c r="D1600" s="72" t="n">
        <v>0</v>
      </c>
    </row>
    <row r="1601">
      <c r="A1601" s="71" t="n">
        <v>41391</v>
      </c>
      <c r="B1601" s="72" t="n">
        <v>0.25</v>
      </c>
      <c r="C1601" s="71" t="n">
        <v>41391</v>
      </c>
      <c r="D1601" s="72" t="n">
        <v>0</v>
      </c>
    </row>
    <row r="1602">
      <c r="A1602" s="71" t="n">
        <v>41392</v>
      </c>
      <c r="B1602" s="72" t="n">
        <v>0.25</v>
      </c>
      <c r="C1602" s="71" t="n">
        <v>41392</v>
      </c>
      <c r="D1602" s="72" t="n">
        <v>0</v>
      </c>
    </row>
    <row r="1603">
      <c r="A1603" s="71" t="n">
        <v>41393</v>
      </c>
      <c r="B1603" s="72" t="n">
        <v>0.25</v>
      </c>
      <c r="C1603" s="71" t="n">
        <v>41393</v>
      </c>
      <c r="D1603" s="72" t="n">
        <v>0</v>
      </c>
    </row>
    <row r="1604">
      <c r="A1604" s="71" t="n">
        <v>41394</v>
      </c>
      <c r="B1604" s="72" t="n">
        <v>0.25</v>
      </c>
      <c r="C1604" s="71" t="n">
        <v>41394</v>
      </c>
      <c r="D1604" s="72" t="n">
        <v>0</v>
      </c>
    </row>
    <row r="1605">
      <c r="A1605" s="71" t="n">
        <v>41395</v>
      </c>
      <c r="B1605" s="72" t="n">
        <v>0.25</v>
      </c>
      <c r="C1605" s="71" t="n">
        <v>41395</v>
      </c>
      <c r="D1605" s="72" t="n">
        <v>0</v>
      </c>
    </row>
    <row r="1606">
      <c r="A1606" s="71" t="n">
        <v>41396</v>
      </c>
      <c r="B1606" s="72" t="n">
        <v>0.25</v>
      </c>
      <c r="C1606" s="71" t="n">
        <v>41396</v>
      </c>
      <c r="D1606" s="72" t="n">
        <v>0</v>
      </c>
    </row>
    <row r="1607">
      <c r="A1607" s="71" t="n">
        <v>41397</v>
      </c>
      <c r="B1607" s="72" t="n">
        <v>0.25</v>
      </c>
      <c r="C1607" s="71" t="n">
        <v>41397</v>
      </c>
      <c r="D1607" s="72" t="n">
        <v>0</v>
      </c>
    </row>
    <row r="1608">
      <c r="A1608" s="71" t="n">
        <v>41398</v>
      </c>
      <c r="B1608" s="72" t="n">
        <v>0.25</v>
      </c>
      <c r="C1608" s="71" t="n">
        <v>41398</v>
      </c>
      <c r="D1608" s="72" t="n">
        <v>0</v>
      </c>
    </row>
    <row r="1609">
      <c r="A1609" s="71" t="n">
        <v>41399</v>
      </c>
      <c r="B1609" s="72" t="n">
        <v>0.25</v>
      </c>
      <c r="C1609" s="71" t="n">
        <v>41399</v>
      </c>
      <c r="D1609" s="72" t="n">
        <v>0</v>
      </c>
    </row>
    <row r="1610">
      <c r="A1610" s="71" t="n">
        <v>41400</v>
      </c>
      <c r="B1610" s="72" t="n">
        <v>0.25</v>
      </c>
      <c r="C1610" s="71" t="n">
        <v>41400</v>
      </c>
      <c r="D1610" s="72" t="n">
        <v>0</v>
      </c>
    </row>
    <row r="1611">
      <c r="A1611" s="71" t="n">
        <v>41401</v>
      </c>
      <c r="B1611" s="72" t="n">
        <v>0.25</v>
      </c>
      <c r="C1611" s="71" t="n">
        <v>41401</v>
      </c>
      <c r="D1611" s="72" t="n">
        <v>0</v>
      </c>
    </row>
    <row r="1612">
      <c r="A1612" s="71" t="n">
        <v>41402</v>
      </c>
      <c r="B1612" s="72" t="n">
        <v>0.25</v>
      </c>
      <c r="C1612" s="71" t="n">
        <v>41402</v>
      </c>
      <c r="D1612" s="72" t="n">
        <v>0</v>
      </c>
    </row>
    <row r="1613">
      <c r="A1613" s="71" t="n">
        <v>41403</v>
      </c>
      <c r="B1613" s="72" t="n">
        <v>0.25</v>
      </c>
      <c r="C1613" s="71" t="n">
        <v>41403</v>
      </c>
      <c r="D1613" s="72" t="n">
        <v>0</v>
      </c>
    </row>
    <row r="1614">
      <c r="A1614" s="71" t="n">
        <v>41404</v>
      </c>
      <c r="B1614" s="72" t="n">
        <v>0.25</v>
      </c>
      <c r="C1614" s="71" t="n">
        <v>41404</v>
      </c>
      <c r="D1614" s="72" t="n">
        <v>0</v>
      </c>
    </row>
    <row r="1615">
      <c r="A1615" s="71" t="n">
        <v>41405</v>
      </c>
      <c r="B1615" s="72" t="n">
        <v>0.25</v>
      </c>
      <c r="C1615" s="71" t="n">
        <v>41405</v>
      </c>
      <c r="D1615" s="72" t="n">
        <v>0</v>
      </c>
    </row>
    <row r="1616">
      <c r="A1616" s="71" t="n">
        <v>41406</v>
      </c>
      <c r="B1616" s="72" t="n">
        <v>0.25</v>
      </c>
      <c r="C1616" s="71" t="n">
        <v>41406</v>
      </c>
      <c r="D1616" s="72" t="n">
        <v>0</v>
      </c>
    </row>
    <row r="1617">
      <c r="A1617" s="71" t="n">
        <v>41407</v>
      </c>
      <c r="B1617" s="72" t="n">
        <v>0.25</v>
      </c>
      <c r="C1617" s="71" t="n">
        <v>41407</v>
      </c>
      <c r="D1617" s="72" t="n">
        <v>0</v>
      </c>
    </row>
    <row r="1618">
      <c r="A1618" s="71" t="n">
        <v>41408</v>
      </c>
      <c r="B1618" s="72" t="n">
        <v>0.25</v>
      </c>
      <c r="C1618" s="71" t="n">
        <v>41408</v>
      </c>
      <c r="D1618" s="72" t="n">
        <v>0</v>
      </c>
    </row>
    <row r="1619">
      <c r="A1619" s="71" t="n">
        <v>41409</v>
      </c>
      <c r="B1619" s="72" t="n">
        <v>0.25</v>
      </c>
      <c r="C1619" s="71" t="n">
        <v>41409</v>
      </c>
      <c r="D1619" s="72" t="n">
        <v>0</v>
      </c>
    </row>
    <row r="1620">
      <c r="A1620" s="71" t="n">
        <v>41410</v>
      </c>
      <c r="B1620" s="72" t="n">
        <v>0.25</v>
      </c>
      <c r="C1620" s="71" t="n">
        <v>41410</v>
      </c>
      <c r="D1620" s="72" t="n">
        <v>0</v>
      </c>
    </row>
    <row r="1621">
      <c r="A1621" s="71" t="n">
        <v>41411</v>
      </c>
      <c r="B1621" s="72" t="n">
        <v>0.25</v>
      </c>
      <c r="C1621" s="71" t="n">
        <v>41411</v>
      </c>
      <c r="D1621" s="72" t="n">
        <v>0</v>
      </c>
    </row>
    <row r="1622">
      <c r="A1622" s="71" t="n">
        <v>41412</v>
      </c>
      <c r="B1622" s="72" t="n">
        <v>0.25</v>
      </c>
      <c r="C1622" s="71" t="n">
        <v>41412</v>
      </c>
      <c r="D1622" s="72" t="n">
        <v>0</v>
      </c>
    </row>
    <row r="1623">
      <c r="A1623" s="71" t="n">
        <v>41413</v>
      </c>
      <c r="B1623" s="72" t="n">
        <v>0.25</v>
      </c>
      <c r="C1623" s="71" t="n">
        <v>41413</v>
      </c>
      <c r="D1623" s="72" t="n">
        <v>0</v>
      </c>
    </row>
    <row r="1624">
      <c r="A1624" s="71" t="n">
        <v>41414</v>
      </c>
      <c r="B1624" s="72" t="n">
        <v>0.25</v>
      </c>
      <c r="C1624" s="71" t="n">
        <v>41414</v>
      </c>
      <c r="D1624" s="72" t="n">
        <v>0</v>
      </c>
    </row>
    <row r="1625">
      <c r="A1625" s="71" t="n">
        <v>41415</v>
      </c>
      <c r="B1625" s="72" t="n">
        <v>0.25</v>
      </c>
      <c r="C1625" s="71" t="n">
        <v>41415</v>
      </c>
      <c r="D1625" s="72" t="n">
        <v>0</v>
      </c>
    </row>
    <row r="1626">
      <c r="A1626" s="71" t="n">
        <v>41416</v>
      </c>
      <c r="B1626" s="72" t="n">
        <v>0.25</v>
      </c>
      <c r="C1626" s="71" t="n">
        <v>41416</v>
      </c>
      <c r="D1626" s="72" t="n">
        <v>0</v>
      </c>
    </row>
    <row r="1627">
      <c r="A1627" s="71" t="n">
        <v>41417</v>
      </c>
      <c r="B1627" s="72" t="n">
        <v>0.25</v>
      </c>
      <c r="C1627" s="71" t="n">
        <v>41417</v>
      </c>
      <c r="D1627" s="72" t="n">
        <v>0</v>
      </c>
    </row>
    <row r="1628">
      <c r="A1628" s="71" t="n">
        <v>41418</v>
      </c>
      <c r="B1628" s="72" t="n">
        <v>0.25</v>
      </c>
      <c r="C1628" s="71" t="n">
        <v>41418</v>
      </c>
      <c r="D1628" s="72" t="n">
        <v>0</v>
      </c>
    </row>
    <row r="1629">
      <c r="A1629" s="71" t="n">
        <v>41419</v>
      </c>
      <c r="B1629" s="72" t="n">
        <v>0.25</v>
      </c>
      <c r="C1629" s="71" t="n">
        <v>41419</v>
      </c>
      <c r="D1629" s="72" t="n">
        <v>0</v>
      </c>
    </row>
    <row r="1630">
      <c r="A1630" s="71" t="n">
        <v>41420</v>
      </c>
      <c r="B1630" s="72" t="n">
        <v>0.25</v>
      </c>
      <c r="C1630" s="71" t="n">
        <v>41420</v>
      </c>
      <c r="D1630" s="72" t="n">
        <v>0</v>
      </c>
    </row>
    <row r="1631">
      <c r="A1631" s="71" t="n">
        <v>41421</v>
      </c>
      <c r="B1631" s="72" t="n">
        <v>0.25</v>
      </c>
      <c r="C1631" s="71" t="n">
        <v>41421</v>
      </c>
      <c r="D1631" s="72" t="n">
        <v>0</v>
      </c>
    </row>
    <row r="1632">
      <c r="A1632" s="71" t="n">
        <v>41422</v>
      </c>
      <c r="B1632" s="72" t="n">
        <v>0.25</v>
      </c>
      <c r="C1632" s="71" t="n">
        <v>41422</v>
      </c>
      <c r="D1632" s="72" t="n">
        <v>0</v>
      </c>
    </row>
    <row r="1633">
      <c r="A1633" s="71" t="n">
        <v>41423</v>
      </c>
      <c r="B1633" s="72" t="n">
        <v>0.25</v>
      </c>
      <c r="C1633" s="71" t="n">
        <v>41423</v>
      </c>
      <c r="D1633" s="72" t="n">
        <v>0</v>
      </c>
    </row>
    <row r="1634">
      <c r="A1634" s="71" t="n">
        <v>41424</v>
      </c>
      <c r="B1634" s="72" t="n">
        <v>0.25</v>
      </c>
      <c r="C1634" s="71" t="n">
        <v>41424</v>
      </c>
      <c r="D1634" s="72" t="n">
        <v>0</v>
      </c>
    </row>
    <row r="1635">
      <c r="A1635" s="71" t="n">
        <v>41425</v>
      </c>
      <c r="B1635" s="72" t="n">
        <v>0.25</v>
      </c>
      <c r="C1635" s="71" t="n">
        <v>41425</v>
      </c>
      <c r="D1635" s="72" t="n">
        <v>0</v>
      </c>
    </row>
    <row r="1636">
      <c r="A1636" s="71" t="n">
        <v>41426</v>
      </c>
      <c r="B1636" s="72" t="n">
        <v>0.25</v>
      </c>
      <c r="C1636" s="71" t="n">
        <v>41426</v>
      </c>
      <c r="D1636" s="72" t="n">
        <v>0</v>
      </c>
    </row>
    <row r="1637">
      <c r="A1637" s="71" t="n">
        <v>41427</v>
      </c>
      <c r="B1637" s="72" t="n">
        <v>0.25</v>
      </c>
      <c r="C1637" s="71" t="n">
        <v>41427</v>
      </c>
      <c r="D1637" s="72" t="n">
        <v>0</v>
      </c>
    </row>
    <row r="1638">
      <c r="A1638" s="71" t="n">
        <v>41428</v>
      </c>
      <c r="B1638" s="72" t="n">
        <v>0.25</v>
      </c>
      <c r="C1638" s="71" t="n">
        <v>41428</v>
      </c>
      <c r="D1638" s="72" t="n">
        <v>0</v>
      </c>
    </row>
    <row r="1639">
      <c r="A1639" s="71" t="n">
        <v>41429</v>
      </c>
      <c r="B1639" s="72" t="n">
        <v>0.25</v>
      </c>
      <c r="C1639" s="71" t="n">
        <v>41429</v>
      </c>
      <c r="D1639" s="72" t="n">
        <v>0</v>
      </c>
    </row>
    <row r="1640">
      <c r="A1640" s="71" t="n">
        <v>41430</v>
      </c>
      <c r="B1640" s="72" t="n">
        <v>0.25</v>
      </c>
      <c r="C1640" s="71" t="n">
        <v>41430</v>
      </c>
      <c r="D1640" s="72" t="n">
        <v>0</v>
      </c>
    </row>
    <row r="1641">
      <c r="A1641" s="71" t="n">
        <v>41431</v>
      </c>
      <c r="B1641" s="72" t="n">
        <v>0.25</v>
      </c>
      <c r="C1641" s="71" t="n">
        <v>41431</v>
      </c>
      <c r="D1641" s="72" t="n">
        <v>0</v>
      </c>
    </row>
    <row r="1642">
      <c r="A1642" s="71" t="n">
        <v>41432</v>
      </c>
      <c r="B1642" s="72" t="n">
        <v>0.25</v>
      </c>
      <c r="C1642" s="71" t="n">
        <v>41432</v>
      </c>
      <c r="D1642" s="72" t="n">
        <v>0</v>
      </c>
    </row>
    <row r="1643">
      <c r="A1643" s="71" t="n">
        <v>41433</v>
      </c>
      <c r="B1643" s="72" t="n">
        <v>0.25</v>
      </c>
      <c r="C1643" s="71" t="n">
        <v>41433</v>
      </c>
      <c r="D1643" s="72" t="n">
        <v>0</v>
      </c>
    </row>
    <row r="1644">
      <c r="A1644" s="71" t="n">
        <v>41434</v>
      </c>
      <c r="B1644" s="72" t="n">
        <v>0.25</v>
      </c>
      <c r="C1644" s="71" t="n">
        <v>41434</v>
      </c>
      <c r="D1644" s="72" t="n">
        <v>0</v>
      </c>
    </row>
    <row r="1645">
      <c r="A1645" s="71" t="n">
        <v>41435</v>
      </c>
      <c r="B1645" s="72" t="n">
        <v>0.25</v>
      </c>
      <c r="C1645" s="71" t="n">
        <v>41435</v>
      </c>
      <c r="D1645" s="72" t="n">
        <v>0</v>
      </c>
    </row>
    <row r="1646">
      <c r="A1646" s="71" t="n">
        <v>41436</v>
      </c>
      <c r="B1646" s="72" t="n">
        <v>0.25</v>
      </c>
      <c r="C1646" s="71" t="n">
        <v>41436</v>
      </c>
      <c r="D1646" s="72" t="n">
        <v>0</v>
      </c>
    </row>
    <row r="1647">
      <c r="A1647" s="71" t="n">
        <v>41437</v>
      </c>
      <c r="B1647" s="72" t="n">
        <v>0.25</v>
      </c>
      <c r="C1647" s="71" t="n">
        <v>41437</v>
      </c>
      <c r="D1647" s="72" t="n">
        <v>0</v>
      </c>
    </row>
    <row r="1648">
      <c r="A1648" s="71" t="n">
        <v>41438</v>
      </c>
      <c r="B1648" s="72" t="n">
        <v>0.25</v>
      </c>
      <c r="C1648" s="71" t="n">
        <v>41438</v>
      </c>
      <c r="D1648" s="72" t="n">
        <v>0</v>
      </c>
    </row>
    <row r="1649">
      <c r="A1649" s="71" t="n">
        <v>41439</v>
      </c>
      <c r="B1649" s="72" t="n">
        <v>0.25</v>
      </c>
      <c r="C1649" s="71" t="n">
        <v>41439</v>
      </c>
      <c r="D1649" s="72" t="n">
        <v>0</v>
      </c>
    </row>
    <row r="1650">
      <c r="A1650" s="71" t="n">
        <v>41440</v>
      </c>
      <c r="B1650" s="72" t="n">
        <v>0.25</v>
      </c>
      <c r="C1650" s="71" t="n">
        <v>41440</v>
      </c>
      <c r="D1650" s="72" t="n">
        <v>0</v>
      </c>
    </row>
    <row r="1651">
      <c r="A1651" s="71" t="n">
        <v>41441</v>
      </c>
      <c r="B1651" s="72" t="n">
        <v>0.25</v>
      </c>
      <c r="C1651" s="71" t="n">
        <v>41441</v>
      </c>
      <c r="D1651" s="72" t="n">
        <v>0</v>
      </c>
    </row>
    <row r="1652">
      <c r="A1652" s="71" t="n">
        <v>41442</v>
      </c>
      <c r="B1652" s="72" t="n">
        <v>0.25</v>
      </c>
      <c r="C1652" s="71" t="n">
        <v>41442</v>
      </c>
      <c r="D1652" s="72" t="n">
        <v>0</v>
      </c>
    </row>
    <row r="1653">
      <c r="A1653" s="71" t="n">
        <v>41443</v>
      </c>
      <c r="B1653" s="72" t="n">
        <v>0.25</v>
      </c>
      <c r="C1653" s="71" t="n">
        <v>41443</v>
      </c>
      <c r="D1653" s="72" t="n">
        <v>0</v>
      </c>
    </row>
    <row r="1654">
      <c r="A1654" s="71" t="n">
        <v>41444</v>
      </c>
      <c r="B1654" s="72" t="n">
        <v>0.25</v>
      </c>
      <c r="C1654" s="71" t="n">
        <v>41444</v>
      </c>
      <c r="D1654" s="72" t="n">
        <v>0</v>
      </c>
    </row>
    <row r="1655">
      <c r="A1655" s="71" t="n">
        <v>41445</v>
      </c>
      <c r="B1655" s="72" t="n">
        <v>0.25</v>
      </c>
      <c r="C1655" s="71" t="n">
        <v>41445</v>
      </c>
      <c r="D1655" s="72" t="n">
        <v>0</v>
      </c>
    </row>
    <row r="1656">
      <c r="A1656" s="71" t="n">
        <v>41446</v>
      </c>
      <c r="B1656" s="72" t="n">
        <v>0.25</v>
      </c>
      <c r="C1656" s="71" t="n">
        <v>41446</v>
      </c>
      <c r="D1656" s="72" t="n">
        <v>0</v>
      </c>
    </row>
    <row r="1657">
      <c r="A1657" s="71" t="n">
        <v>41447</v>
      </c>
      <c r="B1657" s="72" t="n">
        <v>0.25</v>
      </c>
      <c r="C1657" s="71" t="n">
        <v>41447</v>
      </c>
      <c r="D1657" s="72" t="n">
        <v>0</v>
      </c>
    </row>
    <row r="1658">
      <c r="A1658" s="71" t="n">
        <v>41448</v>
      </c>
      <c r="B1658" s="72" t="n">
        <v>0.25</v>
      </c>
      <c r="C1658" s="71" t="n">
        <v>41448</v>
      </c>
      <c r="D1658" s="72" t="n">
        <v>0</v>
      </c>
    </row>
    <row r="1659">
      <c r="A1659" s="71" t="n">
        <v>41449</v>
      </c>
      <c r="B1659" s="72" t="n">
        <v>0.25</v>
      </c>
      <c r="C1659" s="71" t="n">
        <v>41449</v>
      </c>
      <c r="D1659" s="72" t="n">
        <v>0</v>
      </c>
    </row>
    <row r="1660">
      <c r="A1660" s="71" t="n">
        <v>41450</v>
      </c>
      <c r="B1660" s="72" t="n">
        <v>0.25</v>
      </c>
      <c r="C1660" s="71" t="n">
        <v>41450</v>
      </c>
      <c r="D1660" s="72" t="n">
        <v>0</v>
      </c>
    </row>
    <row r="1661">
      <c r="A1661" s="71" t="n">
        <v>41451</v>
      </c>
      <c r="B1661" s="72" t="n">
        <v>0.25</v>
      </c>
      <c r="C1661" s="71" t="n">
        <v>41451</v>
      </c>
      <c r="D1661" s="72" t="n">
        <v>0</v>
      </c>
    </row>
    <row r="1662">
      <c r="A1662" s="71" t="n">
        <v>41452</v>
      </c>
      <c r="B1662" s="72" t="n">
        <v>0.25</v>
      </c>
      <c r="C1662" s="71" t="n">
        <v>41452</v>
      </c>
      <c r="D1662" s="72" t="n">
        <v>0</v>
      </c>
    </row>
    <row r="1663">
      <c r="A1663" s="71" t="n">
        <v>41453</v>
      </c>
      <c r="B1663" s="72" t="n">
        <v>0.25</v>
      </c>
      <c r="C1663" s="71" t="n">
        <v>41453</v>
      </c>
      <c r="D1663" s="72" t="n">
        <v>0</v>
      </c>
    </row>
    <row r="1664">
      <c r="A1664" s="71" t="n">
        <v>41454</v>
      </c>
      <c r="B1664" s="72" t="n">
        <v>0.25</v>
      </c>
      <c r="C1664" s="71" t="n">
        <v>41454</v>
      </c>
      <c r="D1664" s="72" t="n">
        <v>0</v>
      </c>
    </row>
    <row r="1665">
      <c r="A1665" s="71" t="n">
        <v>41455</v>
      </c>
      <c r="B1665" s="72" t="n">
        <v>0.25</v>
      </c>
      <c r="C1665" s="71" t="n">
        <v>41455</v>
      </c>
      <c r="D1665" s="72" t="n">
        <v>0</v>
      </c>
    </row>
    <row r="1666">
      <c r="A1666" s="71" t="n">
        <v>41456</v>
      </c>
      <c r="B1666" s="72" t="n">
        <v>0.25</v>
      </c>
      <c r="C1666" s="71" t="n">
        <v>41456</v>
      </c>
      <c r="D1666" s="72" t="n">
        <v>0</v>
      </c>
    </row>
    <row r="1667">
      <c r="A1667" s="71" t="n">
        <v>41457</v>
      </c>
      <c r="B1667" s="72" t="n">
        <v>0.25</v>
      </c>
      <c r="C1667" s="71" t="n">
        <v>41457</v>
      </c>
      <c r="D1667" s="72" t="n">
        <v>0</v>
      </c>
    </row>
    <row r="1668">
      <c r="A1668" s="71" t="n">
        <v>41458</v>
      </c>
      <c r="B1668" s="72" t="n">
        <v>0.25</v>
      </c>
      <c r="C1668" s="71" t="n">
        <v>41458</v>
      </c>
      <c r="D1668" s="72" t="n">
        <v>0</v>
      </c>
    </row>
    <row r="1669">
      <c r="A1669" s="71" t="n">
        <v>41459</v>
      </c>
      <c r="B1669" s="72" t="n">
        <v>0.25</v>
      </c>
      <c r="C1669" s="71" t="n">
        <v>41459</v>
      </c>
      <c r="D1669" s="72" t="n">
        <v>0</v>
      </c>
    </row>
    <row r="1670">
      <c r="A1670" s="71" t="n">
        <v>41460</v>
      </c>
      <c r="B1670" s="72" t="n">
        <v>0.25</v>
      </c>
      <c r="C1670" s="71" t="n">
        <v>41460</v>
      </c>
      <c r="D1670" s="72" t="n">
        <v>0</v>
      </c>
    </row>
    <row r="1671">
      <c r="A1671" s="71" t="n">
        <v>41461</v>
      </c>
      <c r="B1671" s="72" t="n">
        <v>0.25</v>
      </c>
      <c r="C1671" s="71" t="n">
        <v>41461</v>
      </c>
      <c r="D1671" s="72" t="n">
        <v>0</v>
      </c>
    </row>
    <row r="1672">
      <c r="A1672" s="71" t="n">
        <v>41462</v>
      </c>
      <c r="B1672" s="72" t="n">
        <v>0.25</v>
      </c>
      <c r="C1672" s="71" t="n">
        <v>41462</v>
      </c>
      <c r="D1672" s="72" t="n">
        <v>0</v>
      </c>
    </row>
    <row r="1673">
      <c r="A1673" s="71" t="n">
        <v>41463</v>
      </c>
      <c r="B1673" s="72" t="n">
        <v>0.25</v>
      </c>
      <c r="C1673" s="71" t="n">
        <v>41463</v>
      </c>
      <c r="D1673" s="72" t="n">
        <v>0</v>
      </c>
    </row>
    <row r="1674">
      <c r="A1674" s="71" t="n">
        <v>41464</v>
      </c>
      <c r="B1674" s="72" t="n">
        <v>0.25</v>
      </c>
      <c r="C1674" s="71" t="n">
        <v>41464</v>
      </c>
      <c r="D1674" s="72" t="n">
        <v>0</v>
      </c>
    </row>
    <row r="1675">
      <c r="A1675" s="71" t="n">
        <v>41465</v>
      </c>
      <c r="B1675" s="72" t="n">
        <v>0.25</v>
      </c>
      <c r="C1675" s="71" t="n">
        <v>41465</v>
      </c>
      <c r="D1675" s="72" t="n">
        <v>0</v>
      </c>
    </row>
    <row r="1676">
      <c r="A1676" s="71" t="n">
        <v>41466</v>
      </c>
      <c r="B1676" s="72" t="n">
        <v>0.25</v>
      </c>
      <c r="C1676" s="71" t="n">
        <v>41466</v>
      </c>
      <c r="D1676" s="72" t="n">
        <v>0</v>
      </c>
    </row>
    <row r="1677">
      <c r="A1677" s="71" t="n">
        <v>41467</v>
      </c>
      <c r="B1677" s="72" t="n">
        <v>0.25</v>
      </c>
      <c r="C1677" s="71" t="n">
        <v>41467</v>
      </c>
      <c r="D1677" s="72" t="n">
        <v>0</v>
      </c>
    </row>
    <row r="1678">
      <c r="A1678" s="71" t="n">
        <v>41468</v>
      </c>
      <c r="B1678" s="72" t="n">
        <v>0.25</v>
      </c>
      <c r="C1678" s="71" t="n">
        <v>41468</v>
      </c>
      <c r="D1678" s="72" t="n">
        <v>0</v>
      </c>
    </row>
    <row r="1679">
      <c r="A1679" s="71" t="n">
        <v>41469</v>
      </c>
      <c r="B1679" s="72" t="n">
        <v>0.25</v>
      </c>
      <c r="C1679" s="71" t="n">
        <v>41469</v>
      </c>
      <c r="D1679" s="72" t="n">
        <v>0</v>
      </c>
    </row>
    <row r="1680">
      <c r="A1680" s="71" t="n">
        <v>41470</v>
      </c>
      <c r="B1680" s="72" t="n">
        <v>0.25</v>
      </c>
      <c r="C1680" s="71" t="n">
        <v>41470</v>
      </c>
      <c r="D1680" s="72" t="n">
        <v>0</v>
      </c>
    </row>
    <row r="1681">
      <c r="A1681" s="71" t="n">
        <v>41471</v>
      </c>
      <c r="B1681" s="72" t="n">
        <v>0.25</v>
      </c>
      <c r="C1681" s="71" t="n">
        <v>41471</v>
      </c>
      <c r="D1681" s="72" t="n">
        <v>0</v>
      </c>
    </row>
    <row r="1682">
      <c r="A1682" s="71" t="n">
        <v>41472</v>
      </c>
      <c r="B1682" s="72" t="n">
        <v>0.25</v>
      </c>
      <c r="C1682" s="71" t="n">
        <v>41472</v>
      </c>
      <c r="D1682" s="72" t="n">
        <v>0</v>
      </c>
    </row>
    <row r="1683">
      <c r="A1683" s="71" t="n">
        <v>41473</v>
      </c>
      <c r="B1683" s="72" t="n">
        <v>0.25</v>
      </c>
      <c r="C1683" s="71" t="n">
        <v>41473</v>
      </c>
      <c r="D1683" s="72" t="n">
        <v>0</v>
      </c>
    </row>
    <row r="1684">
      <c r="A1684" s="71" t="n">
        <v>41474</v>
      </c>
      <c r="B1684" s="72" t="n">
        <v>0.25</v>
      </c>
      <c r="C1684" s="71" t="n">
        <v>41474</v>
      </c>
      <c r="D1684" s="72" t="n">
        <v>0</v>
      </c>
    </row>
    <row r="1685">
      <c r="A1685" s="71" t="n">
        <v>41475</v>
      </c>
      <c r="B1685" s="72" t="n">
        <v>0.25</v>
      </c>
      <c r="C1685" s="71" t="n">
        <v>41475</v>
      </c>
      <c r="D1685" s="72" t="n">
        <v>0</v>
      </c>
    </row>
    <row r="1686">
      <c r="A1686" s="71" t="n">
        <v>41476</v>
      </c>
      <c r="B1686" s="72" t="n">
        <v>0.25</v>
      </c>
      <c r="C1686" s="71" t="n">
        <v>41476</v>
      </c>
      <c r="D1686" s="72" t="n">
        <v>0</v>
      </c>
    </row>
    <row r="1687">
      <c r="A1687" s="71" t="n">
        <v>41477</v>
      </c>
      <c r="B1687" s="72" t="n">
        <v>0.25</v>
      </c>
      <c r="C1687" s="71" t="n">
        <v>41477</v>
      </c>
      <c r="D1687" s="72" t="n">
        <v>0</v>
      </c>
    </row>
    <row r="1688">
      <c r="A1688" s="71" t="n">
        <v>41478</v>
      </c>
      <c r="B1688" s="72" t="n">
        <v>0.25</v>
      </c>
      <c r="C1688" s="71" t="n">
        <v>41478</v>
      </c>
      <c r="D1688" s="72" t="n">
        <v>0</v>
      </c>
    </row>
    <row r="1689">
      <c r="A1689" s="71" t="n">
        <v>41479</v>
      </c>
      <c r="B1689" s="72" t="n">
        <v>0.25</v>
      </c>
      <c r="C1689" s="71" t="n">
        <v>41479</v>
      </c>
      <c r="D1689" s="72" t="n">
        <v>0</v>
      </c>
    </row>
    <row r="1690">
      <c r="A1690" s="71" t="n">
        <v>41480</v>
      </c>
      <c r="B1690" s="72" t="n">
        <v>0.25</v>
      </c>
      <c r="C1690" s="71" t="n">
        <v>41480</v>
      </c>
      <c r="D1690" s="72" t="n">
        <v>0</v>
      </c>
    </row>
    <row r="1691">
      <c r="A1691" s="71" t="n">
        <v>41481</v>
      </c>
      <c r="B1691" s="72" t="n">
        <v>0.25</v>
      </c>
      <c r="C1691" s="71" t="n">
        <v>41481</v>
      </c>
      <c r="D1691" s="72" t="n">
        <v>0</v>
      </c>
    </row>
    <row r="1692">
      <c r="A1692" s="71" t="n">
        <v>41482</v>
      </c>
      <c r="B1692" s="72" t="n">
        <v>0.25</v>
      </c>
      <c r="C1692" s="71" t="n">
        <v>41482</v>
      </c>
      <c r="D1692" s="72" t="n">
        <v>0</v>
      </c>
    </row>
    <row r="1693">
      <c r="A1693" s="71" t="n">
        <v>41483</v>
      </c>
      <c r="B1693" s="72" t="n">
        <v>0.25</v>
      </c>
      <c r="C1693" s="71" t="n">
        <v>41483</v>
      </c>
      <c r="D1693" s="72" t="n">
        <v>0</v>
      </c>
    </row>
    <row r="1694">
      <c r="A1694" s="71" t="n">
        <v>41484</v>
      </c>
      <c r="B1694" s="72" t="n">
        <v>0.25</v>
      </c>
      <c r="C1694" s="71" t="n">
        <v>41484</v>
      </c>
      <c r="D1694" s="72" t="n">
        <v>0</v>
      </c>
    </row>
    <row r="1695">
      <c r="A1695" s="71" t="n">
        <v>41485</v>
      </c>
      <c r="B1695" s="72" t="n">
        <v>0.25</v>
      </c>
      <c r="C1695" s="71" t="n">
        <v>41485</v>
      </c>
      <c r="D1695" s="72" t="n">
        <v>0</v>
      </c>
    </row>
    <row r="1696">
      <c r="A1696" s="71" t="n">
        <v>41486</v>
      </c>
      <c r="B1696" s="72" t="n">
        <v>0.25</v>
      </c>
      <c r="C1696" s="71" t="n">
        <v>41486</v>
      </c>
      <c r="D1696" s="72" t="n">
        <v>0</v>
      </c>
    </row>
    <row r="1697">
      <c r="A1697" s="71" t="n">
        <v>41487</v>
      </c>
      <c r="B1697" s="72" t="n">
        <v>0.25</v>
      </c>
      <c r="C1697" s="71" t="n">
        <v>41487</v>
      </c>
      <c r="D1697" s="72" t="n">
        <v>0</v>
      </c>
    </row>
    <row r="1698">
      <c r="A1698" s="71" t="n">
        <v>41488</v>
      </c>
      <c r="B1698" s="72" t="n">
        <v>0.25</v>
      </c>
      <c r="C1698" s="71" t="n">
        <v>41488</v>
      </c>
      <c r="D1698" s="72" t="n">
        <v>0</v>
      </c>
    </row>
    <row r="1699">
      <c r="A1699" s="71" t="n">
        <v>41489</v>
      </c>
      <c r="B1699" s="72" t="n">
        <v>0.25</v>
      </c>
      <c r="C1699" s="71" t="n">
        <v>41489</v>
      </c>
      <c r="D1699" s="72" t="n">
        <v>0</v>
      </c>
    </row>
    <row r="1700">
      <c r="A1700" s="71" t="n">
        <v>41490</v>
      </c>
      <c r="B1700" s="72" t="n">
        <v>0.25</v>
      </c>
      <c r="C1700" s="71" t="n">
        <v>41490</v>
      </c>
      <c r="D1700" s="72" t="n">
        <v>0</v>
      </c>
    </row>
    <row r="1701">
      <c r="A1701" s="71" t="n">
        <v>41491</v>
      </c>
      <c r="B1701" s="72" t="n">
        <v>0.25</v>
      </c>
      <c r="C1701" s="71" t="n">
        <v>41491</v>
      </c>
      <c r="D1701" s="72" t="n">
        <v>0</v>
      </c>
    </row>
    <row r="1702">
      <c r="A1702" s="71" t="n">
        <v>41492</v>
      </c>
      <c r="B1702" s="72" t="n">
        <v>0.25</v>
      </c>
      <c r="C1702" s="71" t="n">
        <v>41492</v>
      </c>
      <c r="D1702" s="72" t="n">
        <v>0</v>
      </c>
    </row>
    <row r="1703">
      <c r="A1703" s="71" t="n">
        <v>41493</v>
      </c>
      <c r="B1703" s="72" t="n">
        <v>0.25</v>
      </c>
      <c r="C1703" s="71" t="n">
        <v>41493</v>
      </c>
      <c r="D1703" s="72" t="n">
        <v>0</v>
      </c>
    </row>
    <row r="1704">
      <c r="A1704" s="71" t="n">
        <v>41494</v>
      </c>
      <c r="B1704" s="72" t="n">
        <v>0.25</v>
      </c>
      <c r="C1704" s="71" t="n">
        <v>41494</v>
      </c>
      <c r="D1704" s="72" t="n">
        <v>0</v>
      </c>
    </row>
    <row r="1705">
      <c r="A1705" s="71" t="n">
        <v>41495</v>
      </c>
      <c r="B1705" s="72" t="n">
        <v>0.25</v>
      </c>
      <c r="C1705" s="71" t="n">
        <v>41495</v>
      </c>
      <c r="D1705" s="72" t="n">
        <v>0</v>
      </c>
    </row>
    <row r="1706">
      <c r="A1706" s="71" t="n">
        <v>41496</v>
      </c>
      <c r="B1706" s="72" t="n">
        <v>0.25</v>
      </c>
      <c r="C1706" s="71" t="n">
        <v>41496</v>
      </c>
      <c r="D1706" s="72" t="n">
        <v>0</v>
      </c>
    </row>
    <row r="1707">
      <c r="A1707" s="71" t="n">
        <v>41497</v>
      </c>
      <c r="B1707" s="72" t="n">
        <v>0.25</v>
      </c>
      <c r="C1707" s="71" t="n">
        <v>41497</v>
      </c>
      <c r="D1707" s="72" t="n">
        <v>0</v>
      </c>
    </row>
    <row r="1708">
      <c r="A1708" s="71" t="n">
        <v>41498</v>
      </c>
      <c r="B1708" s="72" t="n">
        <v>0.25</v>
      </c>
      <c r="C1708" s="71" t="n">
        <v>41498</v>
      </c>
      <c r="D1708" s="72" t="n">
        <v>0</v>
      </c>
    </row>
    <row r="1709">
      <c r="A1709" s="71" t="n">
        <v>41499</v>
      </c>
      <c r="B1709" s="72" t="n">
        <v>0.25</v>
      </c>
      <c r="C1709" s="71" t="n">
        <v>41499</v>
      </c>
      <c r="D1709" s="72" t="n">
        <v>0</v>
      </c>
    </row>
    <row r="1710">
      <c r="A1710" s="71" t="n">
        <v>41500</v>
      </c>
      <c r="B1710" s="72" t="n">
        <v>0.25</v>
      </c>
      <c r="C1710" s="71" t="n">
        <v>41500</v>
      </c>
      <c r="D1710" s="72" t="n">
        <v>0</v>
      </c>
    </row>
    <row r="1711">
      <c r="A1711" s="71" t="n">
        <v>41501</v>
      </c>
      <c r="B1711" s="72" t="n">
        <v>0.25</v>
      </c>
      <c r="C1711" s="71" t="n">
        <v>41501</v>
      </c>
      <c r="D1711" s="72" t="n">
        <v>0</v>
      </c>
    </row>
    <row r="1712">
      <c r="A1712" s="71" t="n">
        <v>41502</v>
      </c>
      <c r="B1712" s="72" t="n">
        <v>0.25</v>
      </c>
      <c r="C1712" s="71" t="n">
        <v>41502</v>
      </c>
      <c r="D1712" s="72" t="n">
        <v>0</v>
      </c>
    </row>
    <row r="1713">
      <c r="A1713" s="71" t="n">
        <v>41503</v>
      </c>
      <c r="B1713" s="72" t="n">
        <v>0.25</v>
      </c>
      <c r="C1713" s="71" t="n">
        <v>41503</v>
      </c>
      <c r="D1713" s="72" t="n">
        <v>0</v>
      </c>
    </row>
    <row r="1714">
      <c r="A1714" s="71" t="n">
        <v>41504</v>
      </c>
      <c r="B1714" s="72" t="n">
        <v>0.25</v>
      </c>
      <c r="C1714" s="71" t="n">
        <v>41504</v>
      </c>
      <c r="D1714" s="72" t="n">
        <v>0</v>
      </c>
    </row>
    <row r="1715">
      <c r="A1715" s="71" t="n">
        <v>41505</v>
      </c>
      <c r="B1715" s="72" t="n">
        <v>0.25</v>
      </c>
      <c r="C1715" s="71" t="n">
        <v>41505</v>
      </c>
      <c r="D1715" s="72" t="n">
        <v>0</v>
      </c>
    </row>
    <row r="1716">
      <c r="A1716" s="71" t="n">
        <v>41506</v>
      </c>
      <c r="B1716" s="72" t="n">
        <v>0.25</v>
      </c>
      <c r="C1716" s="71" t="n">
        <v>41506</v>
      </c>
      <c r="D1716" s="72" t="n">
        <v>0</v>
      </c>
    </row>
    <row r="1717">
      <c r="A1717" s="71" t="n">
        <v>41507</v>
      </c>
      <c r="B1717" s="72" t="n">
        <v>0.25</v>
      </c>
      <c r="C1717" s="71" t="n">
        <v>41507</v>
      </c>
      <c r="D1717" s="72" t="n">
        <v>0</v>
      </c>
    </row>
    <row r="1718">
      <c r="A1718" s="71" t="n">
        <v>41508</v>
      </c>
      <c r="B1718" s="72" t="n">
        <v>0.25</v>
      </c>
      <c r="C1718" s="71" t="n">
        <v>41508</v>
      </c>
      <c r="D1718" s="72" t="n">
        <v>0</v>
      </c>
    </row>
    <row r="1719">
      <c r="A1719" s="71" t="n">
        <v>41509</v>
      </c>
      <c r="B1719" s="72" t="n">
        <v>0.25</v>
      </c>
      <c r="C1719" s="71" t="n">
        <v>41509</v>
      </c>
      <c r="D1719" s="72" t="n">
        <v>0</v>
      </c>
    </row>
    <row r="1720">
      <c r="A1720" s="71" t="n">
        <v>41510</v>
      </c>
      <c r="B1720" s="72" t="n">
        <v>0.25</v>
      </c>
      <c r="C1720" s="71" t="n">
        <v>41510</v>
      </c>
      <c r="D1720" s="72" t="n">
        <v>0</v>
      </c>
    </row>
    <row r="1721">
      <c r="A1721" s="71" t="n">
        <v>41511</v>
      </c>
      <c r="B1721" s="72" t="n">
        <v>0.25</v>
      </c>
      <c r="C1721" s="71" t="n">
        <v>41511</v>
      </c>
      <c r="D1721" s="72" t="n">
        <v>0</v>
      </c>
    </row>
    <row r="1722">
      <c r="A1722" s="71" t="n">
        <v>41512</v>
      </c>
      <c r="B1722" s="72" t="n">
        <v>0.25</v>
      </c>
      <c r="C1722" s="71" t="n">
        <v>41512</v>
      </c>
      <c r="D1722" s="72" t="n">
        <v>0</v>
      </c>
    </row>
    <row r="1723">
      <c r="A1723" s="71" t="n">
        <v>41513</v>
      </c>
      <c r="B1723" s="72" t="n">
        <v>0.25</v>
      </c>
      <c r="C1723" s="71" t="n">
        <v>41513</v>
      </c>
      <c r="D1723" s="72" t="n">
        <v>0</v>
      </c>
    </row>
    <row r="1724">
      <c r="A1724" s="71" t="n">
        <v>41514</v>
      </c>
      <c r="B1724" s="72" t="n">
        <v>0.25</v>
      </c>
      <c r="C1724" s="71" t="n">
        <v>41514</v>
      </c>
      <c r="D1724" s="72" t="n">
        <v>0</v>
      </c>
    </row>
    <row r="1725">
      <c r="A1725" s="71" t="n">
        <v>41515</v>
      </c>
      <c r="B1725" s="72" t="n">
        <v>0.25</v>
      </c>
      <c r="C1725" s="71" t="n">
        <v>41515</v>
      </c>
      <c r="D1725" s="72" t="n">
        <v>0</v>
      </c>
    </row>
    <row r="1726">
      <c r="A1726" s="71" t="n">
        <v>41516</v>
      </c>
      <c r="B1726" s="72" t="n">
        <v>0.25</v>
      </c>
      <c r="C1726" s="71" t="n">
        <v>41516</v>
      </c>
      <c r="D1726" s="72" t="n">
        <v>0</v>
      </c>
    </row>
    <row r="1727">
      <c r="A1727" s="71" t="n">
        <v>41517</v>
      </c>
      <c r="B1727" s="72" t="n">
        <v>0.25</v>
      </c>
      <c r="C1727" s="71" t="n">
        <v>41517</v>
      </c>
      <c r="D1727" s="72" t="n">
        <v>0</v>
      </c>
    </row>
    <row r="1728">
      <c r="A1728" s="71" t="n">
        <v>41518</v>
      </c>
      <c r="B1728" s="72" t="n">
        <v>0.25</v>
      </c>
      <c r="C1728" s="71" t="n">
        <v>41518</v>
      </c>
      <c r="D1728" s="72" t="n">
        <v>0</v>
      </c>
    </row>
    <row r="1729">
      <c r="A1729" s="71" t="n">
        <v>41519</v>
      </c>
      <c r="B1729" s="72" t="n">
        <v>0.25</v>
      </c>
      <c r="C1729" s="71" t="n">
        <v>41519</v>
      </c>
      <c r="D1729" s="72" t="n">
        <v>0</v>
      </c>
    </row>
    <row r="1730">
      <c r="A1730" s="71" t="n">
        <v>41520</v>
      </c>
      <c r="B1730" s="72" t="n">
        <v>0.25</v>
      </c>
      <c r="C1730" s="71" t="n">
        <v>41520</v>
      </c>
      <c r="D1730" s="72" t="n">
        <v>0</v>
      </c>
    </row>
    <row r="1731">
      <c r="A1731" s="71" t="n">
        <v>41521</v>
      </c>
      <c r="B1731" s="72" t="n">
        <v>0.25</v>
      </c>
      <c r="C1731" s="71" t="n">
        <v>41521</v>
      </c>
      <c r="D1731" s="72" t="n">
        <v>0</v>
      </c>
    </row>
    <row r="1732">
      <c r="A1732" s="71" t="n">
        <v>41522</v>
      </c>
      <c r="B1732" s="72" t="n">
        <v>0.25</v>
      </c>
      <c r="C1732" s="71" t="n">
        <v>41522</v>
      </c>
      <c r="D1732" s="72" t="n">
        <v>0</v>
      </c>
    </row>
    <row r="1733">
      <c r="A1733" s="71" t="n">
        <v>41523</v>
      </c>
      <c r="B1733" s="72" t="n">
        <v>0.25</v>
      </c>
      <c r="C1733" s="71" t="n">
        <v>41523</v>
      </c>
      <c r="D1733" s="72" t="n">
        <v>0</v>
      </c>
    </row>
    <row r="1734">
      <c r="A1734" s="71" t="n">
        <v>41524</v>
      </c>
      <c r="B1734" s="72" t="n">
        <v>0.25</v>
      </c>
      <c r="C1734" s="71" t="n">
        <v>41524</v>
      </c>
      <c r="D1734" s="72" t="n">
        <v>0</v>
      </c>
    </row>
    <row r="1735">
      <c r="A1735" s="71" t="n">
        <v>41525</v>
      </c>
      <c r="B1735" s="72" t="n">
        <v>0.25</v>
      </c>
      <c r="C1735" s="71" t="n">
        <v>41525</v>
      </c>
      <c r="D1735" s="72" t="n">
        <v>0</v>
      </c>
    </row>
    <row r="1736">
      <c r="A1736" s="71" t="n">
        <v>41526</v>
      </c>
      <c r="B1736" s="72" t="n">
        <v>0.25</v>
      </c>
      <c r="C1736" s="71" t="n">
        <v>41526</v>
      </c>
      <c r="D1736" s="72" t="n">
        <v>0</v>
      </c>
    </row>
    <row r="1737">
      <c r="A1737" s="71" t="n">
        <v>41527</v>
      </c>
      <c r="B1737" s="72" t="n">
        <v>0.25</v>
      </c>
      <c r="C1737" s="71" t="n">
        <v>41527</v>
      </c>
      <c r="D1737" s="72" t="n">
        <v>0</v>
      </c>
    </row>
    <row r="1738">
      <c r="A1738" s="71" t="n">
        <v>41528</v>
      </c>
      <c r="B1738" s="72" t="n">
        <v>0.25</v>
      </c>
      <c r="C1738" s="71" t="n">
        <v>41528</v>
      </c>
      <c r="D1738" s="72" t="n">
        <v>0</v>
      </c>
    </row>
    <row r="1739">
      <c r="A1739" s="71" t="n">
        <v>41529</v>
      </c>
      <c r="B1739" s="72" t="n">
        <v>0.25</v>
      </c>
      <c r="C1739" s="71" t="n">
        <v>41529</v>
      </c>
      <c r="D1739" s="72" t="n">
        <v>0</v>
      </c>
    </row>
    <row r="1740">
      <c r="A1740" s="71" t="n">
        <v>41530</v>
      </c>
      <c r="B1740" s="72" t="n">
        <v>0.25</v>
      </c>
      <c r="C1740" s="71" t="n">
        <v>41530</v>
      </c>
      <c r="D1740" s="72" t="n">
        <v>0</v>
      </c>
    </row>
    <row r="1741">
      <c r="A1741" s="71" t="n">
        <v>41531</v>
      </c>
      <c r="B1741" s="72" t="n">
        <v>0.25</v>
      </c>
      <c r="C1741" s="71" t="n">
        <v>41531</v>
      </c>
      <c r="D1741" s="72" t="n">
        <v>0</v>
      </c>
    </row>
    <row r="1742">
      <c r="A1742" s="71" t="n">
        <v>41532</v>
      </c>
      <c r="B1742" s="72" t="n">
        <v>0.25</v>
      </c>
      <c r="C1742" s="71" t="n">
        <v>41532</v>
      </c>
      <c r="D1742" s="72" t="n">
        <v>0</v>
      </c>
    </row>
    <row r="1743">
      <c r="A1743" s="71" t="n">
        <v>41533</v>
      </c>
      <c r="B1743" s="72" t="n">
        <v>0.25</v>
      </c>
      <c r="C1743" s="71" t="n">
        <v>41533</v>
      </c>
      <c r="D1743" s="72" t="n">
        <v>0</v>
      </c>
    </row>
    <row r="1744">
      <c r="A1744" s="71" t="n">
        <v>41534</v>
      </c>
      <c r="B1744" s="72" t="n">
        <v>0.25</v>
      </c>
      <c r="C1744" s="71" t="n">
        <v>41534</v>
      </c>
      <c r="D1744" s="72" t="n">
        <v>0</v>
      </c>
    </row>
    <row r="1745">
      <c r="A1745" s="71" t="n">
        <v>41535</v>
      </c>
      <c r="B1745" s="72" t="n">
        <v>0.25</v>
      </c>
      <c r="C1745" s="71" t="n">
        <v>41535</v>
      </c>
      <c r="D1745" s="72" t="n">
        <v>0</v>
      </c>
    </row>
    <row r="1746">
      <c r="A1746" s="71" t="n">
        <v>41536</v>
      </c>
      <c r="B1746" s="72" t="n">
        <v>0.25</v>
      </c>
      <c r="C1746" s="71" t="n">
        <v>41536</v>
      </c>
      <c r="D1746" s="72" t="n">
        <v>0</v>
      </c>
    </row>
    <row r="1747">
      <c r="A1747" s="71" t="n">
        <v>41537</v>
      </c>
      <c r="B1747" s="72" t="n">
        <v>0.25</v>
      </c>
      <c r="C1747" s="71" t="n">
        <v>41537</v>
      </c>
      <c r="D1747" s="72" t="n">
        <v>0</v>
      </c>
    </row>
    <row r="1748">
      <c r="A1748" s="71" t="n">
        <v>41538</v>
      </c>
      <c r="B1748" s="72" t="n">
        <v>0.25</v>
      </c>
      <c r="C1748" s="71" t="n">
        <v>41538</v>
      </c>
      <c r="D1748" s="72" t="n">
        <v>0</v>
      </c>
    </row>
    <row r="1749">
      <c r="A1749" s="71" t="n">
        <v>41539</v>
      </c>
      <c r="B1749" s="72" t="n">
        <v>0.25</v>
      </c>
      <c r="C1749" s="71" t="n">
        <v>41539</v>
      </c>
      <c r="D1749" s="72" t="n">
        <v>0</v>
      </c>
    </row>
    <row r="1750">
      <c r="A1750" s="71" t="n">
        <v>41540</v>
      </c>
      <c r="B1750" s="72" t="n">
        <v>0.25</v>
      </c>
      <c r="C1750" s="71" t="n">
        <v>41540</v>
      </c>
      <c r="D1750" s="72" t="n">
        <v>0</v>
      </c>
    </row>
    <row r="1751">
      <c r="A1751" s="71" t="n">
        <v>41541</v>
      </c>
      <c r="B1751" s="72" t="n">
        <v>0.25</v>
      </c>
      <c r="C1751" s="71" t="n">
        <v>41541</v>
      </c>
      <c r="D1751" s="72" t="n">
        <v>0</v>
      </c>
    </row>
    <row r="1752">
      <c r="A1752" s="71" t="n">
        <v>41542</v>
      </c>
      <c r="B1752" s="72" t="n">
        <v>0.25</v>
      </c>
      <c r="C1752" s="71" t="n">
        <v>41542</v>
      </c>
      <c r="D1752" s="72" t="n">
        <v>0</v>
      </c>
    </row>
    <row r="1753">
      <c r="A1753" s="71" t="n">
        <v>41543</v>
      </c>
      <c r="B1753" s="72" t="n">
        <v>0.25</v>
      </c>
      <c r="C1753" s="71" t="n">
        <v>41543</v>
      </c>
      <c r="D1753" s="72" t="n">
        <v>0</v>
      </c>
    </row>
    <row r="1754">
      <c r="A1754" s="71" t="n">
        <v>41544</v>
      </c>
      <c r="B1754" s="72" t="n">
        <v>0.25</v>
      </c>
      <c r="C1754" s="71" t="n">
        <v>41544</v>
      </c>
      <c r="D1754" s="72" t="n">
        <v>0</v>
      </c>
    </row>
    <row r="1755">
      <c r="A1755" s="71" t="n">
        <v>41545</v>
      </c>
      <c r="B1755" s="72" t="n">
        <v>0.25</v>
      </c>
      <c r="C1755" s="71" t="n">
        <v>41545</v>
      </c>
      <c r="D1755" s="72" t="n">
        <v>0</v>
      </c>
    </row>
    <row r="1756">
      <c r="A1756" s="71" t="n">
        <v>41546</v>
      </c>
      <c r="B1756" s="72" t="n">
        <v>0.25</v>
      </c>
      <c r="C1756" s="71" t="n">
        <v>41546</v>
      </c>
      <c r="D1756" s="72" t="n">
        <v>0</v>
      </c>
    </row>
    <row r="1757">
      <c r="A1757" s="71" t="n">
        <v>41547</v>
      </c>
      <c r="B1757" s="72" t="n">
        <v>0.25</v>
      </c>
      <c r="C1757" s="71" t="n">
        <v>41547</v>
      </c>
      <c r="D1757" s="72" t="n">
        <v>0</v>
      </c>
    </row>
    <row r="1758">
      <c r="A1758" s="71" t="n">
        <v>41548</v>
      </c>
      <c r="B1758" s="72" t="n">
        <v>0.25</v>
      </c>
      <c r="C1758" s="71" t="n">
        <v>41548</v>
      </c>
      <c r="D1758" s="72" t="n">
        <v>0</v>
      </c>
    </row>
    <row r="1759">
      <c r="A1759" s="71" t="n">
        <v>41549</v>
      </c>
      <c r="B1759" s="72" t="n">
        <v>0.25</v>
      </c>
      <c r="C1759" s="71" t="n">
        <v>41549</v>
      </c>
      <c r="D1759" s="72" t="n">
        <v>0</v>
      </c>
    </row>
    <row r="1760">
      <c r="A1760" s="71" t="n">
        <v>41550</v>
      </c>
      <c r="B1760" s="72" t="n">
        <v>0.25</v>
      </c>
      <c r="C1760" s="71" t="n">
        <v>41550</v>
      </c>
      <c r="D1760" s="72" t="n">
        <v>0</v>
      </c>
    </row>
    <row r="1761">
      <c r="A1761" s="71" t="n">
        <v>41551</v>
      </c>
      <c r="B1761" s="72" t="n">
        <v>0.25</v>
      </c>
      <c r="C1761" s="71" t="n">
        <v>41551</v>
      </c>
      <c r="D1761" s="72" t="n">
        <v>0</v>
      </c>
    </row>
    <row r="1762">
      <c r="A1762" s="71" t="n">
        <v>41552</v>
      </c>
      <c r="B1762" s="72" t="n">
        <v>0.25</v>
      </c>
      <c r="C1762" s="71" t="n">
        <v>41552</v>
      </c>
      <c r="D1762" s="72" t="n">
        <v>0</v>
      </c>
    </row>
    <row r="1763">
      <c r="A1763" s="71" t="n">
        <v>41553</v>
      </c>
      <c r="B1763" s="72" t="n">
        <v>0.25</v>
      </c>
      <c r="C1763" s="71" t="n">
        <v>41553</v>
      </c>
      <c r="D1763" s="72" t="n">
        <v>0</v>
      </c>
    </row>
    <row r="1764">
      <c r="A1764" s="71" t="n">
        <v>41554</v>
      </c>
      <c r="B1764" s="72" t="n">
        <v>0.25</v>
      </c>
      <c r="C1764" s="71" t="n">
        <v>41554</v>
      </c>
      <c r="D1764" s="72" t="n">
        <v>0</v>
      </c>
    </row>
    <row r="1765">
      <c r="A1765" s="71" t="n">
        <v>41555</v>
      </c>
      <c r="B1765" s="72" t="n">
        <v>0.25</v>
      </c>
      <c r="C1765" s="71" t="n">
        <v>41555</v>
      </c>
      <c r="D1765" s="72" t="n">
        <v>0</v>
      </c>
    </row>
    <row r="1766">
      <c r="A1766" s="71" t="n">
        <v>41556</v>
      </c>
      <c r="B1766" s="72" t="n">
        <v>0.25</v>
      </c>
      <c r="C1766" s="71" t="n">
        <v>41556</v>
      </c>
      <c r="D1766" s="72" t="n">
        <v>0</v>
      </c>
    </row>
    <row r="1767">
      <c r="A1767" s="71" t="n">
        <v>41557</v>
      </c>
      <c r="B1767" s="72" t="n">
        <v>0.25</v>
      </c>
      <c r="C1767" s="71" t="n">
        <v>41557</v>
      </c>
      <c r="D1767" s="72" t="n">
        <v>0</v>
      </c>
    </row>
    <row r="1768">
      <c r="A1768" s="71" t="n">
        <v>41558</v>
      </c>
      <c r="B1768" s="72" t="n">
        <v>0.25</v>
      </c>
      <c r="C1768" s="71" t="n">
        <v>41558</v>
      </c>
      <c r="D1768" s="72" t="n">
        <v>0</v>
      </c>
    </row>
    <row r="1769">
      <c r="A1769" s="71" t="n">
        <v>41559</v>
      </c>
      <c r="B1769" s="72" t="n">
        <v>0.25</v>
      </c>
      <c r="C1769" s="71" t="n">
        <v>41559</v>
      </c>
      <c r="D1769" s="72" t="n">
        <v>0</v>
      </c>
    </row>
    <row r="1770">
      <c r="A1770" s="71" t="n">
        <v>41560</v>
      </c>
      <c r="B1770" s="72" t="n">
        <v>0.25</v>
      </c>
      <c r="C1770" s="71" t="n">
        <v>41560</v>
      </c>
      <c r="D1770" s="72" t="n">
        <v>0</v>
      </c>
    </row>
    <row r="1771">
      <c r="A1771" s="71" t="n">
        <v>41561</v>
      </c>
      <c r="B1771" s="72" t="n">
        <v>0.25</v>
      </c>
      <c r="C1771" s="71" t="n">
        <v>41561</v>
      </c>
      <c r="D1771" s="72" t="n">
        <v>0</v>
      </c>
    </row>
    <row r="1772">
      <c r="A1772" s="71" t="n">
        <v>41562</v>
      </c>
      <c r="B1772" s="72" t="n">
        <v>0.25</v>
      </c>
      <c r="C1772" s="71" t="n">
        <v>41562</v>
      </c>
      <c r="D1772" s="72" t="n">
        <v>0</v>
      </c>
    </row>
    <row r="1773">
      <c r="A1773" s="71" t="n">
        <v>41563</v>
      </c>
      <c r="B1773" s="72" t="n">
        <v>0.25</v>
      </c>
      <c r="C1773" s="71" t="n">
        <v>41563</v>
      </c>
      <c r="D1773" s="72" t="n">
        <v>0</v>
      </c>
    </row>
    <row r="1774">
      <c r="A1774" s="71" t="n">
        <v>41564</v>
      </c>
      <c r="B1774" s="72" t="n">
        <v>0.25</v>
      </c>
      <c r="C1774" s="71" t="n">
        <v>41564</v>
      </c>
      <c r="D1774" s="72" t="n">
        <v>0</v>
      </c>
    </row>
    <row r="1775">
      <c r="A1775" s="71" t="n">
        <v>41565</v>
      </c>
      <c r="B1775" s="72" t="n">
        <v>0.25</v>
      </c>
      <c r="C1775" s="71" t="n">
        <v>41565</v>
      </c>
      <c r="D1775" s="72" t="n">
        <v>0</v>
      </c>
    </row>
    <row r="1776">
      <c r="A1776" s="71" t="n">
        <v>41566</v>
      </c>
      <c r="B1776" s="72" t="n">
        <v>0.25</v>
      </c>
      <c r="C1776" s="71" t="n">
        <v>41566</v>
      </c>
      <c r="D1776" s="72" t="n">
        <v>0</v>
      </c>
    </row>
    <row r="1777">
      <c r="A1777" s="71" t="n">
        <v>41567</v>
      </c>
      <c r="B1777" s="72" t="n">
        <v>0.25</v>
      </c>
      <c r="C1777" s="71" t="n">
        <v>41567</v>
      </c>
      <c r="D1777" s="72" t="n">
        <v>0</v>
      </c>
    </row>
    <row r="1778">
      <c r="A1778" s="71" t="n">
        <v>41568</v>
      </c>
      <c r="B1778" s="72" t="n">
        <v>0.25</v>
      </c>
      <c r="C1778" s="71" t="n">
        <v>41568</v>
      </c>
      <c r="D1778" s="72" t="n">
        <v>0</v>
      </c>
    </row>
    <row r="1779">
      <c r="A1779" s="71" t="n">
        <v>41569</v>
      </c>
      <c r="B1779" s="72" t="n">
        <v>0.25</v>
      </c>
      <c r="C1779" s="71" t="n">
        <v>41569</v>
      </c>
      <c r="D1779" s="72" t="n">
        <v>0</v>
      </c>
    </row>
    <row r="1780">
      <c r="A1780" s="71" t="n">
        <v>41570</v>
      </c>
      <c r="B1780" s="72" t="n">
        <v>0.25</v>
      </c>
      <c r="C1780" s="71" t="n">
        <v>41570</v>
      </c>
      <c r="D1780" s="72" t="n">
        <v>0</v>
      </c>
    </row>
    <row r="1781">
      <c r="A1781" s="71" t="n">
        <v>41571</v>
      </c>
      <c r="B1781" s="72" t="n">
        <v>0.25</v>
      </c>
      <c r="C1781" s="71" t="n">
        <v>41571</v>
      </c>
      <c r="D1781" s="72" t="n">
        <v>0</v>
      </c>
    </row>
    <row r="1782">
      <c r="A1782" s="71" t="n">
        <v>41572</v>
      </c>
      <c r="B1782" s="72" t="n">
        <v>0.25</v>
      </c>
      <c r="C1782" s="71" t="n">
        <v>41572</v>
      </c>
      <c r="D1782" s="72" t="n">
        <v>0</v>
      </c>
    </row>
    <row r="1783">
      <c r="A1783" s="71" t="n">
        <v>41573</v>
      </c>
      <c r="B1783" s="72" t="n">
        <v>0.25</v>
      </c>
      <c r="C1783" s="71" t="n">
        <v>41573</v>
      </c>
      <c r="D1783" s="72" t="n">
        <v>0</v>
      </c>
    </row>
    <row r="1784">
      <c r="A1784" s="71" t="n">
        <v>41574</v>
      </c>
      <c r="B1784" s="72" t="n">
        <v>0.25</v>
      </c>
      <c r="C1784" s="71" t="n">
        <v>41574</v>
      </c>
      <c r="D1784" s="72" t="n">
        <v>0</v>
      </c>
    </row>
    <row r="1785">
      <c r="A1785" s="71" t="n">
        <v>41575</v>
      </c>
      <c r="B1785" s="72" t="n">
        <v>0.25</v>
      </c>
      <c r="C1785" s="71" t="n">
        <v>41575</v>
      </c>
      <c r="D1785" s="72" t="n">
        <v>0</v>
      </c>
    </row>
    <row r="1786">
      <c r="A1786" s="71" t="n">
        <v>41576</v>
      </c>
      <c r="B1786" s="72" t="n">
        <v>0.25</v>
      </c>
      <c r="C1786" s="71" t="n">
        <v>41576</v>
      </c>
      <c r="D1786" s="72" t="n">
        <v>0</v>
      </c>
    </row>
    <row r="1787">
      <c r="A1787" s="71" t="n">
        <v>41577</v>
      </c>
      <c r="B1787" s="72" t="n">
        <v>0.25</v>
      </c>
      <c r="C1787" s="71" t="n">
        <v>41577</v>
      </c>
      <c r="D1787" s="72" t="n">
        <v>0</v>
      </c>
    </row>
    <row r="1788">
      <c r="A1788" s="71" t="n">
        <v>41578</v>
      </c>
      <c r="B1788" s="72" t="n">
        <v>0.25</v>
      </c>
      <c r="C1788" s="71" t="n">
        <v>41578</v>
      </c>
      <c r="D1788" s="72" t="n">
        <v>0</v>
      </c>
    </row>
    <row r="1789">
      <c r="A1789" s="71" t="n">
        <v>41579</v>
      </c>
      <c r="B1789" s="72" t="n">
        <v>0.25</v>
      </c>
      <c r="C1789" s="71" t="n">
        <v>41579</v>
      </c>
      <c r="D1789" s="72" t="n">
        <v>0</v>
      </c>
    </row>
    <row r="1790">
      <c r="A1790" s="71" t="n">
        <v>41580</v>
      </c>
      <c r="B1790" s="72" t="n">
        <v>0.25</v>
      </c>
      <c r="C1790" s="71" t="n">
        <v>41580</v>
      </c>
      <c r="D1790" s="72" t="n">
        <v>0</v>
      </c>
    </row>
    <row r="1791">
      <c r="A1791" s="71" t="n">
        <v>41581</v>
      </c>
      <c r="B1791" s="72" t="n">
        <v>0.25</v>
      </c>
      <c r="C1791" s="71" t="n">
        <v>41581</v>
      </c>
      <c r="D1791" s="72" t="n">
        <v>0</v>
      </c>
    </row>
    <row r="1792">
      <c r="A1792" s="71" t="n">
        <v>41582</v>
      </c>
      <c r="B1792" s="72" t="n">
        <v>0.25</v>
      </c>
      <c r="C1792" s="71" t="n">
        <v>41582</v>
      </c>
      <c r="D1792" s="72" t="n">
        <v>0</v>
      </c>
    </row>
    <row r="1793">
      <c r="A1793" s="71" t="n">
        <v>41583</v>
      </c>
      <c r="B1793" s="72" t="n">
        <v>0.25</v>
      </c>
      <c r="C1793" s="71" t="n">
        <v>41583</v>
      </c>
      <c r="D1793" s="72" t="n">
        <v>0</v>
      </c>
    </row>
    <row r="1794">
      <c r="A1794" s="71" t="n">
        <v>41584</v>
      </c>
      <c r="B1794" s="72" t="n">
        <v>0.25</v>
      </c>
      <c r="C1794" s="71" t="n">
        <v>41584</v>
      </c>
      <c r="D1794" s="72" t="n">
        <v>0</v>
      </c>
    </row>
    <row r="1795">
      <c r="A1795" s="71" t="n">
        <v>41585</v>
      </c>
      <c r="B1795" s="72" t="n">
        <v>0.25</v>
      </c>
      <c r="C1795" s="71" t="n">
        <v>41585</v>
      </c>
      <c r="D1795" s="72" t="n">
        <v>0</v>
      </c>
    </row>
    <row r="1796">
      <c r="A1796" s="71" t="n">
        <v>41586</v>
      </c>
      <c r="B1796" s="72" t="n">
        <v>0.25</v>
      </c>
      <c r="C1796" s="71" t="n">
        <v>41586</v>
      </c>
      <c r="D1796" s="72" t="n">
        <v>0</v>
      </c>
    </row>
    <row r="1797">
      <c r="A1797" s="71" t="n">
        <v>41587</v>
      </c>
      <c r="B1797" s="72" t="n">
        <v>0.25</v>
      </c>
      <c r="C1797" s="71" t="n">
        <v>41587</v>
      </c>
      <c r="D1797" s="72" t="n">
        <v>0</v>
      </c>
    </row>
    <row r="1798">
      <c r="A1798" s="71" t="n">
        <v>41588</v>
      </c>
      <c r="B1798" s="72" t="n">
        <v>0.25</v>
      </c>
      <c r="C1798" s="71" t="n">
        <v>41588</v>
      </c>
      <c r="D1798" s="72" t="n">
        <v>0</v>
      </c>
    </row>
    <row r="1799">
      <c r="A1799" s="71" t="n">
        <v>41589</v>
      </c>
      <c r="B1799" s="72" t="n">
        <v>0.25</v>
      </c>
      <c r="C1799" s="71" t="n">
        <v>41589</v>
      </c>
      <c r="D1799" s="72" t="n">
        <v>0</v>
      </c>
    </row>
    <row r="1800">
      <c r="A1800" s="71" t="n">
        <v>41590</v>
      </c>
      <c r="B1800" s="72" t="n">
        <v>0.25</v>
      </c>
      <c r="C1800" s="71" t="n">
        <v>41590</v>
      </c>
      <c r="D1800" s="72" t="n">
        <v>0</v>
      </c>
    </row>
    <row r="1801">
      <c r="A1801" s="71" t="n">
        <v>41591</v>
      </c>
      <c r="B1801" s="72" t="n">
        <v>0.25</v>
      </c>
      <c r="C1801" s="71" t="n">
        <v>41591</v>
      </c>
      <c r="D1801" s="72" t="n">
        <v>0</v>
      </c>
    </row>
    <row r="1802">
      <c r="A1802" s="71" t="n">
        <v>41592</v>
      </c>
      <c r="B1802" s="72" t="n">
        <v>0.25</v>
      </c>
      <c r="C1802" s="71" t="n">
        <v>41592</v>
      </c>
      <c r="D1802" s="72" t="n">
        <v>0</v>
      </c>
    </row>
    <row r="1803">
      <c r="A1803" s="71" t="n">
        <v>41593</v>
      </c>
      <c r="B1803" s="72" t="n">
        <v>0.25</v>
      </c>
      <c r="C1803" s="71" t="n">
        <v>41593</v>
      </c>
      <c r="D1803" s="72" t="n">
        <v>0</v>
      </c>
    </row>
    <row r="1804">
      <c r="A1804" s="71" t="n">
        <v>41594</v>
      </c>
      <c r="B1804" s="72" t="n">
        <v>0.25</v>
      </c>
      <c r="C1804" s="71" t="n">
        <v>41594</v>
      </c>
      <c r="D1804" s="72" t="n">
        <v>0</v>
      </c>
    </row>
    <row r="1805">
      <c r="A1805" s="71" t="n">
        <v>41595</v>
      </c>
      <c r="B1805" s="72" t="n">
        <v>0.25</v>
      </c>
      <c r="C1805" s="71" t="n">
        <v>41595</v>
      </c>
      <c r="D1805" s="72" t="n">
        <v>0</v>
      </c>
    </row>
    <row r="1806">
      <c r="A1806" s="71" t="n">
        <v>41596</v>
      </c>
      <c r="B1806" s="72" t="n">
        <v>0.25</v>
      </c>
      <c r="C1806" s="71" t="n">
        <v>41596</v>
      </c>
      <c r="D1806" s="72" t="n">
        <v>0</v>
      </c>
    </row>
    <row r="1807">
      <c r="A1807" s="71" t="n">
        <v>41597</v>
      </c>
      <c r="B1807" s="72" t="n">
        <v>0.25</v>
      </c>
      <c r="C1807" s="71" t="n">
        <v>41597</v>
      </c>
      <c r="D1807" s="72" t="n">
        <v>0</v>
      </c>
    </row>
    <row r="1808">
      <c r="A1808" s="71" t="n">
        <v>41598</v>
      </c>
      <c r="B1808" s="72" t="n">
        <v>0.25</v>
      </c>
      <c r="C1808" s="71" t="n">
        <v>41598</v>
      </c>
      <c r="D1808" s="72" t="n">
        <v>0</v>
      </c>
    </row>
    <row r="1809">
      <c r="A1809" s="71" t="n">
        <v>41599</v>
      </c>
      <c r="B1809" s="72" t="n">
        <v>0.25</v>
      </c>
      <c r="C1809" s="71" t="n">
        <v>41599</v>
      </c>
      <c r="D1809" s="72" t="n">
        <v>0</v>
      </c>
    </row>
    <row r="1810">
      <c r="A1810" s="71" t="n">
        <v>41600</v>
      </c>
      <c r="B1810" s="72" t="n">
        <v>0.25</v>
      </c>
      <c r="C1810" s="71" t="n">
        <v>41600</v>
      </c>
      <c r="D1810" s="72" t="n">
        <v>0</v>
      </c>
    </row>
    <row r="1811">
      <c r="A1811" s="71" t="n">
        <v>41601</v>
      </c>
      <c r="B1811" s="72" t="n">
        <v>0.25</v>
      </c>
      <c r="C1811" s="71" t="n">
        <v>41601</v>
      </c>
      <c r="D1811" s="72" t="n">
        <v>0</v>
      </c>
    </row>
    <row r="1812">
      <c r="A1812" s="71" t="n">
        <v>41602</v>
      </c>
      <c r="B1812" s="72" t="n">
        <v>0.25</v>
      </c>
      <c r="C1812" s="71" t="n">
        <v>41602</v>
      </c>
      <c r="D1812" s="72" t="n">
        <v>0</v>
      </c>
    </row>
    <row r="1813">
      <c r="A1813" s="71" t="n">
        <v>41603</v>
      </c>
      <c r="B1813" s="72" t="n">
        <v>0.25</v>
      </c>
      <c r="C1813" s="71" t="n">
        <v>41603</v>
      </c>
      <c r="D1813" s="72" t="n">
        <v>0</v>
      </c>
    </row>
    <row r="1814">
      <c r="A1814" s="71" t="n">
        <v>41604</v>
      </c>
      <c r="B1814" s="72" t="n">
        <v>0.25</v>
      </c>
      <c r="C1814" s="71" t="n">
        <v>41604</v>
      </c>
      <c r="D1814" s="72" t="n">
        <v>0</v>
      </c>
    </row>
    <row r="1815">
      <c r="A1815" s="71" t="n">
        <v>41605</v>
      </c>
      <c r="B1815" s="72" t="n">
        <v>0.25</v>
      </c>
      <c r="C1815" s="71" t="n">
        <v>41605</v>
      </c>
      <c r="D1815" s="72" t="n">
        <v>0</v>
      </c>
    </row>
    <row r="1816">
      <c r="A1816" s="71" t="n">
        <v>41606</v>
      </c>
      <c r="B1816" s="72" t="n">
        <v>0.25</v>
      </c>
      <c r="C1816" s="71" t="n">
        <v>41606</v>
      </c>
      <c r="D1816" s="72" t="n">
        <v>0</v>
      </c>
    </row>
    <row r="1817">
      <c r="A1817" s="71" t="n">
        <v>41607</v>
      </c>
      <c r="B1817" s="72" t="n">
        <v>0.25</v>
      </c>
      <c r="C1817" s="71" t="n">
        <v>41607</v>
      </c>
      <c r="D1817" s="72" t="n">
        <v>0</v>
      </c>
    </row>
    <row r="1818">
      <c r="A1818" s="71" t="n">
        <v>41608</v>
      </c>
      <c r="B1818" s="72" t="n">
        <v>0.25</v>
      </c>
      <c r="C1818" s="71" t="n">
        <v>41608</v>
      </c>
      <c r="D1818" s="72" t="n">
        <v>0</v>
      </c>
    </row>
    <row r="1819">
      <c r="A1819" s="71" t="n">
        <v>41609</v>
      </c>
      <c r="B1819" s="72" t="n">
        <v>0.25</v>
      </c>
      <c r="C1819" s="71" t="n">
        <v>41609</v>
      </c>
      <c r="D1819" s="72" t="n">
        <v>0</v>
      </c>
    </row>
    <row r="1820">
      <c r="A1820" s="71" t="n">
        <v>41610</v>
      </c>
      <c r="B1820" s="72" t="n">
        <v>0.25</v>
      </c>
      <c r="C1820" s="71" t="n">
        <v>41610</v>
      </c>
      <c r="D1820" s="72" t="n">
        <v>0</v>
      </c>
    </row>
    <row r="1821">
      <c r="A1821" s="71" t="n">
        <v>41611</v>
      </c>
      <c r="B1821" s="72" t="n">
        <v>0.25</v>
      </c>
      <c r="C1821" s="71" t="n">
        <v>41611</v>
      </c>
      <c r="D1821" s="72" t="n">
        <v>0</v>
      </c>
    </row>
    <row r="1822">
      <c r="A1822" s="71" t="n">
        <v>41612</v>
      </c>
      <c r="B1822" s="72" t="n">
        <v>0.25</v>
      </c>
      <c r="C1822" s="71" t="n">
        <v>41612</v>
      </c>
      <c r="D1822" s="72" t="n">
        <v>0</v>
      </c>
    </row>
    <row r="1823">
      <c r="A1823" s="71" t="n">
        <v>41613</v>
      </c>
      <c r="B1823" s="72" t="n">
        <v>0.25</v>
      </c>
      <c r="C1823" s="71" t="n">
        <v>41613</v>
      </c>
      <c r="D1823" s="72" t="n">
        <v>0</v>
      </c>
    </row>
    <row r="1824">
      <c r="A1824" s="71" t="n">
        <v>41614</v>
      </c>
      <c r="B1824" s="72" t="n">
        <v>0.25</v>
      </c>
      <c r="C1824" s="71" t="n">
        <v>41614</v>
      </c>
      <c r="D1824" s="72" t="n">
        <v>0</v>
      </c>
    </row>
    <row r="1825">
      <c r="A1825" s="71" t="n">
        <v>41615</v>
      </c>
      <c r="B1825" s="72" t="n">
        <v>0.25</v>
      </c>
      <c r="C1825" s="71" t="n">
        <v>41615</v>
      </c>
      <c r="D1825" s="72" t="n">
        <v>0</v>
      </c>
    </row>
    <row r="1826">
      <c r="A1826" s="71" t="n">
        <v>41616</v>
      </c>
      <c r="B1826" s="72" t="n">
        <v>0.25</v>
      </c>
      <c r="C1826" s="71" t="n">
        <v>41616</v>
      </c>
      <c r="D1826" s="72" t="n">
        <v>0</v>
      </c>
    </row>
    <row r="1827">
      <c r="A1827" s="71" t="n">
        <v>41617</v>
      </c>
      <c r="B1827" s="72" t="n">
        <v>0.25</v>
      </c>
      <c r="C1827" s="71" t="n">
        <v>41617</v>
      </c>
      <c r="D1827" s="72" t="n">
        <v>0</v>
      </c>
    </row>
    <row r="1828">
      <c r="A1828" s="71" t="n">
        <v>41618</v>
      </c>
      <c r="B1828" s="72" t="n">
        <v>0.25</v>
      </c>
      <c r="C1828" s="71" t="n">
        <v>41618</v>
      </c>
      <c r="D1828" s="72" t="n">
        <v>0</v>
      </c>
    </row>
    <row r="1829">
      <c r="A1829" s="71" t="n">
        <v>41619</v>
      </c>
      <c r="B1829" s="72" t="n">
        <v>0.25</v>
      </c>
      <c r="C1829" s="71" t="n">
        <v>41619</v>
      </c>
      <c r="D1829" s="72" t="n">
        <v>0</v>
      </c>
    </row>
    <row r="1830">
      <c r="A1830" s="71" t="n">
        <v>41620</v>
      </c>
      <c r="B1830" s="72" t="n">
        <v>0.25</v>
      </c>
      <c r="C1830" s="71" t="n">
        <v>41620</v>
      </c>
      <c r="D1830" s="72" t="n">
        <v>0</v>
      </c>
    </row>
    <row r="1831">
      <c r="A1831" s="71" t="n">
        <v>41621</v>
      </c>
      <c r="B1831" s="72" t="n">
        <v>0.25</v>
      </c>
      <c r="C1831" s="71" t="n">
        <v>41621</v>
      </c>
      <c r="D1831" s="72" t="n">
        <v>0</v>
      </c>
    </row>
    <row r="1832">
      <c r="A1832" s="71" t="n">
        <v>41622</v>
      </c>
      <c r="B1832" s="72" t="n">
        <v>0.25</v>
      </c>
      <c r="C1832" s="71" t="n">
        <v>41622</v>
      </c>
      <c r="D1832" s="72" t="n">
        <v>0</v>
      </c>
    </row>
    <row r="1833">
      <c r="A1833" s="71" t="n">
        <v>41623</v>
      </c>
      <c r="B1833" s="72" t="n">
        <v>0.25</v>
      </c>
      <c r="C1833" s="71" t="n">
        <v>41623</v>
      </c>
      <c r="D1833" s="72" t="n">
        <v>0</v>
      </c>
    </row>
    <row r="1834">
      <c r="A1834" s="71" t="n">
        <v>41624</v>
      </c>
      <c r="B1834" s="72" t="n">
        <v>0.25</v>
      </c>
      <c r="C1834" s="71" t="n">
        <v>41624</v>
      </c>
      <c r="D1834" s="72" t="n">
        <v>0</v>
      </c>
    </row>
    <row r="1835">
      <c r="A1835" s="71" t="n">
        <v>41625</v>
      </c>
      <c r="B1835" s="72" t="n">
        <v>0.25</v>
      </c>
      <c r="C1835" s="71" t="n">
        <v>41625</v>
      </c>
      <c r="D1835" s="72" t="n">
        <v>0</v>
      </c>
    </row>
    <row r="1836">
      <c r="A1836" s="71" t="n">
        <v>41626</v>
      </c>
      <c r="B1836" s="72" t="n">
        <v>0.25</v>
      </c>
      <c r="C1836" s="71" t="n">
        <v>41626</v>
      </c>
      <c r="D1836" s="72" t="n">
        <v>0</v>
      </c>
    </row>
    <row r="1837">
      <c r="A1837" s="71" t="n">
        <v>41627</v>
      </c>
      <c r="B1837" s="72" t="n">
        <v>0.25</v>
      </c>
      <c r="C1837" s="71" t="n">
        <v>41627</v>
      </c>
      <c r="D1837" s="72" t="n">
        <v>0</v>
      </c>
    </row>
    <row r="1838">
      <c r="A1838" s="71" t="n">
        <v>41628</v>
      </c>
      <c r="B1838" s="72" t="n">
        <v>0.25</v>
      </c>
      <c r="C1838" s="71" t="n">
        <v>41628</v>
      </c>
      <c r="D1838" s="72" t="n">
        <v>0</v>
      </c>
    </row>
    <row r="1839">
      <c r="A1839" s="71" t="n">
        <v>41629</v>
      </c>
      <c r="B1839" s="72" t="n">
        <v>0.25</v>
      </c>
      <c r="C1839" s="71" t="n">
        <v>41629</v>
      </c>
      <c r="D1839" s="72" t="n">
        <v>0</v>
      </c>
    </row>
    <row r="1840">
      <c r="A1840" s="71" t="n">
        <v>41630</v>
      </c>
      <c r="B1840" s="72" t="n">
        <v>0.25</v>
      </c>
      <c r="C1840" s="71" t="n">
        <v>41630</v>
      </c>
      <c r="D1840" s="72" t="n">
        <v>0</v>
      </c>
    </row>
    <row r="1841">
      <c r="A1841" s="71" t="n">
        <v>41631</v>
      </c>
      <c r="B1841" s="72" t="n">
        <v>0.25</v>
      </c>
      <c r="C1841" s="71" t="n">
        <v>41631</v>
      </c>
      <c r="D1841" s="72" t="n">
        <v>0</v>
      </c>
    </row>
    <row r="1842">
      <c r="A1842" s="71" t="n">
        <v>41632</v>
      </c>
      <c r="B1842" s="72" t="n">
        <v>0.25</v>
      </c>
      <c r="C1842" s="71" t="n">
        <v>41632</v>
      </c>
      <c r="D1842" s="72" t="n">
        <v>0</v>
      </c>
    </row>
    <row r="1843">
      <c r="A1843" s="71" t="n">
        <v>41633</v>
      </c>
      <c r="B1843" s="72" t="n">
        <v>0.25</v>
      </c>
      <c r="C1843" s="71" t="n">
        <v>41633</v>
      </c>
      <c r="D1843" s="72" t="n">
        <v>0</v>
      </c>
    </row>
    <row r="1844">
      <c r="A1844" s="71" t="n">
        <v>41634</v>
      </c>
      <c r="B1844" s="72" t="n">
        <v>0.25</v>
      </c>
      <c r="C1844" s="71" t="n">
        <v>41634</v>
      </c>
      <c r="D1844" s="72" t="n">
        <v>0</v>
      </c>
    </row>
    <row r="1845">
      <c r="A1845" s="71" t="n">
        <v>41635</v>
      </c>
      <c r="B1845" s="72" t="n">
        <v>0.25</v>
      </c>
      <c r="C1845" s="71" t="n">
        <v>41635</v>
      </c>
      <c r="D1845" s="72" t="n">
        <v>0</v>
      </c>
    </row>
    <row r="1846">
      <c r="A1846" s="71" t="n">
        <v>41636</v>
      </c>
      <c r="B1846" s="72" t="n">
        <v>0.25</v>
      </c>
      <c r="C1846" s="71" t="n">
        <v>41636</v>
      </c>
      <c r="D1846" s="72" t="n">
        <v>0</v>
      </c>
    </row>
    <row r="1847">
      <c r="A1847" s="71" t="n">
        <v>41637</v>
      </c>
      <c r="B1847" s="72" t="n">
        <v>0.25</v>
      </c>
      <c r="C1847" s="71" t="n">
        <v>41637</v>
      </c>
      <c r="D1847" s="72" t="n">
        <v>0</v>
      </c>
    </row>
    <row r="1848">
      <c r="A1848" s="71" t="n">
        <v>41638</v>
      </c>
      <c r="B1848" s="72" t="n">
        <v>0.25</v>
      </c>
      <c r="C1848" s="71" t="n">
        <v>41638</v>
      </c>
      <c r="D1848" s="72" t="n">
        <v>0</v>
      </c>
    </row>
    <row r="1849">
      <c r="A1849" s="71" t="n">
        <v>41639</v>
      </c>
      <c r="B1849" s="72" t="n">
        <v>0.25</v>
      </c>
      <c r="C1849" s="71" t="n">
        <v>41639</v>
      </c>
      <c r="D1849" s="72" t="n">
        <v>0</v>
      </c>
    </row>
    <row r="1850">
      <c r="A1850" s="71" t="n">
        <v>41640</v>
      </c>
      <c r="B1850" s="72" t="n">
        <v>0.25</v>
      </c>
      <c r="C1850" s="71" t="n">
        <v>41640</v>
      </c>
      <c r="D1850" s="72" t="n">
        <v>0</v>
      </c>
    </row>
    <row r="1851">
      <c r="A1851" s="71" t="n">
        <v>41641</v>
      </c>
      <c r="B1851" s="72" t="n">
        <v>0.25</v>
      </c>
      <c r="C1851" s="71" t="n">
        <v>41641</v>
      </c>
      <c r="D1851" s="72" t="n">
        <v>0</v>
      </c>
    </row>
    <row r="1852">
      <c r="A1852" s="71" t="n">
        <v>41642</v>
      </c>
      <c r="B1852" s="72" t="n">
        <v>0.25</v>
      </c>
      <c r="C1852" s="71" t="n">
        <v>41642</v>
      </c>
      <c r="D1852" s="72" t="n">
        <v>0</v>
      </c>
    </row>
    <row r="1853">
      <c r="A1853" s="71" t="n">
        <v>41643</v>
      </c>
      <c r="B1853" s="72" t="n">
        <v>0.25</v>
      </c>
      <c r="C1853" s="71" t="n">
        <v>41643</v>
      </c>
      <c r="D1853" s="72" t="n">
        <v>0</v>
      </c>
    </row>
    <row r="1854">
      <c r="A1854" s="71" t="n">
        <v>41644</v>
      </c>
      <c r="B1854" s="72" t="n">
        <v>0.25</v>
      </c>
      <c r="C1854" s="71" t="n">
        <v>41644</v>
      </c>
      <c r="D1854" s="72" t="n">
        <v>0</v>
      </c>
    </row>
    <row r="1855">
      <c r="A1855" s="71" t="n">
        <v>41645</v>
      </c>
      <c r="B1855" s="72" t="n">
        <v>0.25</v>
      </c>
      <c r="C1855" s="71" t="n">
        <v>41645</v>
      </c>
      <c r="D1855" s="72" t="n">
        <v>0</v>
      </c>
    </row>
    <row r="1856">
      <c r="A1856" s="71" t="n">
        <v>41646</v>
      </c>
      <c r="B1856" s="72" t="n">
        <v>0.25</v>
      </c>
      <c r="C1856" s="71" t="n">
        <v>41646</v>
      </c>
      <c r="D1856" s="72" t="n">
        <v>0</v>
      </c>
    </row>
    <row r="1857">
      <c r="A1857" s="71" t="n">
        <v>41647</v>
      </c>
      <c r="B1857" s="72" t="n">
        <v>0.25</v>
      </c>
      <c r="C1857" s="71" t="n">
        <v>41647</v>
      </c>
      <c r="D1857" s="72" t="n">
        <v>0</v>
      </c>
    </row>
    <row r="1858">
      <c r="A1858" s="71" t="n">
        <v>41648</v>
      </c>
      <c r="B1858" s="72" t="n">
        <v>0.25</v>
      </c>
      <c r="C1858" s="71" t="n">
        <v>41648</v>
      </c>
      <c r="D1858" s="72" t="n">
        <v>0</v>
      </c>
    </row>
    <row r="1859">
      <c r="A1859" s="71" t="n">
        <v>41649</v>
      </c>
      <c r="B1859" s="72" t="n">
        <v>0.25</v>
      </c>
      <c r="C1859" s="71" t="n">
        <v>41649</v>
      </c>
      <c r="D1859" s="72" t="n">
        <v>0</v>
      </c>
    </row>
    <row r="1860">
      <c r="A1860" s="71" t="n">
        <v>41650</v>
      </c>
      <c r="B1860" s="72" t="n">
        <v>0.25</v>
      </c>
      <c r="C1860" s="71" t="n">
        <v>41650</v>
      </c>
      <c r="D1860" s="72" t="n">
        <v>0</v>
      </c>
    </row>
    <row r="1861">
      <c r="A1861" s="71" t="n">
        <v>41651</v>
      </c>
      <c r="B1861" s="72" t="n">
        <v>0.25</v>
      </c>
      <c r="C1861" s="71" t="n">
        <v>41651</v>
      </c>
      <c r="D1861" s="72" t="n">
        <v>0</v>
      </c>
    </row>
    <row r="1862">
      <c r="A1862" s="71" t="n">
        <v>41652</v>
      </c>
      <c r="B1862" s="72" t="n">
        <v>0.25</v>
      </c>
      <c r="C1862" s="71" t="n">
        <v>41652</v>
      </c>
      <c r="D1862" s="72" t="n">
        <v>0</v>
      </c>
    </row>
    <row r="1863">
      <c r="A1863" s="71" t="n">
        <v>41653</v>
      </c>
      <c r="B1863" s="72" t="n">
        <v>0.25</v>
      </c>
      <c r="C1863" s="71" t="n">
        <v>41653</v>
      </c>
      <c r="D1863" s="72" t="n">
        <v>0</v>
      </c>
    </row>
    <row r="1864">
      <c r="A1864" s="71" t="n">
        <v>41654</v>
      </c>
      <c r="B1864" s="72" t="n">
        <v>0.25</v>
      </c>
      <c r="C1864" s="71" t="n">
        <v>41654</v>
      </c>
      <c r="D1864" s="72" t="n">
        <v>0</v>
      </c>
    </row>
    <row r="1865">
      <c r="A1865" s="71" t="n">
        <v>41655</v>
      </c>
      <c r="B1865" s="72" t="n">
        <v>0.25</v>
      </c>
      <c r="C1865" s="71" t="n">
        <v>41655</v>
      </c>
      <c r="D1865" s="72" t="n">
        <v>0</v>
      </c>
    </row>
    <row r="1866">
      <c r="A1866" s="71" t="n">
        <v>41656</v>
      </c>
      <c r="B1866" s="72" t="n">
        <v>0.25</v>
      </c>
      <c r="C1866" s="71" t="n">
        <v>41656</v>
      </c>
      <c r="D1866" s="72" t="n">
        <v>0</v>
      </c>
    </row>
    <row r="1867">
      <c r="A1867" s="71" t="n">
        <v>41657</v>
      </c>
      <c r="B1867" s="72" t="n">
        <v>0.25</v>
      </c>
      <c r="C1867" s="71" t="n">
        <v>41657</v>
      </c>
      <c r="D1867" s="72" t="n">
        <v>0</v>
      </c>
    </row>
    <row r="1868">
      <c r="A1868" s="71" t="n">
        <v>41658</v>
      </c>
      <c r="B1868" s="72" t="n">
        <v>0.25</v>
      </c>
      <c r="C1868" s="71" t="n">
        <v>41658</v>
      </c>
      <c r="D1868" s="72" t="n">
        <v>0</v>
      </c>
    </row>
    <row r="1869">
      <c r="A1869" s="71" t="n">
        <v>41659</v>
      </c>
      <c r="B1869" s="72" t="n">
        <v>0.25</v>
      </c>
      <c r="C1869" s="71" t="n">
        <v>41659</v>
      </c>
      <c r="D1869" s="72" t="n">
        <v>0</v>
      </c>
    </row>
    <row r="1870">
      <c r="A1870" s="71" t="n">
        <v>41660</v>
      </c>
      <c r="B1870" s="72" t="n">
        <v>0.25</v>
      </c>
      <c r="C1870" s="71" t="n">
        <v>41660</v>
      </c>
      <c r="D1870" s="72" t="n">
        <v>0</v>
      </c>
    </row>
    <row r="1871">
      <c r="A1871" s="71" t="n">
        <v>41661</v>
      </c>
      <c r="B1871" s="72" t="n">
        <v>0.25</v>
      </c>
      <c r="C1871" s="71" t="n">
        <v>41661</v>
      </c>
      <c r="D1871" s="72" t="n">
        <v>0</v>
      </c>
    </row>
    <row r="1872">
      <c r="A1872" s="71" t="n">
        <v>41662</v>
      </c>
      <c r="B1872" s="72" t="n">
        <v>0.25</v>
      </c>
      <c r="C1872" s="71" t="n">
        <v>41662</v>
      </c>
      <c r="D1872" s="72" t="n">
        <v>0</v>
      </c>
    </row>
    <row r="1873">
      <c r="A1873" s="71" t="n">
        <v>41663</v>
      </c>
      <c r="B1873" s="72" t="n">
        <v>0.25</v>
      </c>
      <c r="C1873" s="71" t="n">
        <v>41663</v>
      </c>
      <c r="D1873" s="72" t="n">
        <v>0</v>
      </c>
    </row>
    <row r="1874">
      <c r="A1874" s="71" t="n">
        <v>41664</v>
      </c>
      <c r="B1874" s="72" t="n">
        <v>0.25</v>
      </c>
      <c r="C1874" s="71" t="n">
        <v>41664</v>
      </c>
      <c r="D1874" s="72" t="n">
        <v>0</v>
      </c>
    </row>
    <row r="1875">
      <c r="A1875" s="71" t="n">
        <v>41665</v>
      </c>
      <c r="B1875" s="72" t="n">
        <v>0.25</v>
      </c>
      <c r="C1875" s="71" t="n">
        <v>41665</v>
      </c>
      <c r="D1875" s="72" t="n">
        <v>0</v>
      </c>
    </row>
    <row r="1876">
      <c r="A1876" s="71" t="n">
        <v>41666</v>
      </c>
      <c r="B1876" s="72" t="n">
        <v>0.25</v>
      </c>
      <c r="C1876" s="71" t="n">
        <v>41666</v>
      </c>
      <c r="D1876" s="72" t="n">
        <v>0</v>
      </c>
    </row>
    <row r="1877">
      <c r="A1877" s="71" t="n">
        <v>41667</v>
      </c>
      <c r="B1877" s="72" t="n">
        <v>0.25</v>
      </c>
      <c r="C1877" s="71" t="n">
        <v>41667</v>
      </c>
      <c r="D1877" s="72" t="n">
        <v>0</v>
      </c>
    </row>
    <row r="1878">
      <c r="A1878" s="71" t="n">
        <v>41668</v>
      </c>
      <c r="B1878" s="72" t="n">
        <v>0.25</v>
      </c>
      <c r="C1878" s="71" t="n">
        <v>41668</v>
      </c>
      <c r="D1878" s="72" t="n">
        <v>0</v>
      </c>
    </row>
    <row r="1879">
      <c r="A1879" s="71" t="n">
        <v>41669</v>
      </c>
      <c r="B1879" s="72" t="n">
        <v>0.25</v>
      </c>
      <c r="C1879" s="71" t="n">
        <v>41669</v>
      </c>
      <c r="D1879" s="72" t="n">
        <v>0</v>
      </c>
    </row>
    <row r="1880">
      <c r="A1880" s="71" t="n">
        <v>41670</v>
      </c>
      <c r="B1880" s="72" t="n">
        <v>0.25</v>
      </c>
      <c r="C1880" s="71" t="n">
        <v>41670</v>
      </c>
      <c r="D1880" s="72" t="n">
        <v>0</v>
      </c>
    </row>
    <row r="1881">
      <c r="A1881" s="71" t="n">
        <v>41671</v>
      </c>
      <c r="B1881" s="72" t="n">
        <v>0.25</v>
      </c>
      <c r="C1881" s="71" t="n">
        <v>41671</v>
      </c>
      <c r="D1881" s="72" t="n">
        <v>0</v>
      </c>
    </row>
    <row r="1882">
      <c r="A1882" s="71" t="n">
        <v>41672</v>
      </c>
      <c r="B1882" s="72" t="n">
        <v>0.25</v>
      </c>
      <c r="C1882" s="71" t="n">
        <v>41672</v>
      </c>
      <c r="D1882" s="72" t="n">
        <v>0</v>
      </c>
    </row>
    <row r="1883">
      <c r="A1883" s="71" t="n">
        <v>41673</v>
      </c>
      <c r="B1883" s="72" t="n">
        <v>0.25</v>
      </c>
      <c r="C1883" s="71" t="n">
        <v>41673</v>
      </c>
      <c r="D1883" s="72" t="n">
        <v>0</v>
      </c>
    </row>
    <row r="1884">
      <c r="A1884" s="71" t="n">
        <v>41674</v>
      </c>
      <c r="B1884" s="72" t="n">
        <v>0.25</v>
      </c>
      <c r="C1884" s="71" t="n">
        <v>41674</v>
      </c>
      <c r="D1884" s="72" t="n">
        <v>0</v>
      </c>
    </row>
    <row r="1885">
      <c r="A1885" s="71" t="n">
        <v>41675</v>
      </c>
      <c r="B1885" s="72" t="n">
        <v>0.25</v>
      </c>
      <c r="C1885" s="71" t="n">
        <v>41675</v>
      </c>
      <c r="D1885" s="72" t="n">
        <v>0</v>
      </c>
    </row>
    <row r="1886">
      <c r="A1886" s="71" t="n">
        <v>41676</v>
      </c>
      <c r="B1886" s="72" t="n">
        <v>0.25</v>
      </c>
      <c r="C1886" s="71" t="n">
        <v>41676</v>
      </c>
      <c r="D1886" s="72" t="n">
        <v>0</v>
      </c>
    </row>
    <row r="1887">
      <c r="A1887" s="71" t="n">
        <v>41677</v>
      </c>
      <c r="B1887" s="72" t="n">
        <v>0.25</v>
      </c>
      <c r="C1887" s="71" t="n">
        <v>41677</v>
      </c>
      <c r="D1887" s="72" t="n">
        <v>0</v>
      </c>
    </row>
    <row r="1888">
      <c r="A1888" s="71" t="n">
        <v>41678</v>
      </c>
      <c r="B1888" s="72" t="n">
        <v>0.25</v>
      </c>
      <c r="C1888" s="71" t="n">
        <v>41678</v>
      </c>
      <c r="D1888" s="72" t="n">
        <v>0</v>
      </c>
    </row>
    <row r="1889">
      <c r="A1889" s="71" t="n">
        <v>41679</v>
      </c>
      <c r="B1889" s="72" t="n">
        <v>0.25</v>
      </c>
      <c r="C1889" s="71" t="n">
        <v>41679</v>
      </c>
      <c r="D1889" s="72" t="n">
        <v>0</v>
      </c>
    </row>
    <row r="1890">
      <c r="A1890" s="71" t="n">
        <v>41680</v>
      </c>
      <c r="B1890" s="72" t="n">
        <v>0.25</v>
      </c>
      <c r="C1890" s="71" t="n">
        <v>41680</v>
      </c>
      <c r="D1890" s="72" t="n">
        <v>0</v>
      </c>
    </row>
    <row r="1891">
      <c r="A1891" s="71" t="n">
        <v>41681</v>
      </c>
      <c r="B1891" s="72" t="n">
        <v>0.25</v>
      </c>
      <c r="C1891" s="71" t="n">
        <v>41681</v>
      </c>
      <c r="D1891" s="72" t="n">
        <v>0</v>
      </c>
    </row>
    <row r="1892">
      <c r="A1892" s="71" t="n">
        <v>41682</v>
      </c>
      <c r="B1892" s="72" t="n">
        <v>0.25</v>
      </c>
      <c r="C1892" s="71" t="n">
        <v>41682</v>
      </c>
      <c r="D1892" s="72" t="n">
        <v>0</v>
      </c>
    </row>
    <row r="1893">
      <c r="A1893" s="71" t="n">
        <v>41683</v>
      </c>
      <c r="B1893" s="72" t="n">
        <v>0.25</v>
      </c>
      <c r="C1893" s="71" t="n">
        <v>41683</v>
      </c>
      <c r="D1893" s="72" t="n">
        <v>0</v>
      </c>
    </row>
    <row r="1894">
      <c r="A1894" s="71" t="n">
        <v>41684</v>
      </c>
      <c r="B1894" s="72" t="n">
        <v>0.25</v>
      </c>
      <c r="C1894" s="71" t="n">
        <v>41684</v>
      </c>
      <c r="D1894" s="72" t="n">
        <v>0</v>
      </c>
    </row>
    <row r="1895">
      <c r="A1895" s="71" t="n">
        <v>41685</v>
      </c>
      <c r="B1895" s="72" t="n">
        <v>0.25</v>
      </c>
      <c r="C1895" s="71" t="n">
        <v>41685</v>
      </c>
      <c r="D1895" s="72" t="n">
        <v>0</v>
      </c>
    </row>
    <row r="1896">
      <c r="A1896" s="71" t="n">
        <v>41686</v>
      </c>
      <c r="B1896" s="72" t="n">
        <v>0.25</v>
      </c>
      <c r="C1896" s="71" t="n">
        <v>41686</v>
      </c>
      <c r="D1896" s="72" t="n">
        <v>0</v>
      </c>
    </row>
    <row r="1897">
      <c r="A1897" s="71" t="n">
        <v>41687</v>
      </c>
      <c r="B1897" s="72" t="n">
        <v>0.25</v>
      </c>
      <c r="C1897" s="71" t="n">
        <v>41687</v>
      </c>
      <c r="D1897" s="72" t="n">
        <v>0</v>
      </c>
    </row>
    <row r="1898">
      <c r="A1898" s="71" t="n">
        <v>41688</v>
      </c>
      <c r="B1898" s="72" t="n">
        <v>0.25</v>
      </c>
      <c r="C1898" s="71" t="n">
        <v>41688</v>
      </c>
      <c r="D1898" s="72" t="n">
        <v>0</v>
      </c>
    </row>
    <row r="1899">
      <c r="A1899" s="71" t="n">
        <v>41689</v>
      </c>
      <c r="B1899" s="72" t="n">
        <v>0.25</v>
      </c>
      <c r="C1899" s="71" t="n">
        <v>41689</v>
      </c>
      <c r="D1899" s="72" t="n">
        <v>0</v>
      </c>
    </row>
    <row r="1900">
      <c r="A1900" s="71" t="n">
        <v>41690</v>
      </c>
      <c r="B1900" s="72" t="n">
        <v>0.25</v>
      </c>
      <c r="C1900" s="71" t="n">
        <v>41690</v>
      </c>
      <c r="D1900" s="72" t="n">
        <v>0</v>
      </c>
    </row>
    <row r="1901">
      <c r="A1901" s="71" t="n">
        <v>41691</v>
      </c>
      <c r="B1901" s="72" t="n">
        <v>0.25</v>
      </c>
      <c r="C1901" s="71" t="n">
        <v>41691</v>
      </c>
      <c r="D1901" s="72" t="n">
        <v>0</v>
      </c>
    </row>
    <row r="1902">
      <c r="A1902" s="71" t="n">
        <v>41692</v>
      </c>
      <c r="B1902" s="72" t="n">
        <v>0.25</v>
      </c>
      <c r="C1902" s="71" t="n">
        <v>41692</v>
      </c>
      <c r="D1902" s="72" t="n">
        <v>0</v>
      </c>
    </row>
    <row r="1903">
      <c r="A1903" s="71" t="n">
        <v>41693</v>
      </c>
      <c r="B1903" s="72" t="n">
        <v>0.25</v>
      </c>
      <c r="C1903" s="71" t="n">
        <v>41693</v>
      </c>
      <c r="D1903" s="72" t="n">
        <v>0</v>
      </c>
    </row>
    <row r="1904">
      <c r="A1904" s="71" t="n">
        <v>41694</v>
      </c>
      <c r="B1904" s="72" t="n">
        <v>0.25</v>
      </c>
      <c r="C1904" s="71" t="n">
        <v>41694</v>
      </c>
      <c r="D1904" s="72" t="n">
        <v>0</v>
      </c>
    </row>
    <row r="1905">
      <c r="A1905" s="71" t="n">
        <v>41695</v>
      </c>
      <c r="B1905" s="72" t="n">
        <v>0.25</v>
      </c>
      <c r="C1905" s="71" t="n">
        <v>41695</v>
      </c>
      <c r="D1905" s="72" t="n">
        <v>0</v>
      </c>
    </row>
    <row r="1906">
      <c r="A1906" s="71" t="n">
        <v>41696</v>
      </c>
      <c r="B1906" s="72" t="n">
        <v>0.25</v>
      </c>
      <c r="C1906" s="71" t="n">
        <v>41696</v>
      </c>
      <c r="D1906" s="72" t="n">
        <v>0</v>
      </c>
    </row>
    <row r="1907">
      <c r="A1907" s="71" t="n">
        <v>41697</v>
      </c>
      <c r="B1907" s="72" t="n">
        <v>0.25</v>
      </c>
      <c r="C1907" s="71" t="n">
        <v>41697</v>
      </c>
      <c r="D1907" s="72" t="n">
        <v>0</v>
      </c>
    </row>
    <row r="1908">
      <c r="A1908" s="71" t="n">
        <v>41698</v>
      </c>
      <c r="B1908" s="72" t="n">
        <v>0.25</v>
      </c>
      <c r="C1908" s="71" t="n">
        <v>41698</v>
      </c>
      <c r="D1908" s="72" t="n">
        <v>0</v>
      </c>
    </row>
    <row r="1909">
      <c r="A1909" s="71" t="n">
        <v>41699</v>
      </c>
      <c r="B1909" s="72" t="n">
        <v>0.25</v>
      </c>
      <c r="C1909" s="71" t="n">
        <v>41699</v>
      </c>
      <c r="D1909" s="72" t="n">
        <v>0</v>
      </c>
    </row>
    <row r="1910">
      <c r="A1910" s="71" t="n">
        <v>41700</v>
      </c>
      <c r="B1910" s="72" t="n">
        <v>0.25</v>
      </c>
      <c r="C1910" s="71" t="n">
        <v>41700</v>
      </c>
      <c r="D1910" s="72" t="n">
        <v>0</v>
      </c>
    </row>
    <row r="1911">
      <c r="A1911" s="71" t="n">
        <v>41701</v>
      </c>
      <c r="B1911" s="72" t="n">
        <v>0.25</v>
      </c>
      <c r="C1911" s="71" t="n">
        <v>41701</v>
      </c>
      <c r="D1911" s="72" t="n">
        <v>0</v>
      </c>
    </row>
    <row r="1912">
      <c r="A1912" s="71" t="n">
        <v>41702</v>
      </c>
      <c r="B1912" s="72" t="n">
        <v>0.25</v>
      </c>
      <c r="C1912" s="71" t="n">
        <v>41702</v>
      </c>
      <c r="D1912" s="72" t="n">
        <v>0</v>
      </c>
    </row>
    <row r="1913">
      <c r="A1913" s="71" t="n">
        <v>41703</v>
      </c>
      <c r="B1913" s="72" t="n">
        <v>0.25</v>
      </c>
      <c r="C1913" s="71" t="n">
        <v>41703</v>
      </c>
      <c r="D1913" s="72" t="n">
        <v>0</v>
      </c>
    </row>
    <row r="1914">
      <c r="A1914" s="71" t="n">
        <v>41704</v>
      </c>
      <c r="B1914" s="72" t="n">
        <v>0.25</v>
      </c>
      <c r="C1914" s="71" t="n">
        <v>41704</v>
      </c>
      <c r="D1914" s="72" t="n">
        <v>0</v>
      </c>
    </row>
    <row r="1915">
      <c r="A1915" s="71" t="n">
        <v>41705</v>
      </c>
      <c r="B1915" s="72" t="n">
        <v>0.25</v>
      </c>
      <c r="C1915" s="71" t="n">
        <v>41705</v>
      </c>
      <c r="D1915" s="72" t="n">
        <v>0</v>
      </c>
    </row>
    <row r="1916">
      <c r="A1916" s="71" t="n">
        <v>41706</v>
      </c>
      <c r="B1916" s="72" t="n">
        <v>0.25</v>
      </c>
      <c r="C1916" s="71" t="n">
        <v>41706</v>
      </c>
      <c r="D1916" s="72" t="n">
        <v>0</v>
      </c>
    </row>
    <row r="1917">
      <c r="A1917" s="71" t="n">
        <v>41707</v>
      </c>
      <c r="B1917" s="72" t="n">
        <v>0.25</v>
      </c>
      <c r="C1917" s="71" t="n">
        <v>41707</v>
      </c>
      <c r="D1917" s="72" t="n">
        <v>0</v>
      </c>
    </row>
    <row r="1918">
      <c r="A1918" s="71" t="n">
        <v>41708</v>
      </c>
      <c r="B1918" s="72" t="n">
        <v>0.25</v>
      </c>
      <c r="C1918" s="71" t="n">
        <v>41708</v>
      </c>
      <c r="D1918" s="72" t="n">
        <v>0</v>
      </c>
    </row>
    <row r="1919">
      <c r="A1919" s="71" t="n">
        <v>41709</v>
      </c>
      <c r="B1919" s="72" t="n">
        <v>0.25</v>
      </c>
      <c r="C1919" s="71" t="n">
        <v>41709</v>
      </c>
      <c r="D1919" s="72" t="n">
        <v>0</v>
      </c>
    </row>
    <row r="1920">
      <c r="A1920" s="71" t="n">
        <v>41710</v>
      </c>
      <c r="B1920" s="72" t="n">
        <v>0.25</v>
      </c>
      <c r="C1920" s="71" t="n">
        <v>41710</v>
      </c>
      <c r="D1920" s="72" t="n">
        <v>0</v>
      </c>
    </row>
    <row r="1921">
      <c r="A1921" s="71" t="n">
        <v>41711</v>
      </c>
      <c r="B1921" s="72" t="n">
        <v>0.25</v>
      </c>
      <c r="C1921" s="71" t="n">
        <v>41711</v>
      </c>
      <c r="D1921" s="72" t="n">
        <v>0</v>
      </c>
    </row>
    <row r="1922">
      <c r="A1922" s="71" t="n">
        <v>41712</v>
      </c>
      <c r="B1922" s="72" t="n">
        <v>0.25</v>
      </c>
      <c r="C1922" s="71" t="n">
        <v>41712</v>
      </c>
      <c r="D1922" s="72" t="n">
        <v>0</v>
      </c>
    </row>
    <row r="1923">
      <c r="A1923" s="71" t="n">
        <v>41713</v>
      </c>
      <c r="B1923" s="72" t="n">
        <v>0.25</v>
      </c>
      <c r="C1923" s="71" t="n">
        <v>41713</v>
      </c>
      <c r="D1923" s="72" t="n">
        <v>0</v>
      </c>
    </row>
    <row r="1924">
      <c r="A1924" s="71" t="n">
        <v>41714</v>
      </c>
      <c r="B1924" s="72" t="n">
        <v>0.25</v>
      </c>
      <c r="C1924" s="71" t="n">
        <v>41714</v>
      </c>
      <c r="D1924" s="72" t="n">
        <v>0</v>
      </c>
    </row>
    <row r="1925">
      <c r="A1925" s="71" t="n">
        <v>41715</v>
      </c>
      <c r="B1925" s="72" t="n">
        <v>0.25</v>
      </c>
      <c r="C1925" s="71" t="n">
        <v>41715</v>
      </c>
      <c r="D1925" s="72" t="n">
        <v>0</v>
      </c>
    </row>
    <row r="1926">
      <c r="A1926" s="71" t="n">
        <v>41716</v>
      </c>
      <c r="B1926" s="72" t="n">
        <v>0.25</v>
      </c>
      <c r="C1926" s="71" t="n">
        <v>41716</v>
      </c>
      <c r="D1926" s="72" t="n">
        <v>0</v>
      </c>
    </row>
    <row r="1927">
      <c r="A1927" s="71" t="n">
        <v>41717</v>
      </c>
      <c r="B1927" s="72" t="n">
        <v>0.25</v>
      </c>
      <c r="C1927" s="71" t="n">
        <v>41717</v>
      </c>
      <c r="D1927" s="72" t="n">
        <v>0</v>
      </c>
    </row>
    <row r="1928">
      <c r="A1928" s="71" t="n">
        <v>41718</v>
      </c>
      <c r="B1928" s="72" t="n">
        <v>0.25</v>
      </c>
      <c r="C1928" s="71" t="n">
        <v>41718</v>
      </c>
      <c r="D1928" s="72" t="n">
        <v>0</v>
      </c>
    </row>
    <row r="1929">
      <c r="A1929" s="71" t="n">
        <v>41719</v>
      </c>
      <c r="B1929" s="72" t="n">
        <v>0.25</v>
      </c>
      <c r="C1929" s="71" t="n">
        <v>41719</v>
      </c>
      <c r="D1929" s="72" t="n">
        <v>0</v>
      </c>
    </row>
    <row r="1930">
      <c r="A1930" s="71" t="n">
        <v>41720</v>
      </c>
      <c r="B1930" s="72" t="n">
        <v>0.25</v>
      </c>
      <c r="C1930" s="71" t="n">
        <v>41720</v>
      </c>
      <c r="D1930" s="72" t="n">
        <v>0</v>
      </c>
    </row>
    <row r="1931">
      <c r="A1931" s="71" t="n">
        <v>41721</v>
      </c>
      <c r="B1931" s="72" t="n">
        <v>0.25</v>
      </c>
      <c r="C1931" s="71" t="n">
        <v>41721</v>
      </c>
      <c r="D1931" s="72" t="n">
        <v>0</v>
      </c>
    </row>
    <row r="1932">
      <c r="A1932" s="71" t="n">
        <v>41722</v>
      </c>
      <c r="B1932" s="72" t="n">
        <v>0.25</v>
      </c>
      <c r="C1932" s="71" t="n">
        <v>41722</v>
      </c>
      <c r="D1932" s="72" t="n">
        <v>0</v>
      </c>
    </row>
    <row r="1933">
      <c r="A1933" s="71" t="n">
        <v>41723</v>
      </c>
      <c r="B1933" s="72" t="n">
        <v>0.25</v>
      </c>
      <c r="C1933" s="71" t="n">
        <v>41723</v>
      </c>
      <c r="D1933" s="72" t="n">
        <v>0</v>
      </c>
    </row>
    <row r="1934">
      <c r="A1934" s="71" t="n">
        <v>41724</v>
      </c>
      <c r="B1934" s="72" t="n">
        <v>0.25</v>
      </c>
      <c r="C1934" s="71" t="n">
        <v>41724</v>
      </c>
      <c r="D1934" s="72" t="n">
        <v>0</v>
      </c>
    </row>
    <row r="1935">
      <c r="A1935" s="71" t="n">
        <v>41725</v>
      </c>
      <c r="B1935" s="72" t="n">
        <v>0.25</v>
      </c>
      <c r="C1935" s="71" t="n">
        <v>41725</v>
      </c>
      <c r="D1935" s="72" t="n">
        <v>0</v>
      </c>
    </row>
    <row r="1936">
      <c r="A1936" s="71" t="n">
        <v>41726</v>
      </c>
      <c r="B1936" s="72" t="n">
        <v>0.25</v>
      </c>
      <c r="C1936" s="71" t="n">
        <v>41726</v>
      </c>
      <c r="D1936" s="72" t="n">
        <v>0</v>
      </c>
    </row>
    <row r="1937">
      <c r="A1937" s="71" t="n">
        <v>41727</v>
      </c>
      <c r="B1937" s="72" t="n">
        <v>0.25</v>
      </c>
      <c r="C1937" s="71" t="n">
        <v>41727</v>
      </c>
      <c r="D1937" s="72" t="n">
        <v>0</v>
      </c>
    </row>
    <row r="1938">
      <c r="A1938" s="71" t="n">
        <v>41728</v>
      </c>
      <c r="B1938" s="72" t="n">
        <v>0.25</v>
      </c>
      <c r="C1938" s="71" t="n">
        <v>41728</v>
      </c>
      <c r="D1938" s="72" t="n">
        <v>0</v>
      </c>
    </row>
    <row r="1939">
      <c r="A1939" s="71" t="n">
        <v>41729</v>
      </c>
      <c r="B1939" s="72" t="n">
        <v>0.25</v>
      </c>
      <c r="C1939" s="71" t="n">
        <v>41729</v>
      </c>
      <c r="D1939" s="72" t="n">
        <v>0</v>
      </c>
    </row>
    <row r="1940">
      <c r="A1940" s="71" t="n">
        <v>41730</v>
      </c>
      <c r="B1940" s="72" t="n">
        <v>0.25</v>
      </c>
      <c r="C1940" s="71" t="n">
        <v>41730</v>
      </c>
      <c r="D1940" s="72" t="n">
        <v>0</v>
      </c>
    </row>
    <row r="1941">
      <c r="A1941" s="71" t="n">
        <v>41731</v>
      </c>
      <c r="B1941" s="72" t="n">
        <v>0.25</v>
      </c>
      <c r="C1941" s="71" t="n">
        <v>41731</v>
      </c>
      <c r="D1941" s="72" t="n">
        <v>0</v>
      </c>
    </row>
    <row r="1942">
      <c r="A1942" s="71" t="n">
        <v>41732</v>
      </c>
      <c r="B1942" s="72" t="n">
        <v>0.25</v>
      </c>
      <c r="C1942" s="71" t="n">
        <v>41732</v>
      </c>
      <c r="D1942" s="72" t="n">
        <v>0</v>
      </c>
    </row>
    <row r="1943">
      <c r="A1943" s="71" t="n">
        <v>41733</v>
      </c>
      <c r="B1943" s="72" t="n">
        <v>0.25</v>
      </c>
      <c r="C1943" s="71" t="n">
        <v>41733</v>
      </c>
      <c r="D1943" s="72" t="n">
        <v>0</v>
      </c>
    </row>
    <row r="1944">
      <c r="A1944" s="71" t="n">
        <v>41734</v>
      </c>
      <c r="B1944" s="72" t="n">
        <v>0.25</v>
      </c>
      <c r="C1944" s="71" t="n">
        <v>41734</v>
      </c>
      <c r="D1944" s="72" t="n">
        <v>0</v>
      </c>
    </row>
    <row r="1945">
      <c r="A1945" s="71" t="n">
        <v>41735</v>
      </c>
      <c r="B1945" s="72" t="n">
        <v>0.25</v>
      </c>
      <c r="C1945" s="71" t="n">
        <v>41735</v>
      </c>
      <c r="D1945" s="72" t="n">
        <v>0</v>
      </c>
    </row>
    <row r="1946">
      <c r="A1946" s="71" t="n">
        <v>41736</v>
      </c>
      <c r="B1946" s="72" t="n">
        <v>0.25</v>
      </c>
      <c r="C1946" s="71" t="n">
        <v>41736</v>
      </c>
      <c r="D1946" s="72" t="n">
        <v>0</v>
      </c>
    </row>
    <row r="1947">
      <c r="A1947" s="71" t="n">
        <v>41737</v>
      </c>
      <c r="B1947" s="72" t="n">
        <v>0.25</v>
      </c>
      <c r="C1947" s="71" t="n">
        <v>41737</v>
      </c>
      <c r="D1947" s="72" t="n">
        <v>0</v>
      </c>
    </row>
    <row r="1948">
      <c r="A1948" s="71" t="n">
        <v>41738</v>
      </c>
      <c r="B1948" s="72" t="n">
        <v>0.25</v>
      </c>
      <c r="C1948" s="71" t="n">
        <v>41738</v>
      </c>
      <c r="D1948" s="72" t="n">
        <v>0</v>
      </c>
    </row>
    <row r="1949">
      <c r="A1949" s="71" t="n">
        <v>41739</v>
      </c>
      <c r="B1949" s="72" t="n">
        <v>0.25</v>
      </c>
      <c r="C1949" s="71" t="n">
        <v>41739</v>
      </c>
      <c r="D1949" s="72" t="n">
        <v>0</v>
      </c>
    </row>
    <row r="1950">
      <c r="A1950" s="71" t="n">
        <v>41740</v>
      </c>
      <c r="B1950" s="72" t="n">
        <v>0.25</v>
      </c>
      <c r="C1950" s="71" t="n">
        <v>41740</v>
      </c>
      <c r="D1950" s="72" t="n">
        <v>0</v>
      </c>
    </row>
    <row r="1951">
      <c r="A1951" s="71" t="n">
        <v>41741</v>
      </c>
      <c r="B1951" s="72" t="n">
        <v>0.25</v>
      </c>
      <c r="C1951" s="71" t="n">
        <v>41741</v>
      </c>
      <c r="D1951" s="72" t="n">
        <v>0</v>
      </c>
    </row>
    <row r="1952">
      <c r="A1952" s="71" t="n">
        <v>41742</v>
      </c>
      <c r="B1952" s="72" t="n">
        <v>0.25</v>
      </c>
      <c r="C1952" s="71" t="n">
        <v>41742</v>
      </c>
      <c r="D1952" s="72" t="n">
        <v>0</v>
      </c>
    </row>
    <row r="1953">
      <c r="A1953" s="71" t="n">
        <v>41743</v>
      </c>
      <c r="B1953" s="72" t="n">
        <v>0.25</v>
      </c>
      <c r="C1953" s="71" t="n">
        <v>41743</v>
      </c>
      <c r="D1953" s="72" t="n">
        <v>0</v>
      </c>
    </row>
    <row r="1954">
      <c r="A1954" s="71" t="n">
        <v>41744</v>
      </c>
      <c r="B1954" s="72" t="n">
        <v>0.25</v>
      </c>
      <c r="C1954" s="71" t="n">
        <v>41744</v>
      </c>
      <c r="D1954" s="72" t="n">
        <v>0</v>
      </c>
    </row>
    <row r="1955">
      <c r="A1955" s="71" t="n">
        <v>41745</v>
      </c>
      <c r="B1955" s="72" t="n">
        <v>0.25</v>
      </c>
      <c r="C1955" s="71" t="n">
        <v>41745</v>
      </c>
      <c r="D1955" s="72" t="n">
        <v>0</v>
      </c>
    </row>
    <row r="1956">
      <c r="A1956" s="71" t="n">
        <v>41746</v>
      </c>
      <c r="B1956" s="72" t="n">
        <v>0.25</v>
      </c>
      <c r="C1956" s="71" t="n">
        <v>41746</v>
      </c>
      <c r="D1956" s="72" t="n">
        <v>0</v>
      </c>
    </row>
    <row r="1957">
      <c r="A1957" s="71" t="n">
        <v>41747</v>
      </c>
      <c r="B1957" s="72" t="n">
        <v>0.25</v>
      </c>
      <c r="C1957" s="71" t="n">
        <v>41747</v>
      </c>
      <c r="D1957" s="72" t="n">
        <v>0</v>
      </c>
    </row>
    <row r="1958">
      <c r="A1958" s="71" t="n">
        <v>41748</v>
      </c>
      <c r="B1958" s="72" t="n">
        <v>0.25</v>
      </c>
      <c r="C1958" s="71" t="n">
        <v>41748</v>
      </c>
      <c r="D1958" s="72" t="n">
        <v>0</v>
      </c>
    </row>
    <row r="1959">
      <c r="A1959" s="71" t="n">
        <v>41749</v>
      </c>
      <c r="B1959" s="72" t="n">
        <v>0.25</v>
      </c>
      <c r="C1959" s="71" t="n">
        <v>41749</v>
      </c>
      <c r="D1959" s="72" t="n">
        <v>0</v>
      </c>
    </row>
    <row r="1960">
      <c r="A1960" s="71" t="n">
        <v>41750</v>
      </c>
      <c r="B1960" s="72" t="n">
        <v>0.25</v>
      </c>
      <c r="C1960" s="71" t="n">
        <v>41750</v>
      </c>
      <c r="D1960" s="72" t="n">
        <v>0</v>
      </c>
    </row>
    <row r="1961">
      <c r="A1961" s="71" t="n">
        <v>41751</v>
      </c>
      <c r="B1961" s="72" t="n">
        <v>0.25</v>
      </c>
      <c r="C1961" s="71" t="n">
        <v>41751</v>
      </c>
      <c r="D1961" s="72" t="n">
        <v>0</v>
      </c>
    </row>
    <row r="1962">
      <c r="A1962" s="71" t="n">
        <v>41752</v>
      </c>
      <c r="B1962" s="72" t="n">
        <v>0.25</v>
      </c>
      <c r="C1962" s="71" t="n">
        <v>41752</v>
      </c>
      <c r="D1962" s="72" t="n">
        <v>0</v>
      </c>
    </row>
    <row r="1963">
      <c r="A1963" s="71" t="n">
        <v>41753</v>
      </c>
      <c r="B1963" s="72" t="n">
        <v>0.25</v>
      </c>
      <c r="C1963" s="71" t="n">
        <v>41753</v>
      </c>
      <c r="D1963" s="72" t="n">
        <v>0</v>
      </c>
    </row>
    <row r="1964">
      <c r="A1964" s="71" t="n">
        <v>41754</v>
      </c>
      <c r="B1964" s="72" t="n">
        <v>0.25</v>
      </c>
      <c r="C1964" s="71" t="n">
        <v>41754</v>
      </c>
      <c r="D1964" s="72" t="n">
        <v>0</v>
      </c>
    </row>
    <row r="1965">
      <c r="A1965" s="71" t="n">
        <v>41755</v>
      </c>
      <c r="B1965" s="72" t="n">
        <v>0.25</v>
      </c>
      <c r="C1965" s="71" t="n">
        <v>41755</v>
      </c>
      <c r="D1965" s="72" t="n">
        <v>0</v>
      </c>
    </row>
    <row r="1966">
      <c r="A1966" s="71" t="n">
        <v>41756</v>
      </c>
      <c r="B1966" s="72" t="n">
        <v>0.25</v>
      </c>
      <c r="C1966" s="71" t="n">
        <v>41756</v>
      </c>
      <c r="D1966" s="72" t="n">
        <v>0</v>
      </c>
    </row>
    <row r="1967">
      <c r="A1967" s="71" t="n">
        <v>41757</v>
      </c>
      <c r="B1967" s="72" t="n">
        <v>0.25</v>
      </c>
      <c r="C1967" s="71" t="n">
        <v>41757</v>
      </c>
      <c r="D1967" s="72" t="n">
        <v>0</v>
      </c>
    </row>
    <row r="1968">
      <c r="A1968" s="71" t="n">
        <v>41758</v>
      </c>
      <c r="B1968" s="72" t="n">
        <v>0.25</v>
      </c>
      <c r="C1968" s="71" t="n">
        <v>41758</v>
      </c>
      <c r="D1968" s="72" t="n">
        <v>0</v>
      </c>
    </row>
    <row r="1969">
      <c r="A1969" s="71" t="n">
        <v>41759</v>
      </c>
      <c r="B1969" s="72" t="n">
        <v>0.25</v>
      </c>
      <c r="C1969" s="71" t="n">
        <v>41759</v>
      </c>
      <c r="D1969" s="72" t="n">
        <v>0</v>
      </c>
    </row>
    <row r="1970">
      <c r="A1970" s="71" t="n">
        <v>41760</v>
      </c>
      <c r="B1970" s="72" t="n">
        <v>0.25</v>
      </c>
      <c r="C1970" s="71" t="n">
        <v>41760</v>
      </c>
      <c r="D1970" s="72" t="n">
        <v>0</v>
      </c>
    </row>
    <row r="1971">
      <c r="A1971" s="71" t="n">
        <v>41761</v>
      </c>
      <c r="B1971" s="72" t="n">
        <v>0.25</v>
      </c>
      <c r="C1971" s="71" t="n">
        <v>41761</v>
      </c>
      <c r="D1971" s="72" t="n">
        <v>0</v>
      </c>
    </row>
    <row r="1972">
      <c r="A1972" s="71" t="n">
        <v>41762</v>
      </c>
      <c r="B1972" s="72" t="n">
        <v>0.25</v>
      </c>
      <c r="C1972" s="71" t="n">
        <v>41762</v>
      </c>
      <c r="D1972" s="72" t="n">
        <v>0</v>
      </c>
    </row>
    <row r="1973">
      <c r="A1973" s="71" t="n">
        <v>41763</v>
      </c>
      <c r="B1973" s="72" t="n">
        <v>0.25</v>
      </c>
      <c r="C1973" s="71" t="n">
        <v>41763</v>
      </c>
      <c r="D1973" s="72" t="n">
        <v>0</v>
      </c>
    </row>
    <row r="1974">
      <c r="A1974" s="71" t="n">
        <v>41764</v>
      </c>
      <c r="B1974" s="72" t="n">
        <v>0.25</v>
      </c>
      <c r="C1974" s="71" t="n">
        <v>41764</v>
      </c>
      <c r="D1974" s="72" t="n">
        <v>0</v>
      </c>
    </row>
    <row r="1975">
      <c r="A1975" s="71" t="n">
        <v>41765</v>
      </c>
      <c r="B1975" s="72" t="n">
        <v>0.25</v>
      </c>
      <c r="C1975" s="71" t="n">
        <v>41765</v>
      </c>
      <c r="D1975" s="72" t="n">
        <v>0</v>
      </c>
    </row>
    <row r="1976">
      <c r="A1976" s="71" t="n">
        <v>41766</v>
      </c>
      <c r="B1976" s="72" t="n">
        <v>0.25</v>
      </c>
      <c r="C1976" s="71" t="n">
        <v>41766</v>
      </c>
      <c r="D1976" s="72" t="n">
        <v>0</v>
      </c>
    </row>
    <row r="1977">
      <c r="A1977" s="71" t="n">
        <v>41767</v>
      </c>
      <c r="B1977" s="72" t="n">
        <v>0.25</v>
      </c>
      <c r="C1977" s="71" t="n">
        <v>41767</v>
      </c>
      <c r="D1977" s="72" t="n">
        <v>0</v>
      </c>
    </row>
    <row r="1978">
      <c r="A1978" s="71" t="n">
        <v>41768</v>
      </c>
      <c r="B1978" s="72" t="n">
        <v>0.25</v>
      </c>
      <c r="C1978" s="71" t="n">
        <v>41768</v>
      </c>
      <c r="D1978" s="72" t="n">
        <v>0</v>
      </c>
    </row>
    <row r="1979">
      <c r="A1979" s="71" t="n">
        <v>41769</v>
      </c>
      <c r="B1979" s="72" t="n">
        <v>0.25</v>
      </c>
      <c r="C1979" s="71" t="n">
        <v>41769</v>
      </c>
      <c r="D1979" s="72" t="n">
        <v>0</v>
      </c>
    </row>
    <row r="1980">
      <c r="A1980" s="71" t="n">
        <v>41770</v>
      </c>
      <c r="B1980" s="72" t="n">
        <v>0.25</v>
      </c>
      <c r="C1980" s="71" t="n">
        <v>41770</v>
      </c>
      <c r="D1980" s="72" t="n">
        <v>0</v>
      </c>
    </row>
    <row r="1981">
      <c r="A1981" s="71" t="n">
        <v>41771</v>
      </c>
      <c r="B1981" s="72" t="n">
        <v>0.25</v>
      </c>
      <c r="C1981" s="71" t="n">
        <v>41771</v>
      </c>
      <c r="D1981" s="72" t="n">
        <v>0</v>
      </c>
    </row>
    <row r="1982">
      <c r="A1982" s="71" t="n">
        <v>41772</v>
      </c>
      <c r="B1982" s="72" t="n">
        <v>0.25</v>
      </c>
      <c r="C1982" s="71" t="n">
        <v>41772</v>
      </c>
      <c r="D1982" s="72" t="n">
        <v>0</v>
      </c>
    </row>
    <row r="1983">
      <c r="A1983" s="71" t="n">
        <v>41773</v>
      </c>
      <c r="B1983" s="72" t="n">
        <v>0.25</v>
      </c>
      <c r="C1983" s="71" t="n">
        <v>41773</v>
      </c>
      <c r="D1983" s="72" t="n">
        <v>0</v>
      </c>
    </row>
    <row r="1984">
      <c r="A1984" s="71" t="n">
        <v>41774</v>
      </c>
      <c r="B1984" s="72" t="n">
        <v>0.25</v>
      </c>
      <c r="C1984" s="71" t="n">
        <v>41774</v>
      </c>
      <c r="D1984" s="72" t="n">
        <v>0</v>
      </c>
    </row>
    <row r="1985">
      <c r="A1985" s="71" t="n">
        <v>41775</v>
      </c>
      <c r="B1985" s="72" t="n">
        <v>0.25</v>
      </c>
      <c r="C1985" s="71" t="n">
        <v>41775</v>
      </c>
      <c r="D1985" s="72" t="n">
        <v>0</v>
      </c>
    </row>
    <row r="1986">
      <c r="A1986" s="71" t="n">
        <v>41776</v>
      </c>
      <c r="B1986" s="72" t="n">
        <v>0.25</v>
      </c>
      <c r="C1986" s="71" t="n">
        <v>41776</v>
      </c>
      <c r="D1986" s="72" t="n">
        <v>0</v>
      </c>
    </row>
    <row r="1987">
      <c r="A1987" s="71" t="n">
        <v>41777</v>
      </c>
      <c r="B1987" s="72" t="n">
        <v>0.25</v>
      </c>
      <c r="C1987" s="71" t="n">
        <v>41777</v>
      </c>
      <c r="D1987" s="72" t="n">
        <v>0</v>
      </c>
    </row>
    <row r="1988">
      <c r="A1988" s="71" t="n">
        <v>41778</v>
      </c>
      <c r="B1988" s="72" t="n">
        <v>0.25</v>
      </c>
      <c r="C1988" s="71" t="n">
        <v>41778</v>
      </c>
      <c r="D1988" s="72" t="n">
        <v>0</v>
      </c>
    </row>
    <row r="1989">
      <c r="A1989" s="71" t="n">
        <v>41779</v>
      </c>
      <c r="B1989" s="72" t="n">
        <v>0.25</v>
      </c>
      <c r="C1989" s="71" t="n">
        <v>41779</v>
      </c>
      <c r="D1989" s="72" t="n">
        <v>0</v>
      </c>
    </row>
    <row r="1990">
      <c r="A1990" s="71" t="n">
        <v>41780</v>
      </c>
      <c r="B1990" s="72" t="n">
        <v>0.25</v>
      </c>
      <c r="C1990" s="71" t="n">
        <v>41780</v>
      </c>
      <c r="D1990" s="72" t="n">
        <v>0</v>
      </c>
    </row>
    <row r="1991">
      <c r="A1991" s="71" t="n">
        <v>41781</v>
      </c>
      <c r="B1991" s="72" t="n">
        <v>0.25</v>
      </c>
      <c r="C1991" s="71" t="n">
        <v>41781</v>
      </c>
      <c r="D1991" s="72" t="n">
        <v>0</v>
      </c>
    </row>
    <row r="1992">
      <c r="A1992" s="71" t="n">
        <v>41782</v>
      </c>
      <c r="B1992" s="72" t="n">
        <v>0.25</v>
      </c>
      <c r="C1992" s="71" t="n">
        <v>41782</v>
      </c>
      <c r="D1992" s="72" t="n">
        <v>0</v>
      </c>
    </row>
    <row r="1993">
      <c r="A1993" s="71" t="n">
        <v>41783</v>
      </c>
      <c r="B1993" s="72" t="n">
        <v>0.25</v>
      </c>
      <c r="C1993" s="71" t="n">
        <v>41783</v>
      </c>
      <c r="D1993" s="72" t="n">
        <v>0</v>
      </c>
    </row>
    <row r="1994">
      <c r="A1994" s="71" t="n">
        <v>41784</v>
      </c>
      <c r="B1994" s="72" t="n">
        <v>0.25</v>
      </c>
      <c r="C1994" s="71" t="n">
        <v>41784</v>
      </c>
      <c r="D1994" s="72" t="n">
        <v>0</v>
      </c>
    </row>
    <row r="1995">
      <c r="A1995" s="71" t="n">
        <v>41785</v>
      </c>
      <c r="B1995" s="72" t="n">
        <v>0.25</v>
      </c>
      <c r="C1995" s="71" t="n">
        <v>41785</v>
      </c>
      <c r="D1995" s="72" t="n">
        <v>0</v>
      </c>
    </row>
    <row r="1996">
      <c r="A1996" s="71" t="n">
        <v>41786</v>
      </c>
      <c r="B1996" s="72" t="n">
        <v>0.25</v>
      </c>
      <c r="C1996" s="71" t="n">
        <v>41786</v>
      </c>
      <c r="D1996" s="72" t="n">
        <v>0</v>
      </c>
    </row>
    <row r="1997">
      <c r="A1997" s="71" t="n">
        <v>41787</v>
      </c>
      <c r="B1997" s="72" t="n">
        <v>0.25</v>
      </c>
      <c r="C1997" s="71" t="n">
        <v>41787</v>
      </c>
      <c r="D1997" s="72" t="n">
        <v>0</v>
      </c>
    </row>
    <row r="1998">
      <c r="A1998" s="71" t="n">
        <v>41788</v>
      </c>
      <c r="B1998" s="72" t="n">
        <v>0.25</v>
      </c>
      <c r="C1998" s="71" t="n">
        <v>41788</v>
      </c>
      <c r="D1998" s="72" t="n">
        <v>0</v>
      </c>
    </row>
    <row r="1999">
      <c r="A1999" s="71" t="n">
        <v>41789</v>
      </c>
      <c r="B1999" s="72" t="n">
        <v>0.25</v>
      </c>
      <c r="C1999" s="71" t="n">
        <v>41789</v>
      </c>
      <c r="D1999" s="72" t="n">
        <v>0</v>
      </c>
    </row>
    <row r="2000">
      <c r="A2000" s="71" t="n">
        <v>41790</v>
      </c>
      <c r="B2000" s="72" t="n">
        <v>0.25</v>
      </c>
      <c r="C2000" s="71" t="n">
        <v>41790</v>
      </c>
      <c r="D2000" s="72" t="n">
        <v>0</v>
      </c>
    </row>
    <row r="2001">
      <c r="A2001" s="71" t="n">
        <v>41791</v>
      </c>
      <c r="B2001" s="72" t="n">
        <v>0.25</v>
      </c>
      <c r="C2001" s="71" t="n">
        <v>41791</v>
      </c>
      <c r="D2001" s="72" t="n">
        <v>0</v>
      </c>
    </row>
    <row r="2002">
      <c r="A2002" s="71" t="n">
        <v>41792</v>
      </c>
      <c r="B2002" s="72" t="n">
        <v>0.25</v>
      </c>
      <c r="C2002" s="71" t="n">
        <v>41792</v>
      </c>
      <c r="D2002" s="72" t="n">
        <v>0</v>
      </c>
    </row>
    <row r="2003">
      <c r="A2003" s="71" t="n">
        <v>41793</v>
      </c>
      <c r="B2003" s="72" t="n">
        <v>0.25</v>
      </c>
      <c r="C2003" s="71" t="n">
        <v>41793</v>
      </c>
      <c r="D2003" s="72" t="n">
        <v>0</v>
      </c>
    </row>
    <row r="2004">
      <c r="A2004" s="71" t="n">
        <v>41794</v>
      </c>
      <c r="B2004" s="72" t="n">
        <v>0.25</v>
      </c>
      <c r="C2004" s="71" t="n">
        <v>41794</v>
      </c>
      <c r="D2004" s="72" t="n">
        <v>0</v>
      </c>
    </row>
    <row r="2005">
      <c r="A2005" s="71" t="n">
        <v>41795</v>
      </c>
      <c r="B2005" s="72" t="n">
        <v>0.25</v>
      </c>
      <c r="C2005" s="71" t="n">
        <v>41795</v>
      </c>
      <c r="D2005" s="72" t="n">
        <v>0</v>
      </c>
    </row>
    <row r="2006">
      <c r="A2006" s="71" t="n">
        <v>41796</v>
      </c>
      <c r="B2006" s="72" t="n">
        <v>0.25</v>
      </c>
      <c r="C2006" s="71" t="n">
        <v>41796</v>
      </c>
      <c r="D2006" s="72" t="n">
        <v>0</v>
      </c>
    </row>
    <row r="2007">
      <c r="A2007" s="71" t="n">
        <v>41797</v>
      </c>
      <c r="B2007" s="72" t="n">
        <v>0.25</v>
      </c>
      <c r="C2007" s="71" t="n">
        <v>41797</v>
      </c>
      <c r="D2007" s="72" t="n">
        <v>0</v>
      </c>
    </row>
    <row r="2008">
      <c r="A2008" s="71" t="n">
        <v>41798</v>
      </c>
      <c r="B2008" s="72" t="n">
        <v>0.25</v>
      </c>
      <c r="C2008" s="71" t="n">
        <v>41798</v>
      </c>
      <c r="D2008" s="72" t="n">
        <v>0</v>
      </c>
    </row>
    <row r="2009">
      <c r="A2009" s="71" t="n">
        <v>41799</v>
      </c>
      <c r="B2009" s="72" t="n">
        <v>0.25</v>
      </c>
      <c r="C2009" s="71" t="n">
        <v>41799</v>
      </c>
      <c r="D2009" s="72" t="n">
        <v>0</v>
      </c>
    </row>
    <row r="2010">
      <c r="A2010" s="71" t="n">
        <v>41800</v>
      </c>
      <c r="B2010" s="72" t="n">
        <v>0.25</v>
      </c>
      <c r="C2010" s="71" t="n">
        <v>41800</v>
      </c>
      <c r="D2010" s="72" t="n">
        <v>0</v>
      </c>
    </row>
    <row r="2011">
      <c r="A2011" s="71" t="n">
        <v>41801</v>
      </c>
      <c r="B2011" s="72" t="n">
        <v>0.25</v>
      </c>
      <c r="C2011" s="71" t="n">
        <v>41801</v>
      </c>
      <c r="D2011" s="72" t="n">
        <v>0</v>
      </c>
    </row>
    <row r="2012">
      <c r="A2012" s="71" t="n">
        <v>41802</v>
      </c>
      <c r="B2012" s="72" t="n">
        <v>0.25</v>
      </c>
      <c r="C2012" s="71" t="n">
        <v>41802</v>
      </c>
      <c r="D2012" s="72" t="n">
        <v>0</v>
      </c>
    </row>
    <row r="2013">
      <c r="A2013" s="71" t="n">
        <v>41803</v>
      </c>
      <c r="B2013" s="72" t="n">
        <v>0.25</v>
      </c>
      <c r="C2013" s="71" t="n">
        <v>41803</v>
      </c>
      <c r="D2013" s="72" t="n">
        <v>0</v>
      </c>
    </row>
    <row r="2014">
      <c r="A2014" s="71" t="n">
        <v>41804</v>
      </c>
      <c r="B2014" s="72" t="n">
        <v>0.25</v>
      </c>
      <c r="C2014" s="71" t="n">
        <v>41804</v>
      </c>
      <c r="D2014" s="72" t="n">
        <v>0</v>
      </c>
    </row>
    <row r="2015">
      <c r="A2015" s="71" t="n">
        <v>41805</v>
      </c>
      <c r="B2015" s="72" t="n">
        <v>0.25</v>
      </c>
      <c r="C2015" s="71" t="n">
        <v>41805</v>
      </c>
      <c r="D2015" s="72" t="n">
        <v>0</v>
      </c>
    </row>
    <row r="2016">
      <c r="A2016" s="71" t="n">
        <v>41806</v>
      </c>
      <c r="B2016" s="72" t="n">
        <v>0.25</v>
      </c>
      <c r="C2016" s="71" t="n">
        <v>41806</v>
      </c>
      <c r="D2016" s="72" t="n">
        <v>0</v>
      </c>
    </row>
    <row r="2017">
      <c r="A2017" s="71" t="n">
        <v>41807</v>
      </c>
      <c r="B2017" s="72" t="n">
        <v>0.25</v>
      </c>
      <c r="C2017" s="71" t="n">
        <v>41807</v>
      </c>
      <c r="D2017" s="72" t="n">
        <v>0</v>
      </c>
    </row>
    <row r="2018">
      <c r="A2018" s="71" t="n">
        <v>41808</v>
      </c>
      <c r="B2018" s="72" t="n">
        <v>0.25</v>
      </c>
      <c r="C2018" s="71" t="n">
        <v>41808</v>
      </c>
      <c r="D2018" s="72" t="n">
        <v>0</v>
      </c>
    </row>
    <row r="2019">
      <c r="A2019" s="71" t="n">
        <v>41809</v>
      </c>
      <c r="B2019" s="72" t="n">
        <v>0.25</v>
      </c>
      <c r="C2019" s="71" t="n">
        <v>41809</v>
      </c>
      <c r="D2019" s="72" t="n">
        <v>0</v>
      </c>
    </row>
    <row r="2020">
      <c r="A2020" s="71" t="n">
        <v>41810</v>
      </c>
      <c r="B2020" s="72" t="n">
        <v>0.25</v>
      </c>
      <c r="C2020" s="71" t="n">
        <v>41810</v>
      </c>
      <c r="D2020" s="72" t="n">
        <v>0</v>
      </c>
    </row>
    <row r="2021">
      <c r="A2021" s="71" t="n">
        <v>41811</v>
      </c>
      <c r="B2021" s="72" t="n">
        <v>0.25</v>
      </c>
      <c r="C2021" s="71" t="n">
        <v>41811</v>
      </c>
      <c r="D2021" s="72" t="n">
        <v>0</v>
      </c>
    </row>
    <row r="2022">
      <c r="A2022" s="71" t="n">
        <v>41812</v>
      </c>
      <c r="B2022" s="72" t="n">
        <v>0.25</v>
      </c>
      <c r="C2022" s="71" t="n">
        <v>41812</v>
      </c>
      <c r="D2022" s="72" t="n">
        <v>0</v>
      </c>
    </row>
    <row r="2023">
      <c r="A2023" s="71" t="n">
        <v>41813</v>
      </c>
      <c r="B2023" s="72" t="n">
        <v>0.25</v>
      </c>
      <c r="C2023" s="71" t="n">
        <v>41813</v>
      </c>
      <c r="D2023" s="72" t="n">
        <v>0</v>
      </c>
    </row>
    <row r="2024">
      <c r="A2024" s="71" t="n">
        <v>41814</v>
      </c>
      <c r="B2024" s="72" t="n">
        <v>0.25</v>
      </c>
      <c r="C2024" s="71" t="n">
        <v>41814</v>
      </c>
      <c r="D2024" s="72" t="n">
        <v>0</v>
      </c>
    </row>
    <row r="2025">
      <c r="A2025" s="71" t="n">
        <v>41815</v>
      </c>
      <c r="B2025" s="72" t="n">
        <v>0.25</v>
      </c>
      <c r="C2025" s="71" t="n">
        <v>41815</v>
      </c>
      <c r="D2025" s="72" t="n">
        <v>0</v>
      </c>
    </row>
    <row r="2026">
      <c r="A2026" s="71" t="n">
        <v>41816</v>
      </c>
      <c r="B2026" s="72" t="n">
        <v>0.25</v>
      </c>
      <c r="C2026" s="71" t="n">
        <v>41816</v>
      </c>
      <c r="D2026" s="72" t="n">
        <v>0</v>
      </c>
    </row>
    <row r="2027">
      <c r="A2027" s="71" t="n">
        <v>41817</v>
      </c>
      <c r="B2027" s="72" t="n">
        <v>0.25</v>
      </c>
      <c r="C2027" s="71" t="n">
        <v>41817</v>
      </c>
      <c r="D2027" s="72" t="n">
        <v>0</v>
      </c>
    </row>
    <row r="2028">
      <c r="A2028" s="71" t="n">
        <v>41818</v>
      </c>
      <c r="B2028" s="72" t="n">
        <v>0.25</v>
      </c>
      <c r="C2028" s="71" t="n">
        <v>41818</v>
      </c>
      <c r="D2028" s="72" t="n">
        <v>0</v>
      </c>
    </row>
    <row r="2029">
      <c r="A2029" s="71" t="n">
        <v>41819</v>
      </c>
      <c r="B2029" s="72" t="n">
        <v>0.25</v>
      </c>
      <c r="C2029" s="71" t="n">
        <v>41819</v>
      </c>
      <c r="D2029" s="72" t="n">
        <v>0</v>
      </c>
    </row>
    <row r="2030">
      <c r="A2030" s="71" t="n">
        <v>41820</v>
      </c>
      <c r="B2030" s="72" t="n">
        <v>0.25</v>
      </c>
      <c r="C2030" s="71" t="n">
        <v>41820</v>
      </c>
      <c r="D2030" s="72" t="n">
        <v>0</v>
      </c>
    </row>
    <row r="2031">
      <c r="A2031" s="71" t="n">
        <v>41821</v>
      </c>
      <c r="B2031" s="72" t="n">
        <v>0.25</v>
      </c>
      <c r="C2031" s="71" t="n">
        <v>41821</v>
      </c>
      <c r="D2031" s="72" t="n">
        <v>0</v>
      </c>
    </row>
    <row r="2032">
      <c r="A2032" s="71" t="n">
        <v>41822</v>
      </c>
      <c r="B2032" s="72" t="n">
        <v>0.25</v>
      </c>
      <c r="C2032" s="71" t="n">
        <v>41822</v>
      </c>
      <c r="D2032" s="72" t="n">
        <v>0</v>
      </c>
    </row>
    <row r="2033">
      <c r="A2033" s="71" t="n">
        <v>41823</v>
      </c>
      <c r="B2033" s="72" t="n">
        <v>0.25</v>
      </c>
      <c r="C2033" s="71" t="n">
        <v>41823</v>
      </c>
      <c r="D2033" s="72" t="n">
        <v>0</v>
      </c>
    </row>
    <row r="2034">
      <c r="A2034" s="71" t="n">
        <v>41824</v>
      </c>
      <c r="B2034" s="72" t="n">
        <v>0.25</v>
      </c>
      <c r="C2034" s="71" t="n">
        <v>41824</v>
      </c>
      <c r="D2034" s="72" t="n">
        <v>0</v>
      </c>
    </row>
    <row r="2035">
      <c r="A2035" s="71" t="n">
        <v>41825</v>
      </c>
      <c r="B2035" s="72" t="n">
        <v>0.25</v>
      </c>
      <c r="C2035" s="71" t="n">
        <v>41825</v>
      </c>
      <c r="D2035" s="72" t="n">
        <v>0</v>
      </c>
    </row>
    <row r="2036">
      <c r="A2036" s="71" t="n">
        <v>41826</v>
      </c>
      <c r="B2036" s="72" t="n">
        <v>0.25</v>
      </c>
      <c r="C2036" s="71" t="n">
        <v>41826</v>
      </c>
      <c r="D2036" s="72" t="n">
        <v>0</v>
      </c>
    </row>
    <row r="2037">
      <c r="A2037" s="71" t="n">
        <v>41827</v>
      </c>
      <c r="B2037" s="72" t="n">
        <v>0.25</v>
      </c>
      <c r="C2037" s="71" t="n">
        <v>41827</v>
      </c>
      <c r="D2037" s="72" t="n">
        <v>0</v>
      </c>
    </row>
    <row r="2038">
      <c r="A2038" s="71" t="n">
        <v>41828</v>
      </c>
      <c r="B2038" s="72" t="n">
        <v>0.25</v>
      </c>
      <c r="C2038" s="71" t="n">
        <v>41828</v>
      </c>
      <c r="D2038" s="72" t="n">
        <v>0</v>
      </c>
    </row>
    <row r="2039">
      <c r="A2039" s="71" t="n">
        <v>41829</v>
      </c>
      <c r="B2039" s="72" t="n">
        <v>0.25</v>
      </c>
      <c r="C2039" s="71" t="n">
        <v>41829</v>
      </c>
      <c r="D2039" s="72" t="n">
        <v>0</v>
      </c>
    </row>
    <row r="2040">
      <c r="A2040" s="71" t="n">
        <v>41830</v>
      </c>
      <c r="B2040" s="72" t="n">
        <v>0.25</v>
      </c>
      <c r="C2040" s="71" t="n">
        <v>41830</v>
      </c>
      <c r="D2040" s="72" t="n">
        <v>0</v>
      </c>
    </row>
    <row r="2041">
      <c r="A2041" s="71" t="n">
        <v>41831</v>
      </c>
      <c r="B2041" s="72" t="n">
        <v>0.25</v>
      </c>
      <c r="C2041" s="71" t="n">
        <v>41831</v>
      </c>
      <c r="D2041" s="72" t="n">
        <v>0</v>
      </c>
    </row>
    <row r="2042">
      <c r="A2042" s="71" t="n">
        <v>41832</v>
      </c>
      <c r="B2042" s="72" t="n">
        <v>0.25</v>
      </c>
      <c r="C2042" s="71" t="n">
        <v>41832</v>
      </c>
      <c r="D2042" s="72" t="n">
        <v>0</v>
      </c>
    </row>
    <row r="2043">
      <c r="A2043" s="71" t="n">
        <v>41833</v>
      </c>
      <c r="B2043" s="72" t="n">
        <v>0.25</v>
      </c>
      <c r="C2043" s="71" t="n">
        <v>41833</v>
      </c>
      <c r="D2043" s="72" t="n">
        <v>0</v>
      </c>
    </row>
    <row r="2044">
      <c r="A2044" s="71" t="n">
        <v>41834</v>
      </c>
      <c r="B2044" s="72" t="n">
        <v>0.25</v>
      </c>
      <c r="C2044" s="71" t="n">
        <v>41834</v>
      </c>
      <c r="D2044" s="72" t="n">
        <v>0</v>
      </c>
    </row>
    <row r="2045">
      <c r="A2045" s="71" t="n">
        <v>41835</v>
      </c>
      <c r="B2045" s="72" t="n">
        <v>0.25</v>
      </c>
      <c r="C2045" s="71" t="n">
        <v>41835</v>
      </c>
      <c r="D2045" s="72" t="n">
        <v>0</v>
      </c>
    </row>
    <row r="2046">
      <c r="A2046" s="71" t="n">
        <v>41836</v>
      </c>
      <c r="B2046" s="72" t="n">
        <v>0.25</v>
      </c>
      <c r="C2046" s="71" t="n">
        <v>41836</v>
      </c>
      <c r="D2046" s="72" t="n">
        <v>0</v>
      </c>
    </row>
    <row r="2047">
      <c r="A2047" s="71" t="n">
        <v>41837</v>
      </c>
      <c r="B2047" s="72" t="n">
        <v>0.25</v>
      </c>
      <c r="C2047" s="71" t="n">
        <v>41837</v>
      </c>
      <c r="D2047" s="72" t="n">
        <v>0</v>
      </c>
    </row>
    <row r="2048">
      <c r="A2048" s="71" t="n">
        <v>41838</v>
      </c>
      <c r="B2048" s="72" t="n">
        <v>0.25</v>
      </c>
      <c r="C2048" s="71" t="n">
        <v>41838</v>
      </c>
      <c r="D2048" s="72" t="n">
        <v>0</v>
      </c>
    </row>
    <row r="2049">
      <c r="A2049" s="71" t="n">
        <v>41839</v>
      </c>
      <c r="B2049" s="72" t="n">
        <v>0.25</v>
      </c>
      <c r="C2049" s="71" t="n">
        <v>41839</v>
      </c>
      <c r="D2049" s="72" t="n">
        <v>0</v>
      </c>
    </row>
    <row r="2050">
      <c r="A2050" s="71" t="n">
        <v>41840</v>
      </c>
      <c r="B2050" s="72" t="n">
        <v>0.25</v>
      </c>
      <c r="C2050" s="71" t="n">
        <v>41840</v>
      </c>
      <c r="D2050" s="72" t="n">
        <v>0</v>
      </c>
    </row>
    <row r="2051">
      <c r="A2051" s="71" t="n">
        <v>41841</v>
      </c>
      <c r="B2051" s="72" t="n">
        <v>0.25</v>
      </c>
      <c r="C2051" s="71" t="n">
        <v>41841</v>
      </c>
      <c r="D2051" s="72" t="n">
        <v>0</v>
      </c>
    </row>
    <row r="2052">
      <c r="A2052" s="71" t="n">
        <v>41842</v>
      </c>
      <c r="B2052" s="72" t="n">
        <v>0.25</v>
      </c>
      <c r="C2052" s="71" t="n">
        <v>41842</v>
      </c>
      <c r="D2052" s="72" t="n">
        <v>0</v>
      </c>
    </row>
    <row r="2053">
      <c r="A2053" s="71" t="n">
        <v>41843</v>
      </c>
      <c r="B2053" s="72" t="n">
        <v>0.25</v>
      </c>
      <c r="C2053" s="71" t="n">
        <v>41843</v>
      </c>
      <c r="D2053" s="72" t="n">
        <v>0</v>
      </c>
    </row>
    <row r="2054">
      <c r="A2054" s="71" t="n">
        <v>41844</v>
      </c>
      <c r="B2054" s="72" t="n">
        <v>0.25</v>
      </c>
      <c r="C2054" s="71" t="n">
        <v>41844</v>
      </c>
      <c r="D2054" s="72" t="n">
        <v>0</v>
      </c>
    </row>
    <row r="2055">
      <c r="A2055" s="71" t="n">
        <v>41845</v>
      </c>
      <c r="B2055" s="72" t="n">
        <v>0.25</v>
      </c>
      <c r="C2055" s="71" t="n">
        <v>41845</v>
      </c>
      <c r="D2055" s="72" t="n">
        <v>0</v>
      </c>
    </row>
    <row r="2056">
      <c r="A2056" s="71" t="n">
        <v>41846</v>
      </c>
      <c r="B2056" s="72" t="n">
        <v>0.25</v>
      </c>
      <c r="C2056" s="71" t="n">
        <v>41846</v>
      </c>
      <c r="D2056" s="72" t="n">
        <v>0</v>
      </c>
    </row>
    <row r="2057">
      <c r="A2057" s="71" t="n">
        <v>41847</v>
      </c>
      <c r="B2057" s="72" t="n">
        <v>0.25</v>
      </c>
      <c r="C2057" s="71" t="n">
        <v>41847</v>
      </c>
      <c r="D2057" s="72" t="n">
        <v>0</v>
      </c>
    </row>
    <row r="2058">
      <c r="A2058" s="71" t="n">
        <v>41848</v>
      </c>
      <c r="B2058" s="72" t="n">
        <v>0.25</v>
      </c>
      <c r="C2058" s="71" t="n">
        <v>41848</v>
      </c>
      <c r="D2058" s="72" t="n">
        <v>0</v>
      </c>
    </row>
    <row r="2059">
      <c r="A2059" s="71" t="n">
        <v>41849</v>
      </c>
      <c r="B2059" s="72" t="n">
        <v>0.25</v>
      </c>
      <c r="C2059" s="71" t="n">
        <v>41849</v>
      </c>
      <c r="D2059" s="72" t="n">
        <v>0</v>
      </c>
    </row>
    <row r="2060">
      <c r="A2060" s="71" t="n">
        <v>41850</v>
      </c>
      <c r="B2060" s="72" t="n">
        <v>0.25</v>
      </c>
      <c r="C2060" s="71" t="n">
        <v>41850</v>
      </c>
      <c r="D2060" s="72" t="n">
        <v>0</v>
      </c>
    </row>
    <row r="2061">
      <c r="A2061" s="71" t="n">
        <v>41851</v>
      </c>
      <c r="B2061" s="72" t="n">
        <v>0.25</v>
      </c>
      <c r="C2061" s="71" t="n">
        <v>41851</v>
      </c>
      <c r="D2061" s="72" t="n">
        <v>0</v>
      </c>
    </row>
    <row r="2062">
      <c r="A2062" s="71" t="n">
        <v>41852</v>
      </c>
      <c r="B2062" s="72" t="n">
        <v>0.25</v>
      </c>
      <c r="C2062" s="71" t="n">
        <v>41852</v>
      </c>
      <c r="D2062" s="72" t="n">
        <v>0</v>
      </c>
    </row>
    <row r="2063">
      <c r="A2063" s="71" t="n">
        <v>41853</v>
      </c>
      <c r="B2063" s="72" t="n">
        <v>0.25</v>
      </c>
      <c r="C2063" s="71" t="n">
        <v>41853</v>
      </c>
      <c r="D2063" s="72" t="n">
        <v>0</v>
      </c>
    </row>
    <row r="2064">
      <c r="A2064" s="71" t="n">
        <v>41854</v>
      </c>
      <c r="B2064" s="72" t="n">
        <v>0.25</v>
      </c>
      <c r="C2064" s="71" t="n">
        <v>41854</v>
      </c>
      <c r="D2064" s="72" t="n">
        <v>0</v>
      </c>
    </row>
    <row r="2065">
      <c r="A2065" s="71" t="n">
        <v>41855</v>
      </c>
      <c r="B2065" s="72" t="n">
        <v>0.25</v>
      </c>
      <c r="C2065" s="71" t="n">
        <v>41855</v>
      </c>
      <c r="D2065" s="72" t="n">
        <v>0</v>
      </c>
    </row>
    <row r="2066">
      <c r="A2066" s="71" t="n">
        <v>41856</v>
      </c>
      <c r="B2066" s="72" t="n">
        <v>0.25</v>
      </c>
      <c r="C2066" s="71" t="n">
        <v>41856</v>
      </c>
      <c r="D2066" s="72" t="n">
        <v>0</v>
      </c>
    </row>
    <row r="2067">
      <c r="A2067" s="71" t="n">
        <v>41857</v>
      </c>
      <c r="B2067" s="72" t="n">
        <v>0.25</v>
      </c>
      <c r="C2067" s="71" t="n">
        <v>41857</v>
      </c>
      <c r="D2067" s="72" t="n">
        <v>0</v>
      </c>
    </row>
    <row r="2068">
      <c r="A2068" s="71" t="n">
        <v>41858</v>
      </c>
      <c r="B2068" s="72" t="n">
        <v>0.25</v>
      </c>
      <c r="C2068" s="71" t="n">
        <v>41858</v>
      </c>
      <c r="D2068" s="72" t="n">
        <v>0</v>
      </c>
    </row>
    <row r="2069">
      <c r="A2069" s="71" t="n">
        <v>41859</v>
      </c>
      <c r="B2069" s="72" t="n">
        <v>0.25</v>
      </c>
      <c r="C2069" s="71" t="n">
        <v>41859</v>
      </c>
      <c r="D2069" s="72" t="n">
        <v>0</v>
      </c>
    </row>
    <row r="2070">
      <c r="A2070" s="71" t="n">
        <v>41860</v>
      </c>
      <c r="B2070" s="72" t="n">
        <v>0.25</v>
      </c>
      <c r="C2070" s="71" t="n">
        <v>41860</v>
      </c>
      <c r="D2070" s="72" t="n">
        <v>0</v>
      </c>
    </row>
    <row r="2071">
      <c r="A2071" s="71" t="n">
        <v>41861</v>
      </c>
      <c r="B2071" s="72" t="n">
        <v>0.25</v>
      </c>
      <c r="C2071" s="71" t="n">
        <v>41861</v>
      </c>
      <c r="D2071" s="72" t="n">
        <v>0</v>
      </c>
    </row>
    <row r="2072">
      <c r="A2072" s="71" t="n">
        <v>41862</v>
      </c>
      <c r="B2072" s="72" t="n">
        <v>0.25</v>
      </c>
      <c r="C2072" s="71" t="n">
        <v>41862</v>
      </c>
      <c r="D2072" s="72" t="n">
        <v>0</v>
      </c>
    </row>
    <row r="2073">
      <c r="A2073" s="71" t="n">
        <v>41863</v>
      </c>
      <c r="B2073" s="72" t="n">
        <v>0.25</v>
      </c>
      <c r="C2073" s="71" t="n">
        <v>41863</v>
      </c>
      <c r="D2073" s="72" t="n">
        <v>0</v>
      </c>
    </row>
    <row r="2074">
      <c r="A2074" s="71" t="n">
        <v>41864</v>
      </c>
      <c r="B2074" s="72" t="n">
        <v>0.25</v>
      </c>
      <c r="C2074" s="71" t="n">
        <v>41864</v>
      </c>
      <c r="D2074" s="72" t="n">
        <v>0</v>
      </c>
    </row>
    <row r="2075">
      <c r="A2075" s="71" t="n">
        <v>41865</v>
      </c>
      <c r="B2075" s="72" t="n">
        <v>0.25</v>
      </c>
      <c r="C2075" s="71" t="n">
        <v>41865</v>
      </c>
      <c r="D2075" s="72" t="n">
        <v>0</v>
      </c>
    </row>
    <row r="2076">
      <c r="A2076" s="71" t="n">
        <v>41866</v>
      </c>
      <c r="B2076" s="72" t="n">
        <v>0.25</v>
      </c>
      <c r="C2076" s="71" t="n">
        <v>41866</v>
      </c>
      <c r="D2076" s="72" t="n">
        <v>0</v>
      </c>
    </row>
    <row r="2077">
      <c r="A2077" s="71" t="n">
        <v>41867</v>
      </c>
      <c r="B2077" s="72" t="n">
        <v>0.25</v>
      </c>
      <c r="C2077" s="71" t="n">
        <v>41867</v>
      </c>
      <c r="D2077" s="72" t="n">
        <v>0</v>
      </c>
    </row>
    <row r="2078">
      <c r="A2078" s="71" t="n">
        <v>41868</v>
      </c>
      <c r="B2078" s="72" t="n">
        <v>0.25</v>
      </c>
      <c r="C2078" s="71" t="n">
        <v>41868</v>
      </c>
      <c r="D2078" s="72" t="n">
        <v>0</v>
      </c>
    </row>
    <row r="2079">
      <c r="A2079" s="71" t="n">
        <v>41869</v>
      </c>
      <c r="B2079" s="72" t="n">
        <v>0.25</v>
      </c>
      <c r="C2079" s="71" t="n">
        <v>41869</v>
      </c>
      <c r="D2079" s="72" t="n">
        <v>0</v>
      </c>
    </row>
    <row r="2080">
      <c r="A2080" s="71" t="n">
        <v>41870</v>
      </c>
      <c r="B2080" s="72" t="n">
        <v>0.25</v>
      </c>
      <c r="C2080" s="71" t="n">
        <v>41870</v>
      </c>
      <c r="D2080" s="72" t="n">
        <v>0</v>
      </c>
    </row>
    <row r="2081">
      <c r="A2081" s="71" t="n">
        <v>41871</v>
      </c>
      <c r="B2081" s="72" t="n">
        <v>0.25</v>
      </c>
      <c r="C2081" s="71" t="n">
        <v>41871</v>
      </c>
      <c r="D2081" s="72" t="n">
        <v>0</v>
      </c>
    </row>
    <row r="2082">
      <c r="A2082" s="71" t="n">
        <v>41872</v>
      </c>
      <c r="B2082" s="72" t="n">
        <v>0.25</v>
      </c>
      <c r="C2082" s="71" t="n">
        <v>41872</v>
      </c>
      <c r="D2082" s="72" t="n">
        <v>0</v>
      </c>
    </row>
    <row r="2083">
      <c r="A2083" s="71" t="n">
        <v>41873</v>
      </c>
      <c r="B2083" s="72" t="n">
        <v>0.25</v>
      </c>
      <c r="C2083" s="71" t="n">
        <v>41873</v>
      </c>
      <c r="D2083" s="72" t="n">
        <v>0</v>
      </c>
    </row>
    <row r="2084">
      <c r="A2084" s="71" t="n">
        <v>41874</v>
      </c>
      <c r="B2084" s="72" t="n">
        <v>0.25</v>
      </c>
      <c r="C2084" s="71" t="n">
        <v>41874</v>
      </c>
      <c r="D2084" s="72" t="n">
        <v>0</v>
      </c>
    </row>
    <row r="2085">
      <c r="A2085" s="71" t="n">
        <v>41875</v>
      </c>
      <c r="B2085" s="72" t="n">
        <v>0.25</v>
      </c>
      <c r="C2085" s="71" t="n">
        <v>41875</v>
      </c>
      <c r="D2085" s="72" t="n">
        <v>0</v>
      </c>
    </row>
    <row r="2086">
      <c r="A2086" s="71" t="n">
        <v>41876</v>
      </c>
      <c r="B2086" s="72" t="n">
        <v>0.25</v>
      </c>
      <c r="C2086" s="71" t="n">
        <v>41876</v>
      </c>
      <c r="D2086" s="72" t="n">
        <v>0</v>
      </c>
    </row>
    <row r="2087">
      <c r="A2087" s="71" t="n">
        <v>41877</v>
      </c>
      <c r="B2087" s="72" t="n">
        <v>0.25</v>
      </c>
      <c r="C2087" s="71" t="n">
        <v>41877</v>
      </c>
      <c r="D2087" s="72" t="n">
        <v>0</v>
      </c>
    </row>
    <row r="2088">
      <c r="A2088" s="71" t="n">
        <v>41878</v>
      </c>
      <c r="B2088" s="72" t="n">
        <v>0.25</v>
      </c>
      <c r="C2088" s="71" t="n">
        <v>41878</v>
      </c>
      <c r="D2088" s="72" t="n">
        <v>0</v>
      </c>
    </row>
    <row r="2089">
      <c r="A2089" s="71" t="n">
        <v>41879</v>
      </c>
      <c r="B2089" s="72" t="n">
        <v>0.25</v>
      </c>
      <c r="C2089" s="71" t="n">
        <v>41879</v>
      </c>
      <c r="D2089" s="72" t="n">
        <v>0</v>
      </c>
    </row>
    <row r="2090">
      <c r="A2090" s="71" t="n">
        <v>41880</v>
      </c>
      <c r="B2090" s="72" t="n">
        <v>0.25</v>
      </c>
      <c r="C2090" s="71" t="n">
        <v>41880</v>
      </c>
      <c r="D2090" s="72" t="n">
        <v>0</v>
      </c>
    </row>
    <row r="2091">
      <c r="A2091" s="71" t="n">
        <v>41881</v>
      </c>
      <c r="B2091" s="72" t="n">
        <v>0.25</v>
      </c>
      <c r="C2091" s="71" t="n">
        <v>41881</v>
      </c>
      <c r="D2091" s="72" t="n">
        <v>0</v>
      </c>
    </row>
    <row r="2092">
      <c r="A2092" s="71" t="n">
        <v>41882</v>
      </c>
      <c r="B2092" s="72" t="n">
        <v>0.25</v>
      </c>
      <c r="C2092" s="71" t="n">
        <v>41882</v>
      </c>
      <c r="D2092" s="72" t="n">
        <v>0</v>
      </c>
    </row>
    <row r="2093">
      <c r="A2093" s="71" t="n">
        <v>41883</v>
      </c>
      <c r="B2093" s="72" t="n">
        <v>0.25</v>
      </c>
      <c r="C2093" s="71" t="n">
        <v>41883</v>
      </c>
      <c r="D2093" s="72" t="n">
        <v>0</v>
      </c>
    </row>
    <row r="2094">
      <c r="A2094" s="71" t="n">
        <v>41884</v>
      </c>
      <c r="B2094" s="72" t="n">
        <v>0.25</v>
      </c>
      <c r="C2094" s="71" t="n">
        <v>41884</v>
      </c>
      <c r="D2094" s="72" t="n">
        <v>0</v>
      </c>
    </row>
    <row r="2095">
      <c r="A2095" s="71" t="n">
        <v>41885</v>
      </c>
      <c r="B2095" s="72" t="n">
        <v>0.25</v>
      </c>
      <c r="C2095" s="71" t="n">
        <v>41885</v>
      </c>
      <c r="D2095" s="72" t="n">
        <v>0</v>
      </c>
    </row>
    <row r="2096">
      <c r="A2096" s="71" t="n">
        <v>41886</v>
      </c>
      <c r="B2096" s="72" t="n">
        <v>0.25</v>
      </c>
      <c r="C2096" s="71" t="n">
        <v>41886</v>
      </c>
      <c r="D2096" s="72" t="n">
        <v>0</v>
      </c>
    </row>
    <row r="2097">
      <c r="A2097" s="71" t="n">
        <v>41887</v>
      </c>
      <c r="B2097" s="72" t="n">
        <v>0.25</v>
      </c>
      <c r="C2097" s="71" t="n">
        <v>41887</v>
      </c>
      <c r="D2097" s="72" t="n">
        <v>0</v>
      </c>
    </row>
    <row r="2098">
      <c r="A2098" s="71" t="n">
        <v>41888</v>
      </c>
      <c r="B2098" s="72" t="n">
        <v>0.25</v>
      </c>
      <c r="C2098" s="71" t="n">
        <v>41888</v>
      </c>
      <c r="D2098" s="72" t="n">
        <v>0</v>
      </c>
    </row>
    <row r="2099">
      <c r="A2099" s="71" t="n">
        <v>41889</v>
      </c>
      <c r="B2099" s="72" t="n">
        <v>0.25</v>
      </c>
      <c r="C2099" s="71" t="n">
        <v>41889</v>
      </c>
      <c r="D2099" s="72" t="n">
        <v>0</v>
      </c>
    </row>
    <row r="2100">
      <c r="A2100" s="71" t="n">
        <v>41890</v>
      </c>
      <c r="B2100" s="72" t="n">
        <v>0.25</v>
      </c>
      <c r="C2100" s="71" t="n">
        <v>41890</v>
      </c>
      <c r="D2100" s="72" t="n">
        <v>0</v>
      </c>
    </row>
    <row r="2101">
      <c r="A2101" s="71" t="n">
        <v>41891</v>
      </c>
      <c r="B2101" s="72" t="n">
        <v>0.25</v>
      </c>
      <c r="C2101" s="71" t="n">
        <v>41891</v>
      </c>
      <c r="D2101" s="72" t="n">
        <v>0</v>
      </c>
    </row>
    <row r="2102">
      <c r="A2102" s="71" t="n">
        <v>41892</v>
      </c>
      <c r="B2102" s="72" t="n">
        <v>0.25</v>
      </c>
      <c r="C2102" s="71" t="n">
        <v>41892</v>
      </c>
      <c r="D2102" s="72" t="n">
        <v>0</v>
      </c>
    </row>
    <row r="2103">
      <c r="A2103" s="71" t="n">
        <v>41893</v>
      </c>
      <c r="B2103" s="72" t="n">
        <v>0.25</v>
      </c>
      <c r="C2103" s="71" t="n">
        <v>41893</v>
      </c>
      <c r="D2103" s="72" t="n">
        <v>0</v>
      </c>
    </row>
    <row r="2104">
      <c r="A2104" s="71" t="n">
        <v>41894</v>
      </c>
      <c r="B2104" s="72" t="n">
        <v>0.25</v>
      </c>
      <c r="C2104" s="71" t="n">
        <v>41894</v>
      </c>
      <c r="D2104" s="72" t="n">
        <v>0</v>
      </c>
    </row>
    <row r="2105">
      <c r="A2105" s="71" t="n">
        <v>41895</v>
      </c>
      <c r="B2105" s="72" t="n">
        <v>0.25</v>
      </c>
      <c r="C2105" s="71" t="n">
        <v>41895</v>
      </c>
      <c r="D2105" s="72" t="n">
        <v>0</v>
      </c>
    </row>
    <row r="2106">
      <c r="A2106" s="71" t="n">
        <v>41896</v>
      </c>
      <c r="B2106" s="72" t="n">
        <v>0.25</v>
      </c>
      <c r="C2106" s="71" t="n">
        <v>41896</v>
      </c>
      <c r="D2106" s="72" t="n">
        <v>0</v>
      </c>
    </row>
    <row r="2107">
      <c r="A2107" s="71" t="n">
        <v>41897</v>
      </c>
      <c r="B2107" s="72" t="n">
        <v>0.25</v>
      </c>
      <c r="C2107" s="71" t="n">
        <v>41897</v>
      </c>
      <c r="D2107" s="72" t="n">
        <v>0</v>
      </c>
    </row>
    <row r="2108">
      <c r="A2108" s="71" t="n">
        <v>41898</v>
      </c>
      <c r="B2108" s="72" t="n">
        <v>0.25</v>
      </c>
      <c r="C2108" s="71" t="n">
        <v>41898</v>
      </c>
      <c r="D2108" s="72" t="n">
        <v>0</v>
      </c>
    </row>
    <row r="2109">
      <c r="A2109" s="71" t="n">
        <v>41899</v>
      </c>
      <c r="B2109" s="72" t="n">
        <v>0.25</v>
      </c>
      <c r="C2109" s="71" t="n">
        <v>41899</v>
      </c>
      <c r="D2109" s="72" t="n">
        <v>0</v>
      </c>
    </row>
    <row r="2110">
      <c r="A2110" s="71" t="n">
        <v>41900</v>
      </c>
      <c r="B2110" s="72" t="n">
        <v>0.25</v>
      </c>
      <c r="C2110" s="71" t="n">
        <v>41900</v>
      </c>
      <c r="D2110" s="72" t="n">
        <v>0</v>
      </c>
    </row>
    <row r="2111">
      <c r="A2111" s="71" t="n">
        <v>41901</v>
      </c>
      <c r="B2111" s="72" t="n">
        <v>0.25</v>
      </c>
      <c r="C2111" s="71" t="n">
        <v>41901</v>
      </c>
      <c r="D2111" s="72" t="n">
        <v>0</v>
      </c>
    </row>
    <row r="2112">
      <c r="A2112" s="71" t="n">
        <v>41902</v>
      </c>
      <c r="B2112" s="72" t="n">
        <v>0.25</v>
      </c>
      <c r="C2112" s="71" t="n">
        <v>41902</v>
      </c>
      <c r="D2112" s="72" t="n">
        <v>0</v>
      </c>
    </row>
    <row r="2113">
      <c r="A2113" s="71" t="n">
        <v>41903</v>
      </c>
      <c r="B2113" s="72" t="n">
        <v>0.25</v>
      </c>
      <c r="C2113" s="71" t="n">
        <v>41903</v>
      </c>
      <c r="D2113" s="72" t="n">
        <v>0</v>
      </c>
    </row>
    <row r="2114">
      <c r="A2114" s="71" t="n">
        <v>41904</v>
      </c>
      <c r="B2114" s="72" t="n">
        <v>0.25</v>
      </c>
      <c r="C2114" s="71" t="n">
        <v>41904</v>
      </c>
      <c r="D2114" s="72" t="n">
        <v>0</v>
      </c>
    </row>
    <row r="2115">
      <c r="A2115" s="71" t="n">
        <v>41905</v>
      </c>
      <c r="B2115" s="72" t="n">
        <v>0.25</v>
      </c>
      <c r="C2115" s="71" t="n">
        <v>41905</v>
      </c>
      <c r="D2115" s="72" t="n">
        <v>0</v>
      </c>
    </row>
    <row r="2116">
      <c r="A2116" s="71" t="n">
        <v>41906</v>
      </c>
      <c r="B2116" s="72" t="n">
        <v>0.25</v>
      </c>
      <c r="C2116" s="71" t="n">
        <v>41906</v>
      </c>
      <c r="D2116" s="72" t="n">
        <v>0</v>
      </c>
    </row>
    <row r="2117">
      <c r="A2117" s="71" t="n">
        <v>41907</v>
      </c>
      <c r="B2117" s="72" t="n">
        <v>0.25</v>
      </c>
      <c r="C2117" s="71" t="n">
        <v>41907</v>
      </c>
      <c r="D2117" s="72" t="n">
        <v>0</v>
      </c>
    </row>
    <row r="2118">
      <c r="A2118" s="71" t="n">
        <v>41908</v>
      </c>
      <c r="B2118" s="72" t="n">
        <v>0.25</v>
      </c>
      <c r="C2118" s="71" t="n">
        <v>41908</v>
      </c>
      <c r="D2118" s="72" t="n">
        <v>0</v>
      </c>
    </row>
    <row r="2119">
      <c r="A2119" s="71" t="n">
        <v>41909</v>
      </c>
      <c r="B2119" s="72" t="n">
        <v>0.25</v>
      </c>
      <c r="C2119" s="71" t="n">
        <v>41909</v>
      </c>
      <c r="D2119" s="72" t="n">
        <v>0</v>
      </c>
    </row>
    <row r="2120">
      <c r="A2120" s="71" t="n">
        <v>41910</v>
      </c>
      <c r="B2120" s="72" t="n">
        <v>0.25</v>
      </c>
      <c r="C2120" s="71" t="n">
        <v>41910</v>
      </c>
      <c r="D2120" s="72" t="n">
        <v>0</v>
      </c>
    </row>
    <row r="2121">
      <c r="A2121" s="71" t="n">
        <v>41911</v>
      </c>
      <c r="B2121" s="72" t="n">
        <v>0.25</v>
      </c>
      <c r="C2121" s="71" t="n">
        <v>41911</v>
      </c>
      <c r="D2121" s="72" t="n">
        <v>0</v>
      </c>
    </row>
    <row r="2122">
      <c r="A2122" s="71" t="n">
        <v>41912</v>
      </c>
      <c r="B2122" s="72" t="n">
        <v>0.25</v>
      </c>
      <c r="C2122" s="71" t="n">
        <v>41912</v>
      </c>
      <c r="D2122" s="72" t="n">
        <v>0</v>
      </c>
    </row>
    <row r="2123">
      <c r="A2123" s="71" t="n">
        <v>41913</v>
      </c>
      <c r="B2123" s="72" t="n">
        <v>0.25</v>
      </c>
      <c r="C2123" s="71" t="n">
        <v>41913</v>
      </c>
      <c r="D2123" s="72" t="n">
        <v>0</v>
      </c>
    </row>
    <row r="2124">
      <c r="A2124" s="71" t="n">
        <v>41914</v>
      </c>
      <c r="B2124" s="72" t="n">
        <v>0.25</v>
      </c>
      <c r="C2124" s="71" t="n">
        <v>41914</v>
      </c>
      <c r="D2124" s="72" t="n">
        <v>0</v>
      </c>
    </row>
    <row r="2125">
      <c r="A2125" s="71" t="n">
        <v>41915</v>
      </c>
      <c r="B2125" s="72" t="n">
        <v>0.25</v>
      </c>
      <c r="C2125" s="71" t="n">
        <v>41915</v>
      </c>
      <c r="D2125" s="72" t="n">
        <v>0</v>
      </c>
    </row>
    <row r="2126">
      <c r="A2126" s="71" t="n">
        <v>41916</v>
      </c>
      <c r="B2126" s="72" t="n">
        <v>0.25</v>
      </c>
      <c r="C2126" s="71" t="n">
        <v>41916</v>
      </c>
      <c r="D2126" s="72" t="n">
        <v>0</v>
      </c>
    </row>
    <row r="2127">
      <c r="A2127" s="71" t="n">
        <v>41917</v>
      </c>
      <c r="B2127" s="72" t="n">
        <v>0.25</v>
      </c>
      <c r="C2127" s="71" t="n">
        <v>41917</v>
      </c>
      <c r="D2127" s="72" t="n">
        <v>0</v>
      </c>
    </row>
    <row r="2128">
      <c r="A2128" s="71" t="n">
        <v>41918</v>
      </c>
      <c r="B2128" s="72" t="n">
        <v>0.25</v>
      </c>
      <c r="C2128" s="71" t="n">
        <v>41918</v>
      </c>
      <c r="D2128" s="72" t="n">
        <v>0</v>
      </c>
    </row>
    <row r="2129">
      <c r="A2129" s="71" t="n">
        <v>41919</v>
      </c>
      <c r="B2129" s="72" t="n">
        <v>0.25</v>
      </c>
      <c r="C2129" s="71" t="n">
        <v>41919</v>
      </c>
      <c r="D2129" s="72" t="n">
        <v>0</v>
      </c>
    </row>
    <row r="2130">
      <c r="A2130" s="71" t="n">
        <v>41920</v>
      </c>
      <c r="B2130" s="72" t="n">
        <v>0.25</v>
      </c>
      <c r="C2130" s="71" t="n">
        <v>41920</v>
      </c>
      <c r="D2130" s="72" t="n">
        <v>0</v>
      </c>
    </row>
    <row r="2131">
      <c r="A2131" s="71" t="n">
        <v>41921</v>
      </c>
      <c r="B2131" s="72" t="n">
        <v>0.25</v>
      </c>
      <c r="C2131" s="71" t="n">
        <v>41921</v>
      </c>
      <c r="D2131" s="72" t="n">
        <v>0</v>
      </c>
    </row>
    <row r="2132">
      <c r="A2132" s="71" t="n">
        <v>41922</v>
      </c>
      <c r="B2132" s="72" t="n">
        <v>0.25</v>
      </c>
      <c r="C2132" s="71" t="n">
        <v>41922</v>
      </c>
      <c r="D2132" s="72" t="n">
        <v>0</v>
      </c>
    </row>
    <row r="2133">
      <c r="A2133" s="71" t="n">
        <v>41923</v>
      </c>
      <c r="B2133" s="72" t="n">
        <v>0.25</v>
      </c>
      <c r="C2133" s="71" t="n">
        <v>41923</v>
      </c>
      <c r="D2133" s="72" t="n">
        <v>0</v>
      </c>
    </row>
    <row r="2134">
      <c r="A2134" s="71" t="n">
        <v>41924</v>
      </c>
      <c r="B2134" s="72" t="n">
        <v>0.25</v>
      </c>
      <c r="C2134" s="71" t="n">
        <v>41924</v>
      </c>
      <c r="D2134" s="72" t="n">
        <v>0</v>
      </c>
    </row>
    <row r="2135">
      <c r="A2135" s="71" t="n">
        <v>41925</v>
      </c>
      <c r="B2135" s="72" t="n">
        <v>0.25</v>
      </c>
      <c r="C2135" s="71" t="n">
        <v>41925</v>
      </c>
      <c r="D2135" s="72" t="n">
        <v>0</v>
      </c>
    </row>
    <row r="2136">
      <c r="A2136" s="71" t="n">
        <v>41926</v>
      </c>
      <c r="B2136" s="72" t="n">
        <v>0.25</v>
      </c>
      <c r="C2136" s="71" t="n">
        <v>41926</v>
      </c>
      <c r="D2136" s="72" t="n">
        <v>0</v>
      </c>
    </row>
    <row r="2137">
      <c r="A2137" s="71" t="n">
        <v>41927</v>
      </c>
      <c r="B2137" s="72" t="n">
        <v>0.25</v>
      </c>
      <c r="C2137" s="71" t="n">
        <v>41927</v>
      </c>
      <c r="D2137" s="72" t="n">
        <v>0</v>
      </c>
    </row>
    <row r="2138">
      <c r="A2138" s="71" t="n">
        <v>41928</v>
      </c>
      <c r="B2138" s="72" t="n">
        <v>0.25</v>
      </c>
      <c r="C2138" s="71" t="n">
        <v>41928</v>
      </c>
      <c r="D2138" s="72" t="n">
        <v>0</v>
      </c>
    </row>
    <row r="2139">
      <c r="A2139" s="71" t="n">
        <v>41929</v>
      </c>
      <c r="B2139" s="72" t="n">
        <v>0.25</v>
      </c>
      <c r="C2139" s="71" t="n">
        <v>41929</v>
      </c>
      <c r="D2139" s="72" t="n">
        <v>0</v>
      </c>
    </row>
    <row r="2140">
      <c r="A2140" s="71" t="n">
        <v>41930</v>
      </c>
      <c r="B2140" s="72" t="n">
        <v>0.25</v>
      </c>
      <c r="C2140" s="71" t="n">
        <v>41930</v>
      </c>
      <c r="D2140" s="72" t="n">
        <v>0</v>
      </c>
    </row>
    <row r="2141">
      <c r="A2141" s="71" t="n">
        <v>41931</v>
      </c>
      <c r="B2141" s="72" t="n">
        <v>0.25</v>
      </c>
      <c r="C2141" s="71" t="n">
        <v>41931</v>
      </c>
      <c r="D2141" s="72" t="n">
        <v>0</v>
      </c>
    </row>
    <row r="2142">
      <c r="A2142" s="71" t="n">
        <v>41932</v>
      </c>
      <c r="B2142" s="72" t="n">
        <v>0.25</v>
      </c>
      <c r="C2142" s="71" t="n">
        <v>41932</v>
      </c>
      <c r="D2142" s="72" t="n">
        <v>0</v>
      </c>
    </row>
    <row r="2143">
      <c r="A2143" s="71" t="n">
        <v>41933</v>
      </c>
      <c r="B2143" s="72" t="n">
        <v>0.25</v>
      </c>
      <c r="C2143" s="71" t="n">
        <v>41933</v>
      </c>
      <c r="D2143" s="72" t="n">
        <v>0</v>
      </c>
    </row>
    <row r="2144">
      <c r="A2144" s="71" t="n">
        <v>41934</v>
      </c>
      <c r="B2144" s="72" t="n">
        <v>0.25</v>
      </c>
      <c r="C2144" s="71" t="n">
        <v>41934</v>
      </c>
      <c r="D2144" s="72" t="n">
        <v>0</v>
      </c>
    </row>
    <row r="2145">
      <c r="A2145" s="71" t="n">
        <v>41935</v>
      </c>
      <c r="B2145" s="72" t="n">
        <v>0.25</v>
      </c>
      <c r="C2145" s="71" t="n">
        <v>41935</v>
      </c>
      <c r="D2145" s="72" t="n">
        <v>0</v>
      </c>
    </row>
    <row r="2146">
      <c r="A2146" s="71" t="n">
        <v>41936</v>
      </c>
      <c r="B2146" s="72" t="n">
        <v>0.25</v>
      </c>
      <c r="C2146" s="71" t="n">
        <v>41936</v>
      </c>
      <c r="D2146" s="72" t="n">
        <v>0</v>
      </c>
    </row>
    <row r="2147">
      <c r="A2147" s="71" t="n">
        <v>41937</v>
      </c>
      <c r="B2147" s="72" t="n">
        <v>0.25</v>
      </c>
      <c r="C2147" s="71" t="n">
        <v>41937</v>
      </c>
      <c r="D2147" s="72" t="n">
        <v>0</v>
      </c>
    </row>
    <row r="2148">
      <c r="A2148" s="71" t="n">
        <v>41938</v>
      </c>
      <c r="B2148" s="72" t="n">
        <v>0.25</v>
      </c>
      <c r="C2148" s="71" t="n">
        <v>41938</v>
      </c>
      <c r="D2148" s="72" t="n">
        <v>0</v>
      </c>
    </row>
    <row r="2149">
      <c r="A2149" s="71" t="n">
        <v>41939</v>
      </c>
      <c r="B2149" s="72" t="n">
        <v>0.25</v>
      </c>
      <c r="C2149" s="71" t="n">
        <v>41939</v>
      </c>
      <c r="D2149" s="72" t="n">
        <v>0</v>
      </c>
    </row>
    <row r="2150">
      <c r="A2150" s="71" t="n">
        <v>41940</v>
      </c>
      <c r="B2150" s="72" t="n">
        <v>0.25</v>
      </c>
      <c r="C2150" s="71" t="n">
        <v>41940</v>
      </c>
      <c r="D2150" s="72" t="n">
        <v>0</v>
      </c>
    </row>
    <row r="2151">
      <c r="A2151" s="71" t="n">
        <v>41941</v>
      </c>
      <c r="B2151" s="72" t="n">
        <v>0.25</v>
      </c>
      <c r="C2151" s="71" t="n">
        <v>41941</v>
      </c>
      <c r="D2151" s="72" t="n">
        <v>0</v>
      </c>
    </row>
    <row r="2152">
      <c r="A2152" s="71" t="n">
        <v>41942</v>
      </c>
      <c r="B2152" s="72" t="n">
        <v>0.25</v>
      </c>
      <c r="C2152" s="71" t="n">
        <v>41942</v>
      </c>
      <c r="D2152" s="72" t="n">
        <v>0</v>
      </c>
    </row>
    <row r="2153">
      <c r="A2153" s="71" t="n">
        <v>41943</v>
      </c>
      <c r="B2153" s="72" t="n">
        <v>0.25</v>
      </c>
      <c r="C2153" s="71" t="n">
        <v>41943</v>
      </c>
      <c r="D2153" s="72" t="n">
        <v>0</v>
      </c>
    </row>
    <row r="2154">
      <c r="A2154" s="71" t="n">
        <v>41944</v>
      </c>
      <c r="B2154" s="72" t="n">
        <v>0.25</v>
      </c>
      <c r="C2154" s="71" t="n">
        <v>41944</v>
      </c>
      <c r="D2154" s="72" t="n">
        <v>0</v>
      </c>
    </row>
    <row r="2155">
      <c r="A2155" s="71" t="n">
        <v>41945</v>
      </c>
      <c r="B2155" s="72" t="n">
        <v>0.25</v>
      </c>
      <c r="C2155" s="71" t="n">
        <v>41945</v>
      </c>
      <c r="D2155" s="72" t="n">
        <v>0</v>
      </c>
    </row>
    <row r="2156">
      <c r="A2156" s="71" t="n">
        <v>41946</v>
      </c>
      <c r="B2156" s="72" t="n">
        <v>0.25</v>
      </c>
      <c r="C2156" s="71" t="n">
        <v>41946</v>
      </c>
      <c r="D2156" s="72" t="n">
        <v>0</v>
      </c>
    </row>
    <row r="2157">
      <c r="A2157" s="71" t="n">
        <v>41947</v>
      </c>
      <c r="B2157" s="72" t="n">
        <v>0.25</v>
      </c>
      <c r="C2157" s="71" t="n">
        <v>41947</v>
      </c>
      <c r="D2157" s="72" t="n">
        <v>0</v>
      </c>
    </row>
    <row r="2158">
      <c r="A2158" s="71" t="n">
        <v>41948</v>
      </c>
      <c r="B2158" s="72" t="n">
        <v>0.25</v>
      </c>
      <c r="C2158" s="71" t="n">
        <v>41948</v>
      </c>
      <c r="D2158" s="72" t="n">
        <v>0</v>
      </c>
    </row>
    <row r="2159">
      <c r="A2159" s="71" t="n">
        <v>41949</v>
      </c>
      <c r="B2159" s="72" t="n">
        <v>0.25</v>
      </c>
      <c r="C2159" s="71" t="n">
        <v>41949</v>
      </c>
      <c r="D2159" s="72" t="n">
        <v>0</v>
      </c>
    </row>
    <row r="2160">
      <c r="A2160" s="71" t="n">
        <v>41950</v>
      </c>
      <c r="B2160" s="72" t="n">
        <v>0.25</v>
      </c>
      <c r="C2160" s="71" t="n">
        <v>41950</v>
      </c>
      <c r="D2160" s="72" t="n">
        <v>0</v>
      </c>
    </row>
    <row r="2161">
      <c r="A2161" s="71" t="n">
        <v>41951</v>
      </c>
      <c r="B2161" s="72" t="n">
        <v>0.25</v>
      </c>
      <c r="C2161" s="71" t="n">
        <v>41951</v>
      </c>
      <c r="D2161" s="72" t="n">
        <v>0</v>
      </c>
    </row>
    <row r="2162">
      <c r="A2162" s="71" t="n">
        <v>41952</v>
      </c>
      <c r="B2162" s="72" t="n">
        <v>0.25</v>
      </c>
      <c r="C2162" s="71" t="n">
        <v>41952</v>
      </c>
      <c r="D2162" s="72" t="n">
        <v>0</v>
      </c>
    </row>
    <row r="2163">
      <c r="A2163" s="71" t="n">
        <v>41953</v>
      </c>
      <c r="B2163" s="72" t="n">
        <v>0.25</v>
      </c>
      <c r="C2163" s="71" t="n">
        <v>41953</v>
      </c>
      <c r="D2163" s="72" t="n">
        <v>0</v>
      </c>
    </row>
    <row r="2164">
      <c r="A2164" s="71" t="n">
        <v>41954</v>
      </c>
      <c r="B2164" s="72" t="n">
        <v>0.25</v>
      </c>
      <c r="C2164" s="71" t="n">
        <v>41954</v>
      </c>
      <c r="D2164" s="72" t="n">
        <v>0</v>
      </c>
    </row>
    <row r="2165">
      <c r="A2165" s="71" t="n">
        <v>41955</v>
      </c>
      <c r="B2165" s="72" t="n">
        <v>0.25</v>
      </c>
      <c r="C2165" s="71" t="n">
        <v>41955</v>
      </c>
      <c r="D2165" s="72" t="n">
        <v>0</v>
      </c>
    </row>
    <row r="2166">
      <c r="A2166" s="71" t="n">
        <v>41956</v>
      </c>
      <c r="B2166" s="72" t="n">
        <v>0.25</v>
      </c>
      <c r="C2166" s="71" t="n">
        <v>41956</v>
      </c>
      <c r="D2166" s="72" t="n">
        <v>0</v>
      </c>
    </row>
    <row r="2167">
      <c r="A2167" s="71" t="n">
        <v>41957</v>
      </c>
      <c r="B2167" s="72" t="n">
        <v>0.25</v>
      </c>
      <c r="C2167" s="71" t="n">
        <v>41957</v>
      </c>
      <c r="D2167" s="72" t="n">
        <v>0</v>
      </c>
    </row>
    <row r="2168">
      <c r="A2168" s="71" t="n">
        <v>41958</v>
      </c>
      <c r="B2168" s="72" t="n">
        <v>0.25</v>
      </c>
      <c r="C2168" s="71" t="n">
        <v>41958</v>
      </c>
      <c r="D2168" s="72" t="n">
        <v>0</v>
      </c>
    </row>
    <row r="2169">
      <c r="A2169" s="71" t="n">
        <v>41959</v>
      </c>
      <c r="B2169" s="72" t="n">
        <v>0.25</v>
      </c>
      <c r="C2169" s="71" t="n">
        <v>41959</v>
      </c>
      <c r="D2169" s="72" t="n">
        <v>0</v>
      </c>
    </row>
    <row r="2170">
      <c r="A2170" s="71" t="n">
        <v>41960</v>
      </c>
      <c r="B2170" s="72" t="n">
        <v>0.25</v>
      </c>
      <c r="C2170" s="71" t="n">
        <v>41960</v>
      </c>
      <c r="D2170" s="72" t="n">
        <v>0</v>
      </c>
    </row>
    <row r="2171">
      <c r="A2171" s="71" t="n">
        <v>41961</v>
      </c>
      <c r="B2171" s="72" t="n">
        <v>0.25</v>
      </c>
      <c r="C2171" s="71" t="n">
        <v>41961</v>
      </c>
      <c r="D2171" s="72" t="n">
        <v>0</v>
      </c>
    </row>
    <row r="2172">
      <c r="A2172" s="71" t="n">
        <v>41962</v>
      </c>
      <c r="B2172" s="72" t="n">
        <v>0.25</v>
      </c>
      <c r="C2172" s="71" t="n">
        <v>41962</v>
      </c>
      <c r="D2172" s="72" t="n">
        <v>0</v>
      </c>
    </row>
    <row r="2173">
      <c r="A2173" s="71" t="n">
        <v>41963</v>
      </c>
      <c r="B2173" s="72" t="n">
        <v>0.25</v>
      </c>
      <c r="C2173" s="71" t="n">
        <v>41963</v>
      </c>
      <c r="D2173" s="72" t="n">
        <v>0</v>
      </c>
    </row>
    <row r="2174">
      <c r="A2174" s="71" t="n">
        <v>41964</v>
      </c>
      <c r="B2174" s="72" t="n">
        <v>0.25</v>
      </c>
      <c r="C2174" s="71" t="n">
        <v>41964</v>
      </c>
      <c r="D2174" s="72" t="n">
        <v>0</v>
      </c>
    </row>
    <row r="2175">
      <c r="A2175" s="71" t="n">
        <v>41965</v>
      </c>
      <c r="B2175" s="72" t="n">
        <v>0.25</v>
      </c>
      <c r="C2175" s="71" t="n">
        <v>41965</v>
      </c>
      <c r="D2175" s="72" t="n">
        <v>0</v>
      </c>
    </row>
    <row r="2176">
      <c r="A2176" s="71" t="n">
        <v>41966</v>
      </c>
      <c r="B2176" s="72" t="n">
        <v>0.25</v>
      </c>
      <c r="C2176" s="71" t="n">
        <v>41966</v>
      </c>
      <c r="D2176" s="72" t="n">
        <v>0</v>
      </c>
    </row>
    <row r="2177">
      <c r="A2177" s="71" t="n">
        <v>41967</v>
      </c>
      <c r="B2177" s="72" t="n">
        <v>0.25</v>
      </c>
      <c r="C2177" s="71" t="n">
        <v>41967</v>
      </c>
      <c r="D2177" s="72" t="n">
        <v>0</v>
      </c>
    </row>
    <row r="2178">
      <c r="A2178" s="71" t="n">
        <v>41968</v>
      </c>
      <c r="B2178" s="72" t="n">
        <v>0.25</v>
      </c>
      <c r="C2178" s="71" t="n">
        <v>41968</v>
      </c>
      <c r="D2178" s="72" t="n">
        <v>0</v>
      </c>
    </row>
    <row r="2179">
      <c r="A2179" s="71" t="n">
        <v>41969</v>
      </c>
      <c r="B2179" s="72" t="n">
        <v>0.25</v>
      </c>
      <c r="C2179" s="71" t="n">
        <v>41969</v>
      </c>
      <c r="D2179" s="72" t="n">
        <v>0</v>
      </c>
    </row>
    <row r="2180">
      <c r="A2180" s="71" t="n">
        <v>41970</v>
      </c>
      <c r="B2180" s="72" t="n">
        <v>0.25</v>
      </c>
      <c r="C2180" s="71" t="n">
        <v>41970</v>
      </c>
      <c r="D2180" s="72" t="n">
        <v>0</v>
      </c>
    </row>
    <row r="2181">
      <c r="A2181" s="71" t="n">
        <v>41971</v>
      </c>
      <c r="B2181" s="72" t="n">
        <v>0.25</v>
      </c>
      <c r="C2181" s="71" t="n">
        <v>41971</v>
      </c>
      <c r="D2181" s="72" t="n">
        <v>0</v>
      </c>
    </row>
    <row r="2182">
      <c r="A2182" s="71" t="n">
        <v>41972</v>
      </c>
      <c r="B2182" s="72" t="n">
        <v>0.25</v>
      </c>
      <c r="C2182" s="71" t="n">
        <v>41972</v>
      </c>
      <c r="D2182" s="72" t="n">
        <v>0</v>
      </c>
    </row>
    <row r="2183">
      <c r="A2183" s="71" t="n">
        <v>41973</v>
      </c>
      <c r="B2183" s="72" t="n">
        <v>0.25</v>
      </c>
      <c r="C2183" s="71" t="n">
        <v>41973</v>
      </c>
      <c r="D2183" s="72" t="n">
        <v>0</v>
      </c>
    </row>
    <row r="2184">
      <c r="A2184" s="71" t="n">
        <v>41974</v>
      </c>
      <c r="B2184" s="72" t="n">
        <v>0.25</v>
      </c>
      <c r="C2184" s="71" t="n">
        <v>41974</v>
      </c>
      <c r="D2184" s="72" t="n">
        <v>0</v>
      </c>
    </row>
    <row r="2185">
      <c r="A2185" s="71" t="n">
        <v>41975</v>
      </c>
      <c r="B2185" s="72" t="n">
        <v>0.25</v>
      </c>
      <c r="C2185" s="71" t="n">
        <v>41975</v>
      </c>
      <c r="D2185" s="72" t="n">
        <v>0</v>
      </c>
    </row>
    <row r="2186">
      <c r="A2186" s="71" t="n">
        <v>41976</v>
      </c>
      <c r="B2186" s="72" t="n">
        <v>0.25</v>
      </c>
      <c r="C2186" s="71" t="n">
        <v>41976</v>
      </c>
      <c r="D2186" s="72" t="n">
        <v>0</v>
      </c>
    </row>
    <row r="2187">
      <c r="A2187" s="71" t="n">
        <v>41977</v>
      </c>
      <c r="B2187" s="72" t="n">
        <v>0.25</v>
      </c>
      <c r="C2187" s="71" t="n">
        <v>41977</v>
      </c>
      <c r="D2187" s="72" t="n">
        <v>0</v>
      </c>
    </row>
    <row r="2188">
      <c r="A2188" s="71" t="n">
        <v>41978</v>
      </c>
      <c r="B2188" s="72" t="n">
        <v>0.25</v>
      </c>
      <c r="C2188" s="71" t="n">
        <v>41978</v>
      </c>
      <c r="D2188" s="72" t="n">
        <v>0</v>
      </c>
    </row>
    <row r="2189">
      <c r="A2189" s="71" t="n">
        <v>41979</v>
      </c>
      <c r="B2189" s="72" t="n">
        <v>0.25</v>
      </c>
      <c r="C2189" s="71" t="n">
        <v>41979</v>
      </c>
      <c r="D2189" s="72" t="n">
        <v>0</v>
      </c>
    </row>
    <row r="2190">
      <c r="A2190" s="71" t="n">
        <v>41980</v>
      </c>
      <c r="B2190" s="72" t="n">
        <v>0.25</v>
      </c>
      <c r="C2190" s="71" t="n">
        <v>41980</v>
      </c>
      <c r="D2190" s="72" t="n">
        <v>0</v>
      </c>
    </row>
    <row r="2191">
      <c r="A2191" s="71" t="n">
        <v>41981</v>
      </c>
      <c r="B2191" s="72" t="n">
        <v>0.25</v>
      </c>
      <c r="C2191" s="71" t="n">
        <v>41981</v>
      </c>
      <c r="D2191" s="72" t="n">
        <v>0</v>
      </c>
    </row>
    <row r="2192">
      <c r="A2192" s="71" t="n">
        <v>41982</v>
      </c>
      <c r="B2192" s="72" t="n">
        <v>0.25</v>
      </c>
      <c r="C2192" s="71" t="n">
        <v>41982</v>
      </c>
      <c r="D2192" s="72" t="n">
        <v>0</v>
      </c>
    </row>
    <row r="2193">
      <c r="A2193" s="71" t="n">
        <v>41983</v>
      </c>
      <c r="B2193" s="72" t="n">
        <v>0.25</v>
      </c>
      <c r="C2193" s="71" t="n">
        <v>41983</v>
      </c>
      <c r="D2193" s="72" t="n">
        <v>0</v>
      </c>
    </row>
    <row r="2194">
      <c r="A2194" s="71" t="n">
        <v>41984</v>
      </c>
      <c r="B2194" s="72" t="n">
        <v>0.25</v>
      </c>
      <c r="C2194" s="71" t="n">
        <v>41984</v>
      </c>
      <c r="D2194" s="72" t="n">
        <v>0</v>
      </c>
    </row>
    <row r="2195">
      <c r="A2195" s="71" t="n">
        <v>41985</v>
      </c>
      <c r="B2195" s="72" t="n">
        <v>0.25</v>
      </c>
      <c r="C2195" s="71" t="n">
        <v>41985</v>
      </c>
      <c r="D2195" s="72" t="n">
        <v>0</v>
      </c>
    </row>
    <row r="2196">
      <c r="A2196" s="71" t="n">
        <v>41986</v>
      </c>
      <c r="B2196" s="72" t="n">
        <v>0.25</v>
      </c>
      <c r="C2196" s="71" t="n">
        <v>41986</v>
      </c>
      <c r="D2196" s="72" t="n">
        <v>0</v>
      </c>
    </row>
    <row r="2197">
      <c r="A2197" s="71" t="n">
        <v>41987</v>
      </c>
      <c r="B2197" s="72" t="n">
        <v>0.25</v>
      </c>
      <c r="C2197" s="71" t="n">
        <v>41987</v>
      </c>
      <c r="D2197" s="72" t="n">
        <v>0</v>
      </c>
    </row>
    <row r="2198">
      <c r="A2198" s="71" t="n">
        <v>41988</v>
      </c>
      <c r="B2198" s="72" t="n">
        <v>0.25</v>
      </c>
      <c r="C2198" s="71" t="n">
        <v>41988</v>
      </c>
      <c r="D2198" s="72" t="n">
        <v>0</v>
      </c>
    </row>
    <row r="2199">
      <c r="A2199" s="71" t="n">
        <v>41989</v>
      </c>
      <c r="B2199" s="72" t="n">
        <v>0.25</v>
      </c>
      <c r="C2199" s="71" t="n">
        <v>41989</v>
      </c>
      <c r="D2199" s="72" t="n">
        <v>0</v>
      </c>
    </row>
    <row r="2200">
      <c r="A2200" s="71" t="n">
        <v>41990</v>
      </c>
      <c r="B2200" s="72" t="n">
        <v>0.25</v>
      </c>
      <c r="C2200" s="71" t="n">
        <v>41990</v>
      </c>
      <c r="D2200" s="72" t="n">
        <v>0</v>
      </c>
    </row>
    <row r="2201">
      <c r="A2201" s="71" t="n">
        <v>41991</v>
      </c>
      <c r="B2201" s="72" t="n">
        <v>0.25</v>
      </c>
      <c r="C2201" s="71" t="n">
        <v>41991</v>
      </c>
      <c r="D2201" s="72" t="n">
        <v>0</v>
      </c>
    </row>
    <row r="2202">
      <c r="A2202" s="71" t="n">
        <v>41992</v>
      </c>
      <c r="B2202" s="72" t="n">
        <v>0.25</v>
      </c>
      <c r="C2202" s="71" t="n">
        <v>41992</v>
      </c>
      <c r="D2202" s="72" t="n">
        <v>0</v>
      </c>
    </row>
    <row r="2203">
      <c r="A2203" s="71" t="n">
        <v>41993</v>
      </c>
      <c r="B2203" s="72" t="n">
        <v>0.25</v>
      </c>
      <c r="C2203" s="71" t="n">
        <v>41993</v>
      </c>
      <c r="D2203" s="72" t="n">
        <v>0</v>
      </c>
    </row>
    <row r="2204">
      <c r="A2204" s="71" t="n">
        <v>41994</v>
      </c>
      <c r="B2204" s="72" t="n">
        <v>0.25</v>
      </c>
      <c r="C2204" s="71" t="n">
        <v>41994</v>
      </c>
      <c r="D2204" s="72" t="n">
        <v>0</v>
      </c>
    </row>
    <row r="2205">
      <c r="A2205" s="71" t="n">
        <v>41995</v>
      </c>
      <c r="B2205" s="72" t="n">
        <v>0.25</v>
      </c>
      <c r="C2205" s="71" t="n">
        <v>41995</v>
      </c>
      <c r="D2205" s="72" t="n">
        <v>0</v>
      </c>
    </row>
    <row r="2206">
      <c r="A2206" s="71" t="n">
        <v>41996</v>
      </c>
      <c r="B2206" s="72" t="n">
        <v>0.25</v>
      </c>
      <c r="C2206" s="71" t="n">
        <v>41996</v>
      </c>
      <c r="D2206" s="72" t="n">
        <v>0</v>
      </c>
    </row>
    <row r="2207">
      <c r="A2207" s="71" t="n">
        <v>41997</v>
      </c>
      <c r="B2207" s="72" t="n">
        <v>0.25</v>
      </c>
      <c r="C2207" s="71" t="n">
        <v>41997</v>
      </c>
      <c r="D2207" s="72" t="n">
        <v>0</v>
      </c>
    </row>
    <row r="2208">
      <c r="A2208" s="71" t="n">
        <v>41998</v>
      </c>
      <c r="B2208" s="72" t="n">
        <v>0.25</v>
      </c>
      <c r="C2208" s="71" t="n">
        <v>41998</v>
      </c>
      <c r="D2208" s="72" t="n">
        <v>0</v>
      </c>
    </row>
    <row r="2209">
      <c r="A2209" s="71" t="n">
        <v>41999</v>
      </c>
      <c r="B2209" s="72" t="n">
        <v>0.25</v>
      </c>
      <c r="C2209" s="71" t="n">
        <v>41999</v>
      </c>
      <c r="D2209" s="72" t="n">
        <v>0</v>
      </c>
    </row>
    <row r="2210">
      <c r="A2210" s="71" t="n">
        <v>42000</v>
      </c>
      <c r="B2210" s="72" t="n">
        <v>0.25</v>
      </c>
      <c r="C2210" s="71" t="n">
        <v>42000</v>
      </c>
      <c r="D2210" s="72" t="n">
        <v>0</v>
      </c>
    </row>
    <row r="2211">
      <c r="A2211" s="71" t="n">
        <v>42001</v>
      </c>
      <c r="B2211" s="72" t="n">
        <v>0.25</v>
      </c>
      <c r="C2211" s="71" t="n">
        <v>42001</v>
      </c>
      <c r="D2211" s="72" t="n">
        <v>0</v>
      </c>
    </row>
    <row r="2212">
      <c r="A2212" s="71" t="n">
        <v>42002</v>
      </c>
      <c r="B2212" s="72" t="n">
        <v>0.25</v>
      </c>
      <c r="C2212" s="71" t="n">
        <v>42002</v>
      </c>
      <c r="D2212" s="72" t="n">
        <v>0</v>
      </c>
    </row>
    <row r="2213">
      <c r="A2213" s="71" t="n">
        <v>42003</v>
      </c>
      <c r="B2213" s="72" t="n">
        <v>0.25</v>
      </c>
      <c r="C2213" s="71" t="n">
        <v>42003</v>
      </c>
      <c r="D2213" s="72" t="n">
        <v>0</v>
      </c>
    </row>
    <row r="2214">
      <c r="A2214" s="71" t="n">
        <v>42004</v>
      </c>
      <c r="B2214" s="72" t="n">
        <v>0.25</v>
      </c>
      <c r="C2214" s="71" t="n">
        <v>42004</v>
      </c>
      <c r="D2214" s="72" t="n">
        <v>0</v>
      </c>
    </row>
    <row r="2215">
      <c r="A2215" s="71" t="n">
        <v>42005</v>
      </c>
      <c r="B2215" s="72" t="n">
        <v>0.25</v>
      </c>
      <c r="C2215" s="71" t="n">
        <v>42005</v>
      </c>
      <c r="D2215" s="72" t="n">
        <v>0</v>
      </c>
    </row>
    <row r="2216">
      <c r="A2216" s="71" t="n">
        <v>42006</v>
      </c>
      <c r="B2216" s="72" t="n">
        <v>0.25</v>
      </c>
      <c r="C2216" s="71" t="n">
        <v>42006</v>
      </c>
      <c r="D2216" s="72" t="n">
        <v>0</v>
      </c>
    </row>
    <row r="2217">
      <c r="A2217" s="71" t="n">
        <v>42007</v>
      </c>
      <c r="B2217" s="72" t="n">
        <v>0.25</v>
      </c>
      <c r="C2217" s="71" t="n">
        <v>42007</v>
      </c>
      <c r="D2217" s="72" t="n">
        <v>0</v>
      </c>
    </row>
    <row r="2218">
      <c r="A2218" s="71" t="n">
        <v>42008</v>
      </c>
      <c r="B2218" s="72" t="n">
        <v>0.25</v>
      </c>
      <c r="C2218" s="71" t="n">
        <v>42008</v>
      </c>
      <c r="D2218" s="72" t="n">
        <v>0</v>
      </c>
    </row>
    <row r="2219">
      <c r="A2219" s="71" t="n">
        <v>42009</v>
      </c>
      <c r="B2219" s="72" t="n">
        <v>0.25</v>
      </c>
      <c r="C2219" s="71" t="n">
        <v>42009</v>
      </c>
      <c r="D2219" s="72" t="n">
        <v>0</v>
      </c>
    </row>
    <row r="2220">
      <c r="A2220" s="71" t="n">
        <v>42010</v>
      </c>
      <c r="B2220" s="72" t="n">
        <v>0.25</v>
      </c>
      <c r="C2220" s="71" t="n">
        <v>42010</v>
      </c>
      <c r="D2220" s="72" t="n">
        <v>0</v>
      </c>
    </row>
    <row r="2221">
      <c r="A2221" s="71" t="n">
        <v>42011</v>
      </c>
      <c r="B2221" s="72" t="n">
        <v>0.25</v>
      </c>
      <c r="C2221" s="71" t="n">
        <v>42011</v>
      </c>
      <c r="D2221" s="72" t="n">
        <v>0</v>
      </c>
    </row>
    <row r="2222">
      <c r="A2222" s="71" t="n">
        <v>42012</v>
      </c>
      <c r="B2222" s="72" t="n">
        <v>0.25</v>
      </c>
      <c r="C2222" s="71" t="n">
        <v>42012</v>
      </c>
      <c r="D2222" s="72" t="n">
        <v>0</v>
      </c>
    </row>
    <row r="2223">
      <c r="A2223" s="71" t="n">
        <v>42013</v>
      </c>
      <c r="B2223" s="72" t="n">
        <v>0.25</v>
      </c>
      <c r="C2223" s="71" t="n">
        <v>42013</v>
      </c>
      <c r="D2223" s="72" t="n">
        <v>0</v>
      </c>
    </row>
    <row r="2224">
      <c r="A2224" s="71" t="n">
        <v>42014</v>
      </c>
      <c r="B2224" s="72" t="n">
        <v>0.25</v>
      </c>
      <c r="C2224" s="71" t="n">
        <v>42014</v>
      </c>
      <c r="D2224" s="72" t="n">
        <v>0</v>
      </c>
    </row>
    <row r="2225">
      <c r="A2225" s="71" t="n">
        <v>42015</v>
      </c>
      <c r="B2225" s="72" t="n">
        <v>0.25</v>
      </c>
      <c r="C2225" s="71" t="n">
        <v>42015</v>
      </c>
      <c r="D2225" s="72" t="n">
        <v>0</v>
      </c>
    </row>
    <row r="2226">
      <c r="A2226" s="71" t="n">
        <v>42016</v>
      </c>
      <c r="B2226" s="72" t="n">
        <v>0.25</v>
      </c>
      <c r="C2226" s="71" t="n">
        <v>42016</v>
      </c>
      <c r="D2226" s="72" t="n">
        <v>0</v>
      </c>
    </row>
    <row r="2227">
      <c r="A2227" s="71" t="n">
        <v>42017</v>
      </c>
      <c r="B2227" s="72" t="n">
        <v>0.25</v>
      </c>
      <c r="C2227" s="71" t="n">
        <v>42017</v>
      </c>
      <c r="D2227" s="72" t="n">
        <v>0</v>
      </c>
    </row>
    <row r="2228">
      <c r="A2228" s="71" t="n">
        <v>42018</v>
      </c>
      <c r="B2228" s="72" t="n">
        <v>0.25</v>
      </c>
      <c r="C2228" s="71" t="n">
        <v>42018</v>
      </c>
      <c r="D2228" s="72" t="n">
        <v>0</v>
      </c>
    </row>
    <row r="2229">
      <c r="A2229" s="71" t="n">
        <v>42019</v>
      </c>
      <c r="B2229" s="72" t="n">
        <v>0.25</v>
      </c>
      <c r="C2229" s="71" t="n">
        <v>42019</v>
      </c>
      <c r="D2229" s="72" t="n">
        <v>0</v>
      </c>
    </row>
    <row r="2230">
      <c r="A2230" s="71" t="n">
        <v>42020</v>
      </c>
      <c r="B2230" s="72" t="n">
        <v>0.25</v>
      </c>
      <c r="C2230" s="71" t="n">
        <v>42020</v>
      </c>
      <c r="D2230" s="72" t="n">
        <v>0</v>
      </c>
    </row>
    <row r="2231">
      <c r="A2231" s="71" t="n">
        <v>42021</v>
      </c>
      <c r="B2231" s="72" t="n">
        <v>0.25</v>
      </c>
      <c r="C2231" s="71" t="n">
        <v>42021</v>
      </c>
      <c r="D2231" s="72" t="n">
        <v>0</v>
      </c>
    </row>
    <row r="2232">
      <c r="A2232" s="71" t="n">
        <v>42022</v>
      </c>
      <c r="B2232" s="72" t="n">
        <v>0.25</v>
      </c>
      <c r="C2232" s="71" t="n">
        <v>42022</v>
      </c>
      <c r="D2232" s="72" t="n">
        <v>0</v>
      </c>
    </row>
    <row r="2233">
      <c r="A2233" s="71" t="n">
        <v>42023</v>
      </c>
      <c r="B2233" s="72" t="n">
        <v>0.25</v>
      </c>
      <c r="C2233" s="71" t="n">
        <v>42023</v>
      </c>
      <c r="D2233" s="72" t="n">
        <v>0</v>
      </c>
    </row>
    <row r="2234">
      <c r="A2234" s="71" t="n">
        <v>42024</v>
      </c>
      <c r="B2234" s="72" t="n">
        <v>0.25</v>
      </c>
      <c r="C2234" s="71" t="n">
        <v>42024</v>
      </c>
      <c r="D2234" s="72" t="n">
        <v>0</v>
      </c>
    </row>
    <row r="2235">
      <c r="A2235" s="71" t="n">
        <v>42025</v>
      </c>
      <c r="B2235" s="72" t="n">
        <v>0.25</v>
      </c>
      <c r="C2235" s="71" t="n">
        <v>42025</v>
      </c>
      <c r="D2235" s="72" t="n">
        <v>0</v>
      </c>
    </row>
    <row r="2236">
      <c r="A2236" s="71" t="n">
        <v>42026</v>
      </c>
      <c r="B2236" s="72" t="n">
        <v>0.25</v>
      </c>
      <c r="C2236" s="71" t="n">
        <v>42026</v>
      </c>
      <c r="D2236" s="72" t="n">
        <v>0</v>
      </c>
    </row>
    <row r="2237">
      <c r="A2237" s="71" t="n">
        <v>42027</v>
      </c>
      <c r="B2237" s="72" t="n">
        <v>0.25</v>
      </c>
      <c r="C2237" s="71" t="n">
        <v>42027</v>
      </c>
      <c r="D2237" s="72" t="n">
        <v>0</v>
      </c>
    </row>
    <row r="2238">
      <c r="A2238" s="71" t="n">
        <v>42028</v>
      </c>
      <c r="B2238" s="72" t="n">
        <v>0.25</v>
      </c>
      <c r="C2238" s="71" t="n">
        <v>42028</v>
      </c>
      <c r="D2238" s="72" t="n">
        <v>0</v>
      </c>
    </row>
    <row r="2239">
      <c r="A2239" s="71" t="n">
        <v>42029</v>
      </c>
      <c r="B2239" s="72" t="n">
        <v>0.25</v>
      </c>
      <c r="C2239" s="71" t="n">
        <v>42029</v>
      </c>
      <c r="D2239" s="72" t="n">
        <v>0</v>
      </c>
    </row>
    <row r="2240">
      <c r="A2240" s="71" t="n">
        <v>42030</v>
      </c>
      <c r="B2240" s="72" t="n">
        <v>0.25</v>
      </c>
      <c r="C2240" s="71" t="n">
        <v>42030</v>
      </c>
      <c r="D2240" s="72" t="n">
        <v>0</v>
      </c>
    </row>
    <row r="2241">
      <c r="A2241" s="71" t="n">
        <v>42031</v>
      </c>
      <c r="B2241" s="72" t="n">
        <v>0.25</v>
      </c>
      <c r="C2241" s="71" t="n">
        <v>42031</v>
      </c>
      <c r="D2241" s="72" t="n">
        <v>0</v>
      </c>
    </row>
    <row r="2242">
      <c r="A2242" s="71" t="n">
        <v>42032</v>
      </c>
      <c r="B2242" s="72" t="n">
        <v>0.25</v>
      </c>
      <c r="C2242" s="71" t="n">
        <v>42032</v>
      </c>
      <c r="D2242" s="72" t="n">
        <v>0</v>
      </c>
    </row>
    <row r="2243">
      <c r="A2243" s="71" t="n">
        <v>42033</v>
      </c>
      <c r="B2243" s="72" t="n">
        <v>0.25</v>
      </c>
      <c r="C2243" s="71" t="n">
        <v>42033</v>
      </c>
      <c r="D2243" s="72" t="n">
        <v>0</v>
      </c>
    </row>
    <row r="2244">
      <c r="A2244" s="71" t="n">
        <v>42034</v>
      </c>
      <c r="B2244" s="72" t="n">
        <v>0.25</v>
      </c>
      <c r="C2244" s="71" t="n">
        <v>42034</v>
      </c>
      <c r="D2244" s="72" t="n">
        <v>0</v>
      </c>
    </row>
    <row r="2245">
      <c r="A2245" s="71" t="n">
        <v>42035</v>
      </c>
      <c r="B2245" s="72" t="n">
        <v>0.25</v>
      </c>
      <c r="C2245" s="71" t="n">
        <v>42035</v>
      </c>
      <c r="D2245" s="72" t="n">
        <v>0</v>
      </c>
    </row>
    <row r="2246">
      <c r="A2246" s="71" t="n">
        <v>42036</v>
      </c>
      <c r="B2246" s="72" t="n">
        <v>0.25</v>
      </c>
      <c r="C2246" s="71" t="n">
        <v>42036</v>
      </c>
      <c r="D2246" s="72" t="n">
        <v>0</v>
      </c>
    </row>
    <row r="2247">
      <c r="A2247" s="71" t="n">
        <v>42037</v>
      </c>
      <c r="B2247" s="72" t="n">
        <v>0.25</v>
      </c>
      <c r="C2247" s="71" t="n">
        <v>42037</v>
      </c>
      <c r="D2247" s="72" t="n">
        <v>0</v>
      </c>
    </row>
    <row r="2248">
      <c r="A2248" s="71" t="n">
        <v>42038</v>
      </c>
      <c r="B2248" s="72" t="n">
        <v>0.25</v>
      </c>
      <c r="C2248" s="71" t="n">
        <v>42038</v>
      </c>
      <c r="D2248" s="72" t="n">
        <v>0</v>
      </c>
    </row>
    <row r="2249">
      <c r="A2249" s="71" t="n">
        <v>42039</v>
      </c>
      <c r="B2249" s="72" t="n">
        <v>0.25</v>
      </c>
      <c r="C2249" s="71" t="n">
        <v>42039</v>
      </c>
      <c r="D2249" s="72" t="n">
        <v>0</v>
      </c>
    </row>
    <row r="2250">
      <c r="A2250" s="71" t="n">
        <v>42040</v>
      </c>
      <c r="B2250" s="72" t="n">
        <v>0.25</v>
      </c>
      <c r="C2250" s="71" t="n">
        <v>42040</v>
      </c>
      <c r="D2250" s="72" t="n">
        <v>0</v>
      </c>
    </row>
    <row r="2251">
      <c r="A2251" s="71" t="n">
        <v>42041</v>
      </c>
      <c r="B2251" s="72" t="n">
        <v>0.25</v>
      </c>
      <c r="C2251" s="71" t="n">
        <v>42041</v>
      </c>
      <c r="D2251" s="72" t="n">
        <v>0</v>
      </c>
    </row>
    <row r="2252">
      <c r="A2252" s="71" t="n">
        <v>42042</v>
      </c>
      <c r="B2252" s="72" t="n">
        <v>0.25</v>
      </c>
      <c r="C2252" s="71" t="n">
        <v>42042</v>
      </c>
      <c r="D2252" s="72" t="n">
        <v>0</v>
      </c>
    </row>
    <row r="2253">
      <c r="A2253" s="71" t="n">
        <v>42043</v>
      </c>
      <c r="B2253" s="72" t="n">
        <v>0.25</v>
      </c>
      <c r="C2253" s="71" t="n">
        <v>42043</v>
      </c>
      <c r="D2253" s="72" t="n">
        <v>0</v>
      </c>
    </row>
    <row r="2254">
      <c r="A2254" s="71" t="n">
        <v>42044</v>
      </c>
      <c r="B2254" s="72" t="n">
        <v>0.25</v>
      </c>
      <c r="C2254" s="71" t="n">
        <v>42044</v>
      </c>
      <c r="D2254" s="72" t="n">
        <v>0</v>
      </c>
    </row>
    <row r="2255">
      <c r="A2255" s="71" t="n">
        <v>42045</v>
      </c>
      <c r="B2255" s="72" t="n">
        <v>0.25</v>
      </c>
      <c r="C2255" s="71" t="n">
        <v>42045</v>
      </c>
      <c r="D2255" s="72" t="n">
        <v>0</v>
      </c>
    </row>
    <row r="2256">
      <c r="A2256" s="71" t="n">
        <v>42046</v>
      </c>
      <c r="B2256" s="72" t="n">
        <v>0.25</v>
      </c>
      <c r="C2256" s="71" t="n">
        <v>42046</v>
      </c>
      <c r="D2256" s="72" t="n">
        <v>0</v>
      </c>
    </row>
    <row r="2257">
      <c r="A2257" s="71" t="n">
        <v>42047</v>
      </c>
      <c r="B2257" s="72" t="n">
        <v>0.25</v>
      </c>
      <c r="C2257" s="71" t="n">
        <v>42047</v>
      </c>
      <c r="D2257" s="72" t="n">
        <v>0</v>
      </c>
    </row>
    <row r="2258">
      <c r="A2258" s="71" t="n">
        <v>42048</v>
      </c>
      <c r="B2258" s="72" t="n">
        <v>0.25</v>
      </c>
      <c r="C2258" s="71" t="n">
        <v>42048</v>
      </c>
      <c r="D2258" s="72" t="n">
        <v>0</v>
      </c>
    </row>
    <row r="2259">
      <c r="A2259" s="71" t="n">
        <v>42049</v>
      </c>
      <c r="B2259" s="72" t="n">
        <v>0.25</v>
      </c>
      <c r="C2259" s="71" t="n">
        <v>42049</v>
      </c>
      <c r="D2259" s="72" t="n">
        <v>0</v>
      </c>
    </row>
    <row r="2260">
      <c r="A2260" s="71" t="n">
        <v>42050</v>
      </c>
      <c r="B2260" s="72" t="n">
        <v>0.25</v>
      </c>
      <c r="C2260" s="71" t="n">
        <v>42050</v>
      </c>
      <c r="D2260" s="72" t="n">
        <v>0</v>
      </c>
    </row>
    <row r="2261">
      <c r="A2261" s="71" t="n">
        <v>42051</v>
      </c>
      <c r="B2261" s="72" t="n">
        <v>0.25</v>
      </c>
      <c r="C2261" s="71" t="n">
        <v>42051</v>
      </c>
      <c r="D2261" s="72" t="n">
        <v>0</v>
      </c>
    </row>
    <row r="2262">
      <c r="A2262" s="71" t="n">
        <v>42052</v>
      </c>
      <c r="B2262" s="72" t="n">
        <v>0.25</v>
      </c>
      <c r="C2262" s="71" t="n">
        <v>42052</v>
      </c>
      <c r="D2262" s="72" t="n">
        <v>0</v>
      </c>
    </row>
    <row r="2263">
      <c r="A2263" s="71" t="n">
        <v>42053</v>
      </c>
      <c r="B2263" s="72" t="n">
        <v>0.25</v>
      </c>
      <c r="C2263" s="71" t="n">
        <v>42053</v>
      </c>
      <c r="D2263" s="72" t="n">
        <v>0</v>
      </c>
    </row>
    <row r="2264">
      <c r="A2264" s="71" t="n">
        <v>42054</v>
      </c>
      <c r="B2264" s="72" t="n">
        <v>0.25</v>
      </c>
      <c r="C2264" s="71" t="n">
        <v>42054</v>
      </c>
      <c r="D2264" s="72" t="n">
        <v>0</v>
      </c>
    </row>
    <row r="2265">
      <c r="A2265" s="71" t="n">
        <v>42055</v>
      </c>
      <c r="B2265" s="72" t="n">
        <v>0.25</v>
      </c>
      <c r="C2265" s="71" t="n">
        <v>42055</v>
      </c>
      <c r="D2265" s="72" t="n">
        <v>0</v>
      </c>
    </row>
    <row r="2266">
      <c r="A2266" s="71" t="n">
        <v>42056</v>
      </c>
      <c r="B2266" s="72" t="n">
        <v>0.25</v>
      </c>
      <c r="C2266" s="71" t="n">
        <v>42056</v>
      </c>
      <c r="D2266" s="72" t="n">
        <v>0</v>
      </c>
    </row>
    <row r="2267">
      <c r="A2267" s="71" t="n">
        <v>42057</v>
      </c>
      <c r="B2267" s="72" t="n">
        <v>0.25</v>
      </c>
      <c r="C2267" s="71" t="n">
        <v>42057</v>
      </c>
      <c r="D2267" s="72" t="n">
        <v>0</v>
      </c>
    </row>
    <row r="2268">
      <c r="A2268" s="71" t="n">
        <v>42058</v>
      </c>
      <c r="B2268" s="72" t="n">
        <v>0.25</v>
      </c>
      <c r="C2268" s="71" t="n">
        <v>42058</v>
      </c>
      <c r="D2268" s="72" t="n">
        <v>0</v>
      </c>
    </row>
    <row r="2269">
      <c r="A2269" s="71" t="n">
        <v>42059</v>
      </c>
      <c r="B2269" s="72" t="n">
        <v>0.25</v>
      </c>
      <c r="C2269" s="71" t="n">
        <v>42059</v>
      </c>
      <c r="D2269" s="72" t="n">
        <v>0</v>
      </c>
    </row>
    <row r="2270">
      <c r="A2270" s="71" t="n">
        <v>42060</v>
      </c>
      <c r="B2270" s="72" t="n">
        <v>0.25</v>
      </c>
      <c r="C2270" s="71" t="n">
        <v>42060</v>
      </c>
      <c r="D2270" s="72" t="n">
        <v>0</v>
      </c>
    </row>
    <row r="2271">
      <c r="A2271" s="71" t="n">
        <v>42061</v>
      </c>
      <c r="B2271" s="72" t="n">
        <v>0.25</v>
      </c>
      <c r="C2271" s="71" t="n">
        <v>42061</v>
      </c>
      <c r="D2271" s="72" t="n">
        <v>0</v>
      </c>
    </row>
    <row r="2272">
      <c r="A2272" s="71" t="n">
        <v>42062</v>
      </c>
      <c r="B2272" s="72" t="n">
        <v>0.25</v>
      </c>
      <c r="C2272" s="71" t="n">
        <v>42062</v>
      </c>
      <c r="D2272" s="72" t="n">
        <v>0</v>
      </c>
    </row>
    <row r="2273">
      <c r="A2273" s="71" t="n">
        <v>42063</v>
      </c>
      <c r="B2273" s="72" t="n">
        <v>0.25</v>
      </c>
      <c r="C2273" s="71" t="n">
        <v>42063</v>
      </c>
      <c r="D2273" s="72" t="n">
        <v>0</v>
      </c>
    </row>
    <row r="2274">
      <c r="A2274" s="71" t="n">
        <v>42064</v>
      </c>
      <c r="B2274" s="72" t="n">
        <v>0.25</v>
      </c>
      <c r="C2274" s="71" t="n">
        <v>42064</v>
      </c>
      <c r="D2274" s="72" t="n">
        <v>0</v>
      </c>
    </row>
    <row r="2275">
      <c r="A2275" s="71" t="n">
        <v>42065</v>
      </c>
      <c r="B2275" s="72" t="n">
        <v>0.25</v>
      </c>
      <c r="C2275" s="71" t="n">
        <v>42065</v>
      </c>
      <c r="D2275" s="72" t="n">
        <v>0</v>
      </c>
    </row>
    <row r="2276">
      <c r="A2276" s="71" t="n">
        <v>42066</v>
      </c>
      <c r="B2276" s="72" t="n">
        <v>0.25</v>
      </c>
      <c r="C2276" s="71" t="n">
        <v>42066</v>
      </c>
      <c r="D2276" s="72" t="n">
        <v>0</v>
      </c>
    </row>
    <row r="2277">
      <c r="A2277" s="71" t="n">
        <v>42067</v>
      </c>
      <c r="B2277" s="72" t="n">
        <v>0.25</v>
      </c>
      <c r="C2277" s="71" t="n">
        <v>42067</v>
      </c>
      <c r="D2277" s="72" t="n">
        <v>0</v>
      </c>
    </row>
    <row r="2278">
      <c r="A2278" s="71" t="n">
        <v>42068</v>
      </c>
      <c r="B2278" s="72" t="n">
        <v>0.25</v>
      </c>
      <c r="C2278" s="71" t="n">
        <v>42068</v>
      </c>
      <c r="D2278" s="72" t="n">
        <v>0</v>
      </c>
    </row>
    <row r="2279">
      <c r="A2279" s="71" t="n">
        <v>42069</v>
      </c>
      <c r="B2279" s="72" t="n">
        <v>0.25</v>
      </c>
      <c r="C2279" s="71" t="n">
        <v>42069</v>
      </c>
      <c r="D2279" s="72" t="n">
        <v>0</v>
      </c>
    </row>
    <row r="2280">
      <c r="A2280" s="71" t="n">
        <v>42070</v>
      </c>
      <c r="B2280" s="72" t="n">
        <v>0.25</v>
      </c>
      <c r="C2280" s="71" t="n">
        <v>42070</v>
      </c>
      <c r="D2280" s="72" t="n">
        <v>0</v>
      </c>
    </row>
    <row r="2281">
      <c r="A2281" s="71" t="n">
        <v>42071</v>
      </c>
      <c r="B2281" s="72" t="n">
        <v>0.25</v>
      </c>
      <c r="C2281" s="71" t="n">
        <v>42071</v>
      </c>
      <c r="D2281" s="72" t="n">
        <v>0</v>
      </c>
    </row>
    <row r="2282">
      <c r="A2282" s="71" t="n">
        <v>42072</v>
      </c>
      <c r="B2282" s="72" t="n">
        <v>0.25</v>
      </c>
      <c r="C2282" s="71" t="n">
        <v>42072</v>
      </c>
      <c r="D2282" s="72" t="n">
        <v>0</v>
      </c>
    </row>
    <row r="2283">
      <c r="A2283" s="71" t="n">
        <v>42073</v>
      </c>
      <c r="B2283" s="72" t="n">
        <v>0.25</v>
      </c>
      <c r="C2283" s="71" t="n">
        <v>42073</v>
      </c>
      <c r="D2283" s="72" t="n">
        <v>0</v>
      </c>
    </row>
    <row r="2284">
      <c r="A2284" s="71" t="n">
        <v>42074</v>
      </c>
      <c r="B2284" s="72" t="n">
        <v>0.25</v>
      </c>
      <c r="C2284" s="71" t="n">
        <v>42074</v>
      </c>
      <c r="D2284" s="72" t="n">
        <v>0</v>
      </c>
    </row>
    <row r="2285">
      <c r="A2285" s="71" t="n">
        <v>42075</v>
      </c>
      <c r="B2285" s="72" t="n">
        <v>0.25</v>
      </c>
      <c r="C2285" s="71" t="n">
        <v>42075</v>
      </c>
      <c r="D2285" s="72" t="n">
        <v>0</v>
      </c>
    </row>
    <row r="2286">
      <c r="A2286" s="71" t="n">
        <v>42076</v>
      </c>
      <c r="B2286" s="72" t="n">
        <v>0.25</v>
      </c>
      <c r="C2286" s="71" t="n">
        <v>42076</v>
      </c>
      <c r="D2286" s="72" t="n">
        <v>0</v>
      </c>
    </row>
    <row r="2287">
      <c r="A2287" s="71" t="n">
        <v>42077</v>
      </c>
      <c r="B2287" s="72" t="n">
        <v>0.25</v>
      </c>
      <c r="C2287" s="71" t="n">
        <v>42077</v>
      </c>
      <c r="D2287" s="72" t="n">
        <v>0</v>
      </c>
    </row>
    <row r="2288">
      <c r="A2288" s="71" t="n">
        <v>42078</v>
      </c>
      <c r="B2288" s="72" t="n">
        <v>0.25</v>
      </c>
      <c r="C2288" s="71" t="n">
        <v>42078</v>
      </c>
      <c r="D2288" s="72" t="n">
        <v>0</v>
      </c>
    </row>
    <row r="2289">
      <c r="A2289" s="71" t="n">
        <v>42079</v>
      </c>
      <c r="B2289" s="72" t="n">
        <v>0.25</v>
      </c>
      <c r="C2289" s="71" t="n">
        <v>42079</v>
      </c>
      <c r="D2289" s="72" t="n">
        <v>0</v>
      </c>
    </row>
    <row r="2290">
      <c r="A2290" s="71" t="n">
        <v>42080</v>
      </c>
      <c r="B2290" s="72" t="n">
        <v>0.25</v>
      </c>
      <c r="C2290" s="71" t="n">
        <v>42080</v>
      </c>
      <c r="D2290" s="72" t="n">
        <v>0</v>
      </c>
    </row>
    <row r="2291">
      <c r="A2291" s="71" t="n">
        <v>42081</v>
      </c>
      <c r="B2291" s="72" t="n">
        <v>0.25</v>
      </c>
      <c r="C2291" s="71" t="n">
        <v>42081</v>
      </c>
      <c r="D2291" s="72" t="n">
        <v>0</v>
      </c>
    </row>
    <row r="2292">
      <c r="A2292" s="71" t="n">
        <v>42082</v>
      </c>
      <c r="B2292" s="72" t="n">
        <v>0.25</v>
      </c>
      <c r="C2292" s="71" t="n">
        <v>42082</v>
      </c>
      <c r="D2292" s="72" t="n">
        <v>0</v>
      </c>
    </row>
    <row r="2293">
      <c r="A2293" s="71" t="n">
        <v>42083</v>
      </c>
      <c r="B2293" s="72" t="n">
        <v>0.25</v>
      </c>
      <c r="C2293" s="71" t="n">
        <v>42083</v>
      </c>
      <c r="D2293" s="72" t="n">
        <v>0</v>
      </c>
    </row>
    <row r="2294">
      <c r="A2294" s="71" t="n">
        <v>42084</v>
      </c>
      <c r="B2294" s="72" t="n">
        <v>0.25</v>
      </c>
      <c r="C2294" s="71" t="n">
        <v>42084</v>
      </c>
      <c r="D2294" s="72" t="n">
        <v>0</v>
      </c>
    </row>
    <row r="2295">
      <c r="A2295" s="71" t="n">
        <v>42085</v>
      </c>
      <c r="B2295" s="72" t="n">
        <v>0.25</v>
      </c>
      <c r="C2295" s="71" t="n">
        <v>42085</v>
      </c>
      <c r="D2295" s="72" t="n">
        <v>0</v>
      </c>
    </row>
    <row r="2296">
      <c r="A2296" s="71" t="n">
        <v>42086</v>
      </c>
      <c r="B2296" s="72" t="n">
        <v>0.25</v>
      </c>
      <c r="C2296" s="71" t="n">
        <v>42086</v>
      </c>
      <c r="D2296" s="72" t="n">
        <v>0</v>
      </c>
    </row>
    <row r="2297">
      <c r="A2297" s="71" t="n">
        <v>42087</v>
      </c>
      <c r="B2297" s="72" t="n">
        <v>0.25</v>
      </c>
      <c r="C2297" s="71" t="n">
        <v>42087</v>
      </c>
      <c r="D2297" s="72" t="n">
        <v>0</v>
      </c>
    </row>
    <row r="2298">
      <c r="A2298" s="71" t="n">
        <v>42088</v>
      </c>
      <c r="B2298" s="72" t="n">
        <v>0.25</v>
      </c>
      <c r="C2298" s="71" t="n">
        <v>42088</v>
      </c>
      <c r="D2298" s="72" t="n">
        <v>0</v>
      </c>
    </row>
    <row r="2299">
      <c r="A2299" s="71" t="n">
        <v>42089</v>
      </c>
      <c r="B2299" s="72" t="n">
        <v>0.25</v>
      </c>
      <c r="C2299" s="71" t="n">
        <v>42089</v>
      </c>
      <c r="D2299" s="72" t="n">
        <v>0</v>
      </c>
    </row>
    <row r="2300">
      <c r="A2300" s="71" t="n">
        <v>42090</v>
      </c>
      <c r="B2300" s="72" t="n">
        <v>0.25</v>
      </c>
      <c r="C2300" s="71" t="n">
        <v>42090</v>
      </c>
      <c r="D2300" s="72" t="n">
        <v>0</v>
      </c>
    </row>
    <row r="2301">
      <c r="A2301" s="71" t="n">
        <v>42091</v>
      </c>
      <c r="B2301" s="72" t="n">
        <v>0.25</v>
      </c>
      <c r="C2301" s="71" t="n">
        <v>42091</v>
      </c>
      <c r="D2301" s="72" t="n">
        <v>0</v>
      </c>
    </row>
    <row r="2302">
      <c r="A2302" s="71" t="n">
        <v>42092</v>
      </c>
      <c r="B2302" s="72" t="n">
        <v>0.25</v>
      </c>
      <c r="C2302" s="71" t="n">
        <v>42092</v>
      </c>
      <c r="D2302" s="72" t="n">
        <v>0</v>
      </c>
    </row>
    <row r="2303">
      <c r="A2303" s="71" t="n">
        <v>42093</v>
      </c>
      <c r="B2303" s="72" t="n">
        <v>0.25</v>
      </c>
      <c r="C2303" s="71" t="n">
        <v>42093</v>
      </c>
      <c r="D2303" s="72" t="n">
        <v>0</v>
      </c>
    </row>
    <row r="2304">
      <c r="A2304" s="71" t="n">
        <v>42094</v>
      </c>
      <c r="B2304" s="72" t="n">
        <v>0.25</v>
      </c>
      <c r="C2304" s="71" t="n">
        <v>42094</v>
      </c>
      <c r="D2304" s="72" t="n">
        <v>0</v>
      </c>
    </row>
    <row r="2305">
      <c r="A2305" s="71" t="n">
        <v>42095</v>
      </c>
      <c r="B2305" s="72" t="n">
        <v>0.25</v>
      </c>
      <c r="C2305" s="71" t="n">
        <v>42095</v>
      </c>
      <c r="D2305" s="72" t="n">
        <v>0</v>
      </c>
    </row>
    <row r="2306">
      <c r="A2306" s="71" t="n">
        <v>42096</v>
      </c>
      <c r="B2306" s="72" t="n">
        <v>0.25</v>
      </c>
      <c r="C2306" s="71" t="n">
        <v>42096</v>
      </c>
      <c r="D2306" s="72" t="n">
        <v>0</v>
      </c>
    </row>
    <row r="2307">
      <c r="A2307" s="71" t="n">
        <v>42097</v>
      </c>
      <c r="B2307" s="72" t="n">
        <v>0.25</v>
      </c>
      <c r="C2307" s="71" t="n">
        <v>42097</v>
      </c>
      <c r="D2307" s="72" t="n">
        <v>0</v>
      </c>
    </row>
    <row r="2308">
      <c r="A2308" s="71" t="n">
        <v>42098</v>
      </c>
      <c r="B2308" s="72" t="n">
        <v>0.25</v>
      </c>
      <c r="C2308" s="71" t="n">
        <v>42098</v>
      </c>
      <c r="D2308" s="72" t="n">
        <v>0</v>
      </c>
    </row>
    <row r="2309">
      <c r="A2309" s="71" t="n">
        <v>42099</v>
      </c>
      <c r="B2309" s="72" t="n">
        <v>0.25</v>
      </c>
      <c r="C2309" s="71" t="n">
        <v>42099</v>
      </c>
      <c r="D2309" s="72" t="n">
        <v>0</v>
      </c>
    </row>
    <row r="2310">
      <c r="A2310" s="71" t="n">
        <v>42100</v>
      </c>
      <c r="B2310" s="72" t="n">
        <v>0.25</v>
      </c>
      <c r="C2310" s="71" t="n">
        <v>42100</v>
      </c>
      <c r="D2310" s="72" t="n">
        <v>0</v>
      </c>
    </row>
    <row r="2311">
      <c r="A2311" s="71" t="n">
        <v>42101</v>
      </c>
      <c r="B2311" s="72" t="n">
        <v>0.25</v>
      </c>
      <c r="C2311" s="71" t="n">
        <v>42101</v>
      </c>
      <c r="D2311" s="72" t="n">
        <v>0</v>
      </c>
    </row>
    <row r="2312">
      <c r="A2312" s="71" t="n">
        <v>42102</v>
      </c>
      <c r="B2312" s="72" t="n">
        <v>0.25</v>
      </c>
      <c r="C2312" s="71" t="n">
        <v>42102</v>
      </c>
      <c r="D2312" s="72" t="n">
        <v>0</v>
      </c>
    </row>
    <row r="2313">
      <c r="A2313" s="71" t="n">
        <v>42103</v>
      </c>
      <c r="B2313" s="72" t="n">
        <v>0.25</v>
      </c>
      <c r="C2313" s="71" t="n">
        <v>42103</v>
      </c>
      <c r="D2313" s="72" t="n">
        <v>0</v>
      </c>
    </row>
    <row r="2314">
      <c r="A2314" s="71" t="n">
        <v>42104</v>
      </c>
      <c r="B2314" s="72" t="n">
        <v>0.25</v>
      </c>
      <c r="C2314" s="71" t="n">
        <v>42104</v>
      </c>
      <c r="D2314" s="72" t="n">
        <v>0</v>
      </c>
    </row>
    <row r="2315">
      <c r="A2315" s="71" t="n">
        <v>42105</v>
      </c>
      <c r="B2315" s="72" t="n">
        <v>0.25</v>
      </c>
      <c r="C2315" s="71" t="n">
        <v>42105</v>
      </c>
      <c r="D2315" s="72" t="n">
        <v>0</v>
      </c>
    </row>
    <row r="2316">
      <c r="A2316" s="71" t="n">
        <v>42106</v>
      </c>
      <c r="B2316" s="72" t="n">
        <v>0.25</v>
      </c>
      <c r="C2316" s="71" t="n">
        <v>42106</v>
      </c>
      <c r="D2316" s="72" t="n">
        <v>0</v>
      </c>
    </row>
    <row r="2317">
      <c r="A2317" s="71" t="n">
        <v>42107</v>
      </c>
      <c r="B2317" s="72" t="n">
        <v>0.25</v>
      </c>
      <c r="C2317" s="71" t="n">
        <v>42107</v>
      </c>
      <c r="D2317" s="72" t="n">
        <v>0</v>
      </c>
    </row>
    <row r="2318">
      <c r="A2318" s="71" t="n">
        <v>42108</v>
      </c>
      <c r="B2318" s="72" t="n">
        <v>0.25</v>
      </c>
      <c r="C2318" s="71" t="n">
        <v>42108</v>
      </c>
      <c r="D2318" s="72" t="n">
        <v>0</v>
      </c>
    </row>
    <row r="2319">
      <c r="A2319" s="71" t="n">
        <v>42109</v>
      </c>
      <c r="B2319" s="72" t="n">
        <v>0.25</v>
      </c>
      <c r="C2319" s="71" t="n">
        <v>42109</v>
      </c>
      <c r="D2319" s="72" t="n">
        <v>0</v>
      </c>
    </row>
    <row r="2320">
      <c r="A2320" s="71" t="n">
        <v>42110</v>
      </c>
      <c r="B2320" s="72" t="n">
        <v>0.25</v>
      </c>
      <c r="C2320" s="71" t="n">
        <v>42110</v>
      </c>
      <c r="D2320" s="72" t="n">
        <v>0</v>
      </c>
    </row>
    <row r="2321">
      <c r="A2321" s="71" t="n">
        <v>42111</v>
      </c>
      <c r="B2321" s="72" t="n">
        <v>0.25</v>
      </c>
      <c r="C2321" s="71" t="n">
        <v>42111</v>
      </c>
      <c r="D2321" s="72" t="n">
        <v>0</v>
      </c>
    </row>
    <row r="2322">
      <c r="A2322" s="71" t="n">
        <v>42112</v>
      </c>
      <c r="B2322" s="72" t="n">
        <v>0.25</v>
      </c>
      <c r="C2322" s="71" t="n">
        <v>42112</v>
      </c>
      <c r="D2322" s="72" t="n">
        <v>0</v>
      </c>
    </row>
    <row r="2323">
      <c r="A2323" s="71" t="n">
        <v>42113</v>
      </c>
      <c r="B2323" s="72" t="n">
        <v>0.25</v>
      </c>
      <c r="C2323" s="71" t="n">
        <v>42113</v>
      </c>
      <c r="D2323" s="72" t="n">
        <v>0</v>
      </c>
    </row>
    <row r="2324">
      <c r="A2324" s="71" t="n">
        <v>42114</v>
      </c>
      <c r="B2324" s="72" t="n">
        <v>0.25</v>
      </c>
      <c r="C2324" s="71" t="n">
        <v>42114</v>
      </c>
      <c r="D2324" s="72" t="n">
        <v>0</v>
      </c>
    </row>
    <row r="2325">
      <c r="A2325" s="71" t="n">
        <v>42115</v>
      </c>
      <c r="B2325" s="72" t="n">
        <v>0.25</v>
      </c>
      <c r="C2325" s="71" t="n">
        <v>42115</v>
      </c>
      <c r="D2325" s="72" t="n">
        <v>0</v>
      </c>
    </row>
    <row r="2326">
      <c r="A2326" s="71" t="n">
        <v>42116</v>
      </c>
      <c r="B2326" s="72" t="n">
        <v>0.25</v>
      </c>
      <c r="C2326" s="71" t="n">
        <v>42116</v>
      </c>
      <c r="D2326" s="72" t="n">
        <v>0</v>
      </c>
    </row>
    <row r="2327">
      <c r="A2327" s="71" t="n">
        <v>42117</v>
      </c>
      <c r="B2327" s="72" t="n">
        <v>0.25</v>
      </c>
      <c r="C2327" s="71" t="n">
        <v>42117</v>
      </c>
      <c r="D2327" s="72" t="n">
        <v>0</v>
      </c>
    </row>
    <row r="2328">
      <c r="A2328" s="71" t="n">
        <v>42118</v>
      </c>
      <c r="B2328" s="72" t="n">
        <v>0.25</v>
      </c>
      <c r="C2328" s="71" t="n">
        <v>42118</v>
      </c>
      <c r="D2328" s="72" t="n">
        <v>0</v>
      </c>
    </row>
    <row r="2329">
      <c r="A2329" s="71" t="n">
        <v>42119</v>
      </c>
      <c r="B2329" s="72" t="n">
        <v>0.25</v>
      </c>
      <c r="C2329" s="71" t="n">
        <v>42119</v>
      </c>
      <c r="D2329" s="72" t="n">
        <v>0</v>
      </c>
    </row>
    <row r="2330">
      <c r="A2330" s="71" t="n">
        <v>42120</v>
      </c>
      <c r="B2330" s="72" t="n">
        <v>0.25</v>
      </c>
      <c r="C2330" s="71" t="n">
        <v>42120</v>
      </c>
      <c r="D2330" s="72" t="n">
        <v>0</v>
      </c>
    </row>
    <row r="2331">
      <c r="A2331" s="71" t="n">
        <v>42121</v>
      </c>
      <c r="B2331" s="72" t="n">
        <v>0.25</v>
      </c>
      <c r="C2331" s="71" t="n">
        <v>42121</v>
      </c>
      <c r="D2331" s="72" t="n">
        <v>0</v>
      </c>
    </row>
    <row r="2332">
      <c r="A2332" s="71" t="n">
        <v>42122</v>
      </c>
      <c r="B2332" s="72" t="n">
        <v>0.25</v>
      </c>
      <c r="C2332" s="71" t="n">
        <v>42122</v>
      </c>
      <c r="D2332" s="72" t="n">
        <v>0</v>
      </c>
    </row>
    <row r="2333">
      <c r="A2333" s="71" t="n">
        <v>42123</v>
      </c>
      <c r="B2333" s="72" t="n">
        <v>0.25</v>
      </c>
      <c r="C2333" s="71" t="n">
        <v>42123</v>
      </c>
      <c r="D2333" s="72" t="n">
        <v>0</v>
      </c>
    </row>
    <row r="2334">
      <c r="A2334" s="71" t="n">
        <v>42124</v>
      </c>
      <c r="B2334" s="72" t="n">
        <v>0.25</v>
      </c>
      <c r="C2334" s="71" t="n">
        <v>42124</v>
      </c>
      <c r="D2334" s="72" t="n">
        <v>0</v>
      </c>
    </row>
    <row r="2335">
      <c r="A2335" s="71" t="n">
        <v>42125</v>
      </c>
      <c r="B2335" s="72" t="n">
        <v>0.25</v>
      </c>
      <c r="C2335" s="71" t="n">
        <v>42125</v>
      </c>
      <c r="D2335" s="72" t="n">
        <v>0</v>
      </c>
    </row>
    <row r="2336">
      <c r="A2336" s="71" t="n">
        <v>42126</v>
      </c>
      <c r="B2336" s="72" t="n">
        <v>0.25</v>
      </c>
      <c r="C2336" s="71" t="n">
        <v>42126</v>
      </c>
      <c r="D2336" s="72" t="n">
        <v>0</v>
      </c>
    </row>
    <row r="2337">
      <c r="A2337" s="71" t="n">
        <v>42127</v>
      </c>
      <c r="B2337" s="72" t="n">
        <v>0.25</v>
      </c>
      <c r="C2337" s="71" t="n">
        <v>42127</v>
      </c>
      <c r="D2337" s="72" t="n">
        <v>0</v>
      </c>
    </row>
    <row r="2338">
      <c r="A2338" s="71" t="n">
        <v>42128</v>
      </c>
      <c r="B2338" s="72" t="n">
        <v>0.25</v>
      </c>
      <c r="C2338" s="71" t="n">
        <v>42128</v>
      </c>
      <c r="D2338" s="72" t="n">
        <v>0</v>
      </c>
    </row>
    <row r="2339">
      <c r="A2339" s="71" t="n">
        <v>42129</v>
      </c>
      <c r="B2339" s="72" t="n">
        <v>0.25</v>
      </c>
      <c r="C2339" s="71" t="n">
        <v>42129</v>
      </c>
      <c r="D2339" s="72" t="n">
        <v>0</v>
      </c>
    </row>
    <row r="2340">
      <c r="A2340" s="71" t="n">
        <v>42130</v>
      </c>
      <c r="B2340" s="72" t="n">
        <v>0.25</v>
      </c>
      <c r="C2340" s="71" t="n">
        <v>42130</v>
      </c>
      <c r="D2340" s="72" t="n">
        <v>0</v>
      </c>
    </row>
    <row r="2341">
      <c r="A2341" s="71" t="n">
        <v>42131</v>
      </c>
      <c r="B2341" s="72" t="n">
        <v>0.25</v>
      </c>
      <c r="C2341" s="71" t="n">
        <v>42131</v>
      </c>
      <c r="D2341" s="72" t="n">
        <v>0</v>
      </c>
    </row>
    <row r="2342">
      <c r="A2342" s="71" t="n">
        <v>42132</v>
      </c>
      <c r="B2342" s="72" t="n">
        <v>0.25</v>
      </c>
      <c r="C2342" s="71" t="n">
        <v>42132</v>
      </c>
      <c r="D2342" s="72" t="n">
        <v>0</v>
      </c>
    </row>
    <row r="2343">
      <c r="A2343" s="71" t="n">
        <v>42133</v>
      </c>
      <c r="B2343" s="72" t="n">
        <v>0.25</v>
      </c>
      <c r="C2343" s="71" t="n">
        <v>42133</v>
      </c>
      <c r="D2343" s="72" t="n">
        <v>0</v>
      </c>
    </row>
    <row r="2344">
      <c r="A2344" s="71" t="n">
        <v>42134</v>
      </c>
      <c r="B2344" s="72" t="n">
        <v>0.25</v>
      </c>
      <c r="C2344" s="71" t="n">
        <v>42134</v>
      </c>
      <c r="D2344" s="72" t="n">
        <v>0</v>
      </c>
    </row>
    <row r="2345">
      <c r="A2345" s="71" t="n">
        <v>42135</v>
      </c>
      <c r="B2345" s="72" t="n">
        <v>0.25</v>
      </c>
      <c r="C2345" s="71" t="n">
        <v>42135</v>
      </c>
      <c r="D2345" s="72" t="n">
        <v>0</v>
      </c>
    </row>
    <row r="2346">
      <c r="A2346" s="71" t="n">
        <v>42136</v>
      </c>
      <c r="B2346" s="72" t="n">
        <v>0.25</v>
      </c>
      <c r="C2346" s="71" t="n">
        <v>42136</v>
      </c>
      <c r="D2346" s="72" t="n">
        <v>0</v>
      </c>
    </row>
    <row r="2347">
      <c r="A2347" s="71" t="n">
        <v>42137</v>
      </c>
      <c r="B2347" s="72" t="n">
        <v>0.25</v>
      </c>
      <c r="C2347" s="71" t="n">
        <v>42137</v>
      </c>
      <c r="D2347" s="72" t="n">
        <v>0</v>
      </c>
    </row>
    <row r="2348">
      <c r="A2348" s="71" t="n">
        <v>42138</v>
      </c>
      <c r="B2348" s="72" t="n">
        <v>0.25</v>
      </c>
      <c r="C2348" s="71" t="n">
        <v>42138</v>
      </c>
      <c r="D2348" s="72" t="n">
        <v>0</v>
      </c>
    </row>
    <row r="2349">
      <c r="A2349" s="71" t="n">
        <v>42139</v>
      </c>
      <c r="B2349" s="72" t="n">
        <v>0.25</v>
      </c>
      <c r="C2349" s="71" t="n">
        <v>42139</v>
      </c>
      <c r="D2349" s="72" t="n">
        <v>0</v>
      </c>
    </row>
    <row r="2350">
      <c r="A2350" s="71" t="n">
        <v>42140</v>
      </c>
      <c r="B2350" s="72" t="n">
        <v>0.25</v>
      </c>
      <c r="C2350" s="71" t="n">
        <v>42140</v>
      </c>
      <c r="D2350" s="72" t="n">
        <v>0</v>
      </c>
    </row>
    <row r="2351">
      <c r="A2351" s="71" t="n">
        <v>42141</v>
      </c>
      <c r="B2351" s="72" t="n">
        <v>0.25</v>
      </c>
      <c r="C2351" s="71" t="n">
        <v>42141</v>
      </c>
      <c r="D2351" s="72" t="n">
        <v>0</v>
      </c>
    </row>
    <row r="2352">
      <c r="A2352" s="71" t="n">
        <v>42142</v>
      </c>
      <c r="B2352" s="72" t="n">
        <v>0.25</v>
      </c>
      <c r="C2352" s="71" t="n">
        <v>42142</v>
      </c>
      <c r="D2352" s="72" t="n">
        <v>0</v>
      </c>
    </row>
    <row r="2353">
      <c r="A2353" s="71" t="n">
        <v>42143</v>
      </c>
      <c r="B2353" s="72" t="n">
        <v>0.25</v>
      </c>
      <c r="C2353" s="71" t="n">
        <v>42143</v>
      </c>
      <c r="D2353" s="72" t="n">
        <v>0</v>
      </c>
    </row>
    <row r="2354">
      <c r="A2354" s="71" t="n">
        <v>42144</v>
      </c>
      <c r="B2354" s="72" t="n">
        <v>0.25</v>
      </c>
      <c r="C2354" s="71" t="n">
        <v>42144</v>
      </c>
      <c r="D2354" s="72" t="n">
        <v>0</v>
      </c>
    </row>
    <row r="2355">
      <c r="A2355" s="71" t="n">
        <v>42145</v>
      </c>
      <c r="B2355" s="72" t="n">
        <v>0.25</v>
      </c>
      <c r="C2355" s="71" t="n">
        <v>42145</v>
      </c>
      <c r="D2355" s="72" t="n">
        <v>0</v>
      </c>
    </row>
    <row r="2356">
      <c r="A2356" s="71" t="n">
        <v>42146</v>
      </c>
      <c r="B2356" s="72" t="n">
        <v>0.25</v>
      </c>
      <c r="C2356" s="71" t="n">
        <v>42146</v>
      </c>
      <c r="D2356" s="72" t="n">
        <v>0</v>
      </c>
    </row>
    <row r="2357">
      <c r="A2357" s="71" t="n">
        <v>42147</v>
      </c>
      <c r="B2357" s="72" t="n">
        <v>0.25</v>
      </c>
      <c r="C2357" s="71" t="n">
        <v>42147</v>
      </c>
      <c r="D2357" s="72" t="n">
        <v>0</v>
      </c>
    </row>
    <row r="2358">
      <c r="A2358" s="71" t="n">
        <v>42148</v>
      </c>
      <c r="B2358" s="72" t="n">
        <v>0.25</v>
      </c>
      <c r="C2358" s="71" t="n">
        <v>42148</v>
      </c>
      <c r="D2358" s="72" t="n">
        <v>0</v>
      </c>
    </row>
    <row r="2359">
      <c r="A2359" s="71" t="n">
        <v>42149</v>
      </c>
      <c r="B2359" s="72" t="n">
        <v>0.25</v>
      </c>
      <c r="C2359" s="71" t="n">
        <v>42149</v>
      </c>
      <c r="D2359" s="72" t="n">
        <v>0</v>
      </c>
    </row>
    <row r="2360">
      <c r="A2360" s="71" t="n">
        <v>42150</v>
      </c>
      <c r="B2360" s="72" t="n">
        <v>0.25</v>
      </c>
      <c r="C2360" s="71" t="n">
        <v>42150</v>
      </c>
      <c r="D2360" s="72" t="n">
        <v>0</v>
      </c>
    </row>
    <row r="2361">
      <c r="A2361" s="71" t="n">
        <v>42151</v>
      </c>
      <c r="B2361" s="72" t="n">
        <v>0.25</v>
      </c>
      <c r="C2361" s="71" t="n">
        <v>42151</v>
      </c>
      <c r="D2361" s="72" t="n">
        <v>0</v>
      </c>
    </row>
    <row r="2362">
      <c r="A2362" s="71" t="n">
        <v>42152</v>
      </c>
      <c r="B2362" s="72" t="n">
        <v>0.25</v>
      </c>
      <c r="C2362" s="71" t="n">
        <v>42152</v>
      </c>
      <c r="D2362" s="72" t="n">
        <v>0</v>
      </c>
    </row>
    <row r="2363">
      <c r="A2363" s="71" t="n">
        <v>42153</v>
      </c>
      <c r="B2363" s="72" t="n">
        <v>0.25</v>
      </c>
      <c r="C2363" s="71" t="n">
        <v>42153</v>
      </c>
      <c r="D2363" s="72" t="n">
        <v>0</v>
      </c>
    </row>
    <row r="2364">
      <c r="A2364" s="71" t="n">
        <v>42154</v>
      </c>
      <c r="B2364" s="72" t="n">
        <v>0.25</v>
      </c>
      <c r="C2364" s="71" t="n">
        <v>42154</v>
      </c>
      <c r="D2364" s="72" t="n">
        <v>0</v>
      </c>
    </row>
    <row r="2365">
      <c r="A2365" s="71" t="n">
        <v>42155</v>
      </c>
      <c r="B2365" s="72" t="n">
        <v>0.25</v>
      </c>
      <c r="C2365" s="71" t="n">
        <v>42155</v>
      </c>
      <c r="D2365" s="72" t="n">
        <v>0</v>
      </c>
    </row>
    <row r="2366">
      <c r="A2366" s="71" t="n">
        <v>42156</v>
      </c>
      <c r="B2366" s="72" t="n">
        <v>0.25</v>
      </c>
      <c r="C2366" s="71" t="n">
        <v>42156</v>
      </c>
      <c r="D2366" s="72" t="n">
        <v>0</v>
      </c>
    </row>
    <row r="2367">
      <c r="A2367" s="71" t="n">
        <v>42157</v>
      </c>
      <c r="B2367" s="72" t="n">
        <v>0.25</v>
      </c>
      <c r="C2367" s="71" t="n">
        <v>42157</v>
      </c>
      <c r="D2367" s="72" t="n">
        <v>0</v>
      </c>
    </row>
    <row r="2368">
      <c r="A2368" s="71" t="n">
        <v>42158</v>
      </c>
      <c r="B2368" s="72" t="n">
        <v>0.25</v>
      </c>
      <c r="C2368" s="71" t="n">
        <v>42158</v>
      </c>
      <c r="D2368" s="72" t="n">
        <v>0</v>
      </c>
    </row>
    <row r="2369">
      <c r="A2369" s="71" t="n">
        <v>42159</v>
      </c>
      <c r="B2369" s="72" t="n">
        <v>0.25</v>
      </c>
      <c r="C2369" s="71" t="n">
        <v>42159</v>
      </c>
      <c r="D2369" s="72" t="n">
        <v>0</v>
      </c>
    </row>
    <row r="2370">
      <c r="A2370" s="71" t="n">
        <v>42160</v>
      </c>
      <c r="B2370" s="72" t="n">
        <v>0.25</v>
      </c>
      <c r="C2370" s="71" t="n">
        <v>42160</v>
      </c>
      <c r="D2370" s="72" t="n">
        <v>0</v>
      </c>
    </row>
    <row r="2371">
      <c r="A2371" s="71" t="n">
        <v>42161</v>
      </c>
      <c r="B2371" s="72" t="n">
        <v>0.25</v>
      </c>
      <c r="C2371" s="71" t="n">
        <v>42161</v>
      </c>
      <c r="D2371" s="72" t="n">
        <v>0</v>
      </c>
    </row>
    <row r="2372">
      <c r="A2372" s="71" t="n">
        <v>42162</v>
      </c>
      <c r="B2372" s="72" t="n">
        <v>0.25</v>
      </c>
      <c r="C2372" s="71" t="n">
        <v>42162</v>
      </c>
      <c r="D2372" s="72" t="n">
        <v>0</v>
      </c>
    </row>
    <row r="2373">
      <c r="A2373" s="71" t="n">
        <v>42163</v>
      </c>
      <c r="B2373" s="72" t="n">
        <v>0.25</v>
      </c>
      <c r="C2373" s="71" t="n">
        <v>42163</v>
      </c>
      <c r="D2373" s="72" t="n">
        <v>0</v>
      </c>
    </row>
    <row r="2374">
      <c r="A2374" s="71" t="n">
        <v>42164</v>
      </c>
      <c r="B2374" s="72" t="n">
        <v>0.25</v>
      </c>
      <c r="C2374" s="71" t="n">
        <v>42164</v>
      </c>
      <c r="D2374" s="72" t="n">
        <v>0</v>
      </c>
    </row>
    <row r="2375">
      <c r="A2375" s="71" t="n">
        <v>42165</v>
      </c>
      <c r="B2375" s="72" t="n">
        <v>0.25</v>
      </c>
      <c r="C2375" s="71" t="n">
        <v>42165</v>
      </c>
      <c r="D2375" s="72" t="n">
        <v>0</v>
      </c>
    </row>
    <row r="2376">
      <c r="A2376" s="71" t="n">
        <v>42166</v>
      </c>
      <c r="B2376" s="72" t="n">
        <v>0.25</v>
      </c>
      <c r="C2376" s="71" t="n">
        <v>42166</v>
      </c>
      <c r="D2376" s="72" t="n">
        <v>0</v>
      </c>
    </row>
    <row r="2377">
      <c r="A2377" s="71" t="n">
        <v>42167</v>
      </c>
      <c r="B2377" s="72" t="n">
        <v>0.25</v>
      </c>
      <c r="C2377" s="71" t="n">
        <v>42167</v>
      </c>
      <c r="D2377" s="72" t="n">
        <v>0</v>
      </c>
    </row>
    <row r="2378">
      <c r="A2378" s="71" t="n">
        <v>42168</v>
      </c>
      <c r="B2378" s="72" t="n">
        <v>0.25</v>
      </c>
      <c r="C2378" s="71" t="n">
        <v>42168</v>
      </c>
      <c r="D2378" s="72" t="n">
        <v>0</v>
      </c>
    </row>
    <row r="2379">
      <c r="A2379" s="71" t="n">
        <v>42169</v>
      </c>
      <c r="B2379" s="72" t="n">
        <v>0.25</v>
      </c>
      <c r="C2379" s="71" t="n">
        <v>42169</v>
      </c>
      <c r="D2379" s="72" t="n">
        <v>0</v>
      </c>
    </row>
    <row r="2380">
      <c r="A2380" s="71" t="n">
        <v>42170</v>
      </c>
      <c r="B2380" s="72" t="n">
        <v>0.25</v>
      </c>
      <c r="C2380" s="71" t="n">
        <v>42170</v>
      </c>
      <c r="D2380" s="72" t="n">
        <v>0</v>
      </c>
    </row>
    <row r="2381">
      <c r="A2381" s="71" t="n">
        <v>42171</v>
      </c>
      <c r="B2381" s="72" t="n">
        <v>0.25</v>
      </c>
      <c r="C2381" s="71" t="n">
        <v>42171</v>
      </c>
      <c r="D2381" s="72" t="n">
        <v>0</v>
      </c>
    </row>
    <row r="2382">
      <c r="A2382" s="71" t="n">
        <v>42172</v>
      </c>
      <c r="B2382" s="72" t="n">
        <v>0.25</v>
      </c>
      <c r="C2382" s="71" t="n">
        <v>42172</v>
      </c>
      <c r="D2382" s="72" t="n">
        <v>0</v>
      </c>
    </row>
    <row r="2383">
      <c r="A2383" s="71" t="n">
        <v>42173</v>
      </c>
      <c r="B2383" s="72" t="n">
        <v>0.25</v>
      </c>
      <c r="C2383" s="71" t="n">
        <v>42173</v>
      </c>
      <c r="D2383" s="72" t="n">
        <v>0</v>
      </c>
    </row>
    <row r="2384">
      <c r="A2384" s="71" t="n">
        <v>42174</v>
      </c>
      <c r="B2384" s="72" t="n">
        <v>0.25</v>
      </c>
      <c r="C2384" s="71" t="n">
        <v>42174</v>
      </c>
      <c r="D2384" s="72" t="n">
        <v>0</v>
      </c>
    </row>
    <row r="2385">
      <c r="A2385" s="71" t="n">
        <v>42175</v>
      </c>
      <c r="B2385" s="72" t="n">
        <v>0.25</v>
      </c>
      <c r="C2385" s="71" t="n">
        <v>42175</v>
      </c>
      <c r="D2385" s="72" t="n">
        <v>0</v>
      </c>
    </row>
    <row r="2386">
      <c r="A2386" s="71" t="n">
        <v>42176</v>
      </c>
      <c r="B2386" s="72" t="n">
        <v>0.25</v>
      </c>
      <c r="C2386" s="71" t="n">
        <v>42176</v>
      </c>
      <c r="D2386" s="72" t="n">
        <v>0</v>
      </c>
    </row>
    <row r="2387">
      <c r="A2387" s="71" t="n">
        <v>42177</v>
      </c>
      <c r="B2387" s="72" t="n">
        <v>0.25</v>
      </c>
      <c r="C2387" s="71" t="n">
        <v>42177</v>
      </c>
      <c r="D2387" s="72" t="n">
        <v>0</v>
      </c>
    </row>
    <row r="2388">
      <c r="A2388" s="71" t="n">
        <v>42178</v>
      </c>
      <c r="B2388" s="72" t="n">
        <v>0.25</v>
      </c>
      <c r="C2388" s="71" t="n">
        <v>42178</v>
      </c>
      <c r="D2388" s="72" t="n">
        <v>0</v>
      </c>
    </row>
    <row r="2389">
      <c r="A2389" s="71" t="n">
        <v>42179</v>
      </c>
      <c r="B2389" s="72" t="n">
        <v>0.25</v>
      </c>
      <c r="C2389" s="71" t="n">
        <v>42179</v>
      </c>
      <c r="D2389" s="72" t="n">
        <v>0</v>
      </c>
    </row>
    <row r="2390">
      <c r="A2390" s="71" t="n">
        <v>42180</v>
      </c>
      <c r="B2390" s="72" t="n">
        <v>0.25</v>
      </c>
      <c r="C2390" s="71" t="n">
        <v>42180</v>
      </c>
      <c r="D2390" s="72" t="n">
        <v>0</v>
      </c>
    </row>
    <row r="2391">
      <c r="A2391" s="71" t="n">
        <v>42181</v>
      </c>
      <c r="B2391" s="72" t="n">
        <v>0.25</v>
      </c>
      <c r="C2391" s="71" t="n">
        <v>42181</v>
      </c>
      <c r="D2391" s="72" t="n">
        <v>0</v>
      </c>
    </row>
    <row r="2392">
      <c r="A2392" s="71" t="n">
        <v>42182</v>
      </c>
      <c r="B2392" s="72" t="n">
        <v>0.25</v>
      </c>
      <c r="C2392" s="71" t="n">
        <v>42182</v>
      </c>
      <c r="D2392" s="72" t="n">
        <v>0</v>
      </c>
    </row>
    <row r="2393">
      <c r="A2393" s="71" t="n">
        <v>42183</v>
      </c>
      <c r="B2393" s="72" t="n">
        <v>0.25</v>
      </c>
      <c r="C2393" s="71" t="n">
        <v>42183</v>
      </c>
      <c r="D2393" s="72" t="n">
        <v>0</v>
      </c>
    </row>
    <row r="2394">
      <c r="A2394" s="71" t="n">
        <v>42184</v>
      </c>
      <c r="B2394" s="72" t="n">
        <v>0.25</v>
      </c>
      <c r="C2394" s="71" t="n">
        <v>42184</v>
      </c>
      <c r="D2394" s="72" t="n">
        <v>0</v>
      </c>
    </row>
    <row r="2395">
      <c r="A2395" s="71" t="n">
        <v>42185</v>
      </c>
      <c r="B2395" s="72" t="n">
        <v>0.25</v>
      </c>
      <c r="C2395" s="71" t="n">
        <v>42185</v>
      </c>
      <c r="D2395" s="72" t="n">
        <v>0</v>
      </c>
    </row>
    <row r="2396">
      <c r="A2396" s="71" t="n">
        <v>42186</v>
      </c>
      <c r="B2396" s="72" t="n">
        <v>0.25</v>
      </c>
      <c r="C2396" s="71" t="n">
        <v>42186</v>
      </c>
      <c r="D2396" s="72" t="n">
        <v>0</v>
      </c>
    </row>
    <row r="2397">
      <c r="A2397" s="71" t="n">
        <v>42187</v>
      </c>
      <c r="B2397" s="72" t="n">
        <v>0.25</v>
      </c>
      <c r="C2397" s="71" t="n">
        <v>42187</v>
      </c>
      <c r="D2397" s="72" t="n">
        <v>0</v>
      </c>
    </row>
    <row r="2398">
      <c r="A2398" s="71" t="n">
        <v>42188</v>
      </c>
      <c r="B2398" s="72" t="n">
        <v>0.25</v>
      </c>
      <c r="C2398" s="71" t="n">
        <v>42188</v>
      </c>
      <c r="D2398" s="72" t="n">
        <v>0</v>
      </c>
    </row>
    <row r="2399">
      <c r="A2399" s="71" t="n">
        <v>42189</v>
      </c>
      <c r="B2399" s="72" t="n">
        <v>0.25</v>
      </c>
      <c r="C2399" s="71" t="n">
        <v>42189</v>
      </c>
      <c r="D2399" s="72" t="n">
        <v>0</v>
      </c>
    </row>
    <row r="2400">
      <c r="A2400" s="71" t="n">
        <v>42190</v>
      </c>
      <c r="B2400" s="72" t="n">
        <v>0.25</v>
      </c>
      <c r="C2400" s="71" t="n">
        <v>42190</v>
      </c>
      <c r="D2400" s="72" t="n">
        <v>0</v>
      </c>
    </row>
    <row r="2401">
      <c r="A2401" s="71" t="n">
        <v>42191</v>
      </c>
      <c r="B2401" s="72" t="n">
        <v>0.25</v>
      </c>
      <c r="C2401" s="71" t="n">
        <v>42191</v>
      </c>
      <c r="D2401" s="72" t="n">
        <v>0</v>
      </c>
    </row>
    <row r="2402">
      <c r="A2402" s="71" t="n">
        <v>42192</v>
      </c>
      <c r="B2402" s="72" t="n">
        <v>0.25</v>
      </c>
      <c r="C2402" s="71" t="n">
        <v>42192</v>
      </c>
      <c r="D2402" s="72" t="n">
        <v>0</v>
      </c>
    </row>
    <row r="2403">
      <c r="A2403" s="71" t="n">
        <v>42193</v>
      </c>
      <c r="B2403" s="72" t="n">
        <v>0.25</v>
      </c>
      <c r="C2403" s="71" t="n">
        <v>42193</v>
      </c>
      <c r="D2403" s="72" t="n">
        <v>0</v>
      </c>
    </row>
    <row r="2404">
      <c r="A2404" s="71" t="n">
        <v>42194</v>
      </c>
      <c r="B2404" s="72" t="n">
        <v>0.25</v>
      </c>
      <c r="C2404" s="71" t="n">
        <v>42194</v>
      </c>
      <c r="D2404" s="72" t="n">
        <v>0</v>
      </c>
    </row>
    <row r="2405">
      <c r="A2405" s="71" t="n">
        <v>42195</v>
      </c>
      <c r="B2405" s="72" t="n">
        <v>0.25</v>
      </c>
      <c r="C2405" s="71" t="n">
        <v>42195</v>
      </c>
      <c r="D2405" s="72" t="n">
        <v>0</v>
      </c>
    </row>
    <row r="2406">
      <c r="A2406" s="71" t="n">
        <v>42196</v>
      </c>
      <c r="B2406" s="72" t="n">
        <v>0.25</v>
      </c>
      <c r="C2406" s="71" t="n">
        <v>42196</v>
      </c>
      <c r="D2406" s="72" t="n">
        <v>0</v>
      </c>
    </row>
    <row r="2407">
      <c r="A2407" s="71" t="n">
        <v>42197</v>
      </c>
      <c r="B2407" s="72" t="n">
        <v>0.25</v>
      </c>
      <c r="C2407" s="71" t="n">
        <v>42197</v>
      </c>
      <c r="D2407" s="72" t="n">
        <v>0</v>
      </c>
    </row>
    <row r="2408">
      <c r="A2408" s="71" t="n">
        <v>42198</v>
      </c>
      <c r="B2408" s="72" t="n">
        <v>0.25</v>
      </c>
      <c r="C2408" s="71" t="n">
        <v>42198</v>
      </c>
      <c r="D2408" s="72" t="n">
        <v>0</v>
      </c>
    </row>
    <row r="2409">
      <c r="A2409" s="71" t="n">
        <v>42199</v>
      </c>
      <c r="B2409" s="72" t="n">
        <v>0.25</v>
      </c>
      <c r="C2409" s="71" t="n">
        <v>42199</v>
      </c>
      <c r="D2409" s="72" t="n">
        <v>0</v>
      </c>
    </row>
    <row r="2410">
      <c r="A2410" s="71" t="n">
        <v>42200</v>
      </c>
      <c r="B2410" s="72" t="n">
        <v>0.25</v>
      </c>
      <c r="C2410" s="71" t="n">
        <v>42200</v>
      </c>
      <c r="D2410" s="72" t="n">
        <v>0</v>
      </c>
    </row>
    <row r="2411">
      <c r="A2411" s="71" t="n">
        <v>42201</v>
      </c>
      <c r="B2411" s="72" t="n">
        <v>0.25</v>
      </c>
      <c r="C2411" s="71" t="n">
        <v>42201</v>
      </c>
      <c r="D2411" s="72" t="n">
        <v>0</v>
      </c>
    </row>
    <row r="2412">
      <c r="A2412" s="71" t="n">
        <v>42202</v>
      </c>
      <c r="B2412" s="72" t="n">
        <v>0.25</v>
      </c>
      <c r="C2412" s="71" t="n">
        <v>42202</v>
      </c>
      <c r="D2412" s="72" t="n">
        <v>0</v>
      </c>
    </row>
    <row r="2413">
      <c r="A2413" s="71" t="n">
        <v>42203</v>
      </c>
      <c r="B2413" s="72" t="n">
        <v>0.25</v>
      </c>
      <c r="C2413" s="71" t="n">
        <v>42203</v>
      </c>
      <c r="D2413" s="72" t="n">
        <v>0</v>
      </c>
    </row>
    <row r="2414">
      <c r="A2414" s="71" t="n">
        <v>42204</v>
      </c>
      <c r="B2414" s="72" t="n">
        <v>0.25</v>
      </c>
      <c r="C2414" s="71" t="n">
        <v>42204</v>
      </c>
      <c r="D2414" s="72" t="n">
        <v>0</v>
      </c>
    </row>
    <row r="2415">
      <c r="A2415" s="71" t="n">
        <v>42205</v>
      </c>
      <c r="B2415" s="72" t="n">
        <v>0.25</v>
      </c>
      <c r="C2415" s="71" t="n">
        <v>42205</v>
      </c>
      <c r="D2415" s="72" t="n">
        <v>0</v>
      </c>
    </row>
    <row r="2416">
      <c r="A2416" s="71" t="n">
        <v>42206</v>
      </c>
      <c r="B2416" s="72" t="n">
        <v>0.25</v>
      </c>
      <c r="C2416" s="71" t="n">
        <v>42206</v>
      </c>
      <c r="D2416" s="72" t="n">
        <v>0</v>
      </c>
    </row>
    <row r="2417">
      <c r="A2417" s="71" t="n">
        <v>42207</v>
      </c>
      <c r="B2417" s="72" t="n">
        <v>0.25</v>
      </c>
      <c r="C2417" s="71" t="n">
        <v>42207</v>
      </c>
      <c r="D2417" s="72" t="n">
        <v>0</v>
      </c>
    </row>
    <row r="2418">
      <c r="A2418" s="71" t="n">
        <v>42208</v>
      </c>
      <c r="B2418" s="72" t="n">
        <v>0.25</v>
      </c>
      <c r="C2418" s="71" t="n">
        <v>42208</v>
      </c>
      <c r="D2418" s="72" t="n">
        <v>0</v>
      </c>
    </row>
    <row r="2419">
      <c r="A2419" s="71" t="n">
        <v>42209</v>
      </c>
      <c r="B2419" s="72" t="n">
        <v>0.25</v>
      </c>
      <c r="C2419" s="71" t="n">
        <v>42209</v>
      </c>
      <c r="D2419" s="72" t="n">
        <v>0</v>
      </c>
    </row>
    <row r="2420">
      <c r="A2420" s="71" t="n">
        <v>42210</v>
      </c>
      <c r="B2420" s="72" t="n">
        <v>0.25</v>
      </c>
      <c r="C2420" s="71" t="n">
        <v>42210</v>
      </c>
      <c r="D2420" s="72" t="n">
        <v>0</v>
      </c>
    </row>
    <row r="2421">
      <c r="A2421" s="71" t="n">
        <v>42211</v>
      </c>
      <c r="B2421" s="72" t="n">
        <v>0.25</v>
      </c>
      <c r="C2421" s="71" t="n">
        <v>42211</v>
      </c>
      <c r="D2421" s="72" t="n">
        <v>0</v>
      </c>
    </row>
    <row r="2422">
      <c r="A2422" s="71" t="n">
        <v>42212</v>
      </c>
      <c r="B2422" s="72" t="n">
        <v>0.25</v>
      </c>
      <c r="C2422" s="71" t="n">
        <v>42212</v>
      </c>
      <c r="D2422" s="72" t="n">
        <v>0</v>
      </c>
    </row>
    <row r="2423">
      <c r="A2423" s="71" t="n">
        <v>42213</v>
      </c>
      <c r="B2423" s="72" t="n">
        <v>0.25</v>
      </c>
      <c r="C2423" s="71" t="n">
        <v>42213</v>
      </c>
      <c r="D2423" s="72" t="n">
        <v>0</v>
      </c>
    </row>
    <row r="2424">
      <c r="A2424" s="71" t="n">
        <v>42214</v>
      </c>
      <c r="B2424" s="72" t="n">
        <v>0.25</v>
      </c>
      <c r="C2424" s="71" t="n">
        <v>42214</v>
      </c>
      <c r="D2424" s="72" t="n">
        <v>0</v>
      </c>
    </row>
    <row r="2425">
      <c r="A2425" s="71" t="n">
        <v>42215</v>
      </c>
      <c r="B2425" s="72" t="n">
        <v>0.25</v>
      </c>
      <c r="C2425" s="71" t="n">
        <v>42215</v>
      </c>
      <c r="D2425" s="72" t="n">
        <v>0</v>
      </c>
    </row>
    <row r="2426">
      <c r="A2426" s="71" t="n">
        <v>42216</v>
      </c>
      <c r="B2426" s="72" t="n">
        <v>0.25</v>
      </c>
      <c r="C2426" s="71" t="n">
        <v>42216</v>
      </c>
      <c r="D2426" s="72" t="n">
        <v>0</v>
      </c>
    </row>
    <row r="2427">
      <c r="A2427" s="71" t="n">
        <v>42217</v>
      </c>
      <c r="B2427" s="72" t="n">
        <v>0.25</v>
      </c>
      <c r="C2427" s="71" t="n">
        <v>42217</v>
      </c>
      <c r="D2427" s="72" t="n">
        <v>0</v>
      </c>
    </row>
    <row r="2428">
      <c r="A2428" s="71" t="n">
        <v>42218</v>
      </c>
      <c r="B2428" s="72" t="n">
        <v>0.25</v>
      </c>
      <c r="C2428" s="71" t="n">
        <v>42218</v>
      </c>
      <c r="D2428" s="72" t="n">
        <v>0</v>
      </c>
    </row>
    <row r="2429">
      <c r="A2429" s="71" t="n">
        <v>42219</v>
      </c>
      <c r="B2429" s="72" t="n">
        <v>0.25</v>
      </c>
      <c r="C2429" s="71" t="n">
        <v>42219</v>
      </c>
      <c r="D2429" s="72" t="n">
        <v>0</v>
      </c>
    </row>
    <row r="2430">
      <c r="A2430" s="71" t="n">
        <v>42220</v>
      </c>
      <c r="B2430" s="72" t="n">
        <v>0.25</v>
      </c>
      <c r="C2430" s="71" t="n">
        <v>42220</v>
      </c>
      <c r="D2430" s="72" t="n">
        <v>0</v>
      </c>
    </row>
    <row r="2431">
      <c r="A2431" s="71" t="n">
        <v>42221</v>
      </c>
      <c r="B2431" s="72" t="n">
        <v>0.25</v>
      </c>
      <c r="C2431" s="71" t="n">
        <v>42221</v>
      </c>
      <c r="D2431" s="72" t="n">
        <v>0</v>
      </c>
    </row>
    <row r="2432">
      <c r="A2432" s="71" t="n">
        <v>42222</v>
      </c>
      <c r="B2432" s="72" t="n">
        <v>0.25</v>
      </c>
      <c r="C2432" s="71" t="n">
        <v>42222</v>
      </c>
      <c r="D2432" s="72" t="n">
        <v>0</v>
      </c>
    </row>
    <row r="2433">
      <c r="A2433" s="71" t="n">
        <v>42223</v>
      </c>
      <c r="B2433" s="72" t="n">
        <v>0.25</v>
      </c>
      <c r="C2433" s="71" t="n">
        <v>42223</v>
      </c>
      <c r="D2433" s="72" t="n">
        <v>0</v>
      </c>
    </row>
    <row r="2434">
      <c r="A2434" s="71" t="n">
        <v>42224</v>
      </c>
      <c r="B2434" s="72" t="n">
        <v>0.25</v>
      </c>
      <c r="C2434" s="71" t="n">
        <v>42224</v>
      </c>
      <c r="D2434" s="72" t="n">
        <v>0</v>
      </c>
    </row>
    <row r="2435">
      <c r="A2435" s="71" t="n">
        <v>42225</v>
      </c>
      <c r="B2435" s="72" t="n">
        <v>0.25</v>
      </c>
      <c r="C2435" s="71" t="n">
        <v>42225</v>
      </c>
      <c r="D2435" s="72" t="n">
        <v>0</v>
      </c>
    </row>
    <row r="2436">
      <c r="A2436" s="71" t="n">
        <v>42226</v>
      </c>
      <c r="B2436" s="72" t="n">
        <v>0.25</v>
      </c>
      <c r="C2436" s="71" t="n">
        <v>42226</v>
      </c>
      <c r="D2436" s="72" t="n">
        <v>0</v>
      </c>
    </row>
    <row r="2437">
      <c r="A2437" s="71" t="n">
        <v>42227</v>
      </c>
      <c r="B2437" s="72" t="n">
        <v>0.25</v>
      </c>
      <c r="C2437" s="71" t="n">
        <v>42227</v>
      </c>
      <c r="D2437" s="72" t="n">
        <v>0</v>
      </c>
    </row>
    <row r="2438">
      <c r="A2438" s="71" t="n">
        <v>42228</v>
      </c>
      <c r="B2438" s="72" t="n">
        <v>0.25</v>
      </c>
      <c r="C2438" s="71" t="n">
        <v>42228</v>
      </c>
      <c r="D2438" s="72" t="n">
        <v>0</v>
      </c>
    </row>
    <row r="2439">
      <c r="A2439" s="71" t="n">
        <v>42229</v>
      </c>
      <c r="B2439" s="72" t="n">
        <v>0.25</v>
      </c>
      <c r="C2439" s="71" t="n">
        <v>42229</v>
      </c>
      <c r="D2439" s="72" t="n">
        <v>0</v>
      </c>
    </row>
    <row r="2440">
      <c r="A2440" s="71" t="n">
        <v>42230</v>
      </c>
      <c r="B2440" s="72" t="n">
        <v>0.25</v>
      </c>
      <c r="C2440" s="71" t="n">
        <v>42230</v>
      </c>
      <c r="D2440" s="72" t="n">
        <v>0</v>
      </c>
    </row>
    <row r="2441">
      <c r="A2441" s="71" t="n">
        <v>42231</v>
      </c>
      <c r="B2441" s="72" t="n">
        <v>0.25</v>
      </c>
      <c r="C2441" s="71" t="n">
        <v>42231</v>
      </c>
      <c r="D2441" s="72" t="n">
        <v>0</v>
      </c>
    </row>
    <row r="2442">
      <c r="A2442" s="71" t="n">
        <v>42232</v>
      </c>
      <c r="B2442" s="72" t="n">
        <v>0.25</v>
      </c>
      <c r="C2442" s="71" t="n">
        <v>42232</v>
      </c>
      <c r="D2442" s="72" t="n">
        <v>0</v>
      </c>
    </row>
    <row r="2443">
      <c r="A2443" s="71" t="n">
        <v>42233</v>
      </c>
      <c r="B2443" s="72" t="n">
        <v>0.25</v>
      </c>
      <c r="C2443" s="71" t="n">
        <v>42233</v>
      </c>
      <c r="D2443" s="72" t="n">
        <v>0</v>
      </c>
    </row>
    <row r="2444">
      <c r="A2444" s="71" t="n">
        <v>42234</v>
      </c>
      <c r="B2444" s="72" t="n">
        <v>0.25</v>
      </c>
      <c r="C2444" s="71" t="n">
        <v>42234</v>
      </c>
      <c r="D2444" s="72" t="n">
        <v>0</v>
      </c>
    </row>
    <row r="2445">
      <c r="A2445" s="71" t="n">
        <v>42235</v>
      </c>
      <c r="B2445" s="72" t="n">
        <v>0.25</v>
      </c>
      <c r="C2445" s="71" t="n">
        <v>42235</v>
      </c>
      <c r="D2445" s="72" t="n">
        <v>0</v>
      </c>
    </row>
    <row r="2446">
      <c r="A2446" s="71" t="n">
        <v>42236</v>
      </c>
      <c r="B2446" s="72" t="n">
        <v>0.25</v>
      </c>
      <c r="C2446" s="71" t="n">
        <v>42236</v>
      </c>
      <c r="D2446" s="72" t="n">
        <v>0</v>
      </c>
    </row>
    <row r="2447">
      <c r="A2447" s="71" t="n">
        <v>42237</v>
      </c>
      <c r="B2447" s="72" t="n">
        <v>0.25</v>
      </c>
      <c r="C2447" s="71" t="n">
        <v>42237</v>
      </c>
      <c r="D2447" s="72" t="n">
        <v>0</v>
      </c>
    </row>
    <row r="2448">
      <c r="A2448" s="71" t="n">
        <v>42238</v>
      </c>
      <c r="B2448" s="72" t="n">
        <v>0.25</v>
      </c>
      <c r="C2448" s="71" t="n">
        <v>42238</v>
      </c>
      <c r="D2448" s="72" t="n">
        <v>0</v>
      </c>
    </row>
    <row r="2449">
      <c r="A2449" s="71" t="n">
        <v>42239</v>
      </c>
      <c r="B2449" s="72" t="n">
        <v>0.25</v>
      </c>
      <c r="C2449" s="71" t="n">
        <v>42239</v>
      </c>
      <c r="D2449" s="72" t="n">
        <v>0</v>
      </c>
    </row>
    <row r="2450">
      <c r="A2450" s="71" t="n">
        <v>42240</v>
      </c>
      <c r="B2450" s="72" t="n">
        <v>0.25</v>
      </c>
      <c r="C2450" s="71" t="n">
        <v>42240</v>
      </c>
      <c r="D2450" s="72" t="n">
        <v>0</v>
      </c>
    </row>
    <row r="2451">
      <c r="A2451" s="71" t="n">
        <v>42241</v>
      </c>
      <c r="B2451" s="72" t="n">
        <v>0.25</v>
      </c>
      <c r="C2451" s="71" t="n">
        <v>42241</v>
      </c>
      <c r="D2451" s="72" t="n">
        <v>0</v>
      </c>
    </row>
    <row r="2452">
      <c r="A2452" s="71" t="n">
        <v>42242</v>
      </c>
      <c r="B2452" s="72" t="n">
        <v>0.25</v>
      </c>
      <c r="C2452" s="71" t="n">
        <v>42242</v>
      </c>
      <c r="D2452" s="72" t="n">
        <v>0</v>
      </c>
    </row>
    <row r="2453">
      <c r="A2453" s="71" t="n">
        <v>42243</v>
      </c>
      <c r="B2453" s="72" t="n">
        <v>0.25</v>
      </c>
      <c r="C2453" s="71" t="n">
        <v>42243</v>
      </c>
      <c r="D2453" s="72" t="n">
        <v>0</v>
      </c>
    </row>
    <row r="2454">
      <c r="A2454" s="71" t="n">
        <v>42244</v>
      </c>
      <c r="B2454" s="72" t="n">
        <v>0.25</v>
      </c>
      <c r="C2454" s="71" t="n">
        <v>42244</v>
      </c>
      <c r="D2454" s="72" t="n">
        <v>0</v>
      </c>
    </row>
    <row r="2455">
      <c r="A2455" s="71" t="n">
        <v>42245</v>
      </c>
      <c r="B2455" s="72" t="n">
        <v>0.25</v>
      </c>
      <c r="C2455" s="71" t="n">
        <v>42245</v>
      </c>
      <c r="D2455" s="72" t="n">
        <v>0</v>
      </c>
    </row>
    <row r="2456">
      <c r="A2456" s="71" t="n">
        <v>42246</v>
      </c>
      <c r="B2456" s="72" t="n">
        <v>0.25</v>
      </c>
      <c r="C2456" s="71" t="n">
        <v>42246</v>
      </c>
      <c r="D2456" s="72" t="n">
        <v>0</v>
      </c>
    </row>
    <row r="2457">
      <c r="A2457" s="71" t="n">
        <v>42247</v>
      </c>
      <c r="B2457" s="72" t="n">
        <v>0.25</v>
      </c>
      <c r="C2457" s="71" t="n">
        <v>42247</v>
      </c>
      <c r="D2457" s="72" t="n">
        <v>0</v>
      </c>
    </row>
    <row r="2458">
      <c r="A2458" s="71" t="n">
        <v>42248</v>
      </c>
      <c r="B2458" s="72" t="n">
        <v>0.25</v>
      </c>
      <c r="C2458" s="71" t="n">
        <v>42248</v>
      </c>
      <c r="D2458" s="72" t="n">
        <v>0</v>
      </c>
    </row>
    <row r="2459">
      <c r="A2459" s="71" t="n">
        <v>42249</v>
      </c>
      <c r="B2459" s="72" t="n">
        <v>0.25</v>
      </c>
      <c r="C2459" s="71" t="n">
        <v>42249</v>
      </c>
      <c r="D2459" s="72" t="n">
        <v>0</v>
      </c>
    </row>
    <row r="2460">
      <c r="A2460" s="71" t="n">
        <v>42250</v>
      </c>
      <c r="B2460" s="72" t="n">
        <v>0.25</v>
      </c>
      <c r="C2460" s="71" t="n">
        <v>42250</v>
      </c>
      <c r="D2460" s="72" t="n">
        <v>0</v>
      </c>
    </row>
    <row r="2461">
      <c r="A2461" s="71" t="n">
        <v>42251</v>
      </c>
      <c r="B2461" s="72" t="n">
        <v>0.25</v>
      </c>
      <c r="C2461" s="71" t="n">
        <v>42251</v>
      </c>
      <c r="D2461" s="72" t="n">
        <v>0</v>
      </c>
    </row>
    <row r="2462">
      <c r="A2462" s="71" t="n">
        <v>42252</v>
      </c>
      <c r="B2462" s="72" t="n">
        <v>0.25</v>
      </c>
      <c r="C2462" s="71" t="n">
        <v>42252</v>
      </c>
      <c r="D2462" s="72" t="n">
        <v>0</v>
      </c>
    </row>
    <row r="2463">
      <c r="A2463" s="71" t="n">
        <v>42253</v>
      </c>
      <c r="B2463" s="72" t="n">
        <v>0.25</v>
      </c>
      <c r="C2463" s="71" t="n">
        <v>42253</v>
      </c>
      <c r="D2463" s="72" t="n">
        <v>0</v>
      </c>
    </row>
    <row r="2464">
      <c r="A2464" s="71" t="n">
        <v>42254</v>
      </c>
      <c r="B2464" s="72" t="n">
        <v>0.25</v>
      </c>
      <c r="C2464" s="71" t="n">
        <v>42254</v>
      </c>
      <c r="D2464" s="72" t="n">
        <v>0</v>
      </c>
    </row>
    <row r="2465">
      <c r="A2465" s="71" t="n">
        <v>42255</v>
      </c>
      <c r="B2465" s="72" t="n">
        <v>0.25</v>
      </c>
      <c r="C2465" s="71" t="n">
        <v>42255</v>
      </c>
      <c r="D2465" s="72" t="n">
        <v>0</v>
      </c>
    </row>
    <row r="2466">
      <c r="A2466" s="71" t="n">
        <v>42256</v>
      </c>
      <c r="B2466" s="72" t="n">
        <v>0.25</v>
      </c>
      <c r="C2466" s="71" t="n">
        <v>42256</v>
      </c>
      <c r="D2466" s="72" t="n">
        <v>0</v>
      </c>
    </row>
    <row r="2467">
      <c r="A2467" s="71" t="n">
        <v>42257</v>
      </c>
      <c r="B2467" s="72" t="n">
        <v>0.25</v>
      </c>
      <c r="C2467" s="71" t="n">
        <v>42257</v>
      </c>
      <c r="D2467" s="72" t="n">
        <v>0</v>
      </c>
    </row>
    <row r="2468">
      <c r="A2468" s="71" t="n">
        <v>42258</v>
      </c>
      <c r="B2468" s="72" t="n">
        <v>0.25</v>
      </c>
      <c r="C2468" s="71" t="n">
        <v>42258</v>
      </c>
      <c r="D2468" s="72" t="n">
        <v>0</v>
      </c>
    </row>
    <row r="2469">
      <c r="A2469" s="71" t="n">
        <v>42259</v>
      </c>
      <c r="B2469" s="72" t="n">
        <v>0.25</v>
      </c>
      <c r="C2469" s="71" t="n">
        <v>42259</v>
      </c>
      <c r="D2469" s="72" t="n">
        <v>0</v>
      </c>
    </row>
    <row r="2470">
      <c r="A2470" s="71" t="n">
        <v>42260</v>
      </c>
      <c r="B2470" s="72" t="n">
        <v>0.25</v>
      </c>
      <c r="C2470" s="71" t="n">
        <v>42260</v>
      </c>
      <c r="D2470" s="72" t="n">
        <v>0</v>
      </c>
    </row>
    <row r="2471">
      <c r="A2471" s="71" t="n">
        <v>42261</v>
      </c>
      <c r="B2471" s="72" t="n">
        <v>0.25</v>
      </c>
      <c r="C2471" s="71" t="n">
        <v>42261</v>
      </c>
      <c r="D2471" s="72" t="n">
        <v>0</v>
      </c>
    </row>
    <row r="2472">
      <c r="A2472" s="71" t="n">
        <v>42262</v>
      </c>
      <c r="B2472" s="72" t="n">
        <v>0.25</v>
      </c>
      <c r="C2472" s="71" t="n">
        <v>42262</v>
      </c>
      <c r="D2472" s="72" t="n">
        <v>0</v>
      </c>
    </row>
    <row r="2473">
      <c r="A2473" s="71" t="n">
        <v>42263</v>
      </c>
      <c r="B2473" s="72" t="n">
        <v>0.25</v>
      </c>
      <c r="C2473" s="71" t="n">
        <v>42263</v>
      </c>
      <c r="D2473" s="72" t="n">
        <v>0</v>
      </c>
    </row>
    <row r="2474">
      <c r="A2474" s="71" t="n">
        <v>42264</v>
      </c>
      <c r="B2474" s="72" t="n">
        <v>0.25</v>
      </c>
      <c r="C2474" s="71" t="n">
        <v>42264</v>
      </c>
      <c r="D2474" s="72" t="n">
        <v>0</v>
      </c>
    </row>
    <row r="2475">
      <c r="A2475" s="71" t="n">
        <v>42265</v>
      </c>
      <c r="B2475" s="72" t="n">
        <v>0.25</v>
      </c>
      <c r="C2475" s="71" t="n">
        <v>42265</v>
      </c>
      <c r="D2475" s="72" t="n">
        <v>0</v>
      </c>
    </row>
    <row r="2476">
      <c r="A2476" s="71" t="n">
        <v>42266</v>
      </c>
      <c r="B2476" s="72" t="n">
        <v>0.25</v>
      </c>
      <c r="C2476" s="71" t="n">
        <v>42266</v>
      </c>
      <c r="D2476" s="72" t="n">
        <v>0</v>
      </c>
    </row>
    <row r="2477">
      <c r="A2477" s="71" t="n">
        <v>42267</v>
      </c>
      <c r="B2477" s="72" t="n">
        <v>0.25</v>
      </c>
      <c r="C2477" s="71" t="n">
        <v>42267</v>
      </c>
      <c r="D2477" s="72" t="n">
        <v>0</v>
      </c>
    </row>
    <row r="2478">
      <c r="A2478" s="71" t="n">
        <v>42268</v>
      </c>
      <c r="B2478" s="72" t="n">
        <v>0.25</v>
      </c>
      <c r="C2478" s="71" t="n">
        <v>42268</v>
      </c>
      <c r="D2478" s="72" t="n">
        <v>0</v>
      </c>
    </row>
    <row r="2479">
      <c r="A2479" s="71" t="n">
        <v>42269</v>
      </c>
      <c r="B2479" s="72" t="n">
        <v>0.25</v>
      </c>
      <c r="C2479" s="71" t="n">
        <v>42269</v>
      </c>
      <c r="D2479" s="72" t="n">
        <v>0</v>
      </c>
    </row>
    <row r="2480">
      <c r="A2480" s="71" t="n">
        <v>42270</v>
      </c>
      <c r="B2480" s="72" t="n">
        <v>0.25</v>
      </c>
      <c r="C2480" s="71" t="n">
        <v>42270</v>
      </c>
      <c r="D2480" s="72" t="n">
        <v>0</v>
      </c>
    </row>
    <row r="2481">
      <c r="A2481" s="71" t="n">
        <v>42271</v>
      </c>
      <c r="B2481" s="72" t="n">
        <v>0.25</v>
      </c>
      <c r="C2481" s="71" t="n">
        <v>42271</v>
      </c>
      <c r="D2481" s="72" t="n">
        <v>0</v>
      </c>
    </row>
    <row r="2482">
      <c r="A2482" s="71" t="n">
        <v>42272</v>
      </c>
      <c r="B2482" s="72" t="n">
        <v>0.25</v>
      </c>
      <c r="C2482" s="71" t="n">
        <v>42272</v>
      </c>
      <c r="D2482" s="72" t="n">
        <v>0</v>
      </c>
    </row>
    <row r="2483">
      <c r="A2483" s="71" t="n">
        <v>42273</v>
      </c>
      <c r="B2483" s="72" t="n">
        <v>0.25</v>
      </c>
      <c r="C2483" s="71" t="n">
        <v>42273</v>
      </c>
      <c r="D2483" s="72" t="n">
        <v>0</v>
      </c>
    </row>
    <row r="2484">
      <c r="A2484" s="71" t="n">
        <v>42274</v>
      </c>
      <c r="B2484" s="72" t="n">
        <v>0.25</v>
      </c>
      <c r="C2484" s="71" t="n">
        <v>42274</v>
      </c>
      <c r="D2484" s="72" t="n">
        <v>0</v>
      </c>
    </row>
    <row r="2485">
      <c r="A2485" s="71" t="n">
        <v>42275</v>
      </c>
      <c r="B2485" s="72" t="n">
        <v>0.25</v>
      </c>
      <c r="C2485" s="71" t="n">
        <v>42275</v>
      </c>
      <c r="D2485" s="72" t="n">
        <v>0</v>
      </c>
    </row>
    <row r="2486">
      <c r="A2486" s="71" t="n">
        <v>42276</v>
      </c>
      <c r="B2486" s="72" t="n">
        <v>0.25</v>
      </c>
      <c r="C2486" s="71" t="n">
        <v>42276</v>
      </c>
      <c r="D2486" s="72" t="n">
        <v>0</v>
      </c>
    </row>
    <row r="2487">
      <c r="A2487" s="71" t="n">
        <v>42277</v>
      </c>
      <c r="B2487" s="72" t="n">
        <v>0.25</v>
      </c>
      <c r="C2487" s="71" t="n">
        <v>42277</v>
      </c>
      <c r="D2487" s="72" t="n">
        <v>0</v>
      </c>
    </row>
    <row r="2488">
      <c r="A2488" s="71" t="n">
        <v>42278</v>
      </c>
      <c r="B2488" s="72" t="n">
        <v>0.25</v>
      </c>
      <c r="C2488" s="71" t="n">
        <v>42278</v>
      </c>
      <c r="D2488" s="72" t="n">
        <v>0</v>
      </c>
    </row>
    <row r="2489">
      <c r="A2489" s="71" t="n">
        <v>42279</v>
      </c>
      <c r="B2489" s="72" t="n">
        <v>0.25</v>
      </c>
      <c r="C2489" s="71" t="n">
        <v>42279</v>
      </c>
      <c r="D2489" s="72" t="n">
        <v>0</v>
      </c>
    </row>
    <row r="2490">
      <c r="A2490" s="71" t="n">
        <v>42280</v>
      </c>
      <c r="B2490" s="72" t="n">
        <v>0.25</v>
      </c>
      <c r="C2490" s="71" t="n">
        <v>42280</v>
      </c>
      <c r="D2490" s="72" t="n">
        <v>0</v>
      </c>
    </row>
    <row r="2491">
      <c r="A2491" s="71" t="n">
        <v>42281</v>
      </c>
      <c r="B2491" s="72" t="n">
        <v>0.25</v>
      </c>
      <c r="C2491" s="71" t="n">
        <v>42281</v>
      </c>
      <c r="D2491" s="72" t="n">
        <v>0</v>
      </c>
    </row>
    <row r="2492">
      <c r="A2492" s="71" t="n">
        <v>42282</v>
      </c>
      <c r="B2492" s="72" t="n">
        <v>0.25</v>
      </c>
      <c r="C2492" s="71" t="n">
        <v>42282</v>
      </c>
      <c r="D2492" s="72" t="n">
        <v>0</v>
      </c>
    </row>
    <row r="2493">
      <c r="A2493" s="71" t="n">
        <v>42283</v>
      </c>
      <c r="B2493" s="72" t="n">
        <v>0.25</v>
      </c>
      <c r="C2493" s="71" t="n">
        <v>42283</v>
      </c>
      <c r="D2493" s="72" t="n">
        <v>0</v>
      </c>
    </row>
    <row r="2494">
      <c r="A2494" s="71" t="n">
        <v>42284</v>
      </c>
      <c r="B2494" s="72" t="n">
        <v>0.25</v>
      </c>
      <c r="C2494" s="71" t="n">
        <v>42284</v>
      </c>
      <c r="D2494" s="72" t="n">
        <v>0</v>
      </c>
    </row>
    <row r="2495">
      <c r="A2495" s="71" t="n">
        <v>42285</v>
      </c>
      <c r="B2495" s="72" t="n">
        <v>0.25</v>
      </c>
      <c r="C2495" s="71" t="n">
        <v>42285</v>
      </c>
      <c r="D2495" s="72" t="n">
        <v>0</v>
      </c>
    </row>
    <row r="2496">
      <c r="A2496" s="71" t="n">
        <v>42286</v>
      </c>
      <c r="B2496" s="72" t="n">
        <v>0.25</v>
      </c>
      <c r="C2496" s="71" t="n">
        <v>42286</v>
      </c>
      <c r="D2496" s="72" t="n">
        <v>0</v>
      </c>
    </row>
    <row r="2497">
      <c r="A2497" s="71" t="n">
        <v>42287</v>
      </c>
      <c r="B2497" s="72" t="n">
        <v>0.25</v>
      </c>
      <c r="C2497" s="71" t="n">
        <v>42287</v>
      </c>
      <c r="D2497" s="72" t="n">
        <v>0</v>
      </c>
    </row>
    <row r="2498">
      <c r="A2498" s="71" t="n">
        <v>42288</v>
      </c>
      <c r="B2498" s="72" t="n">
        <v>0.25</v>
      </c>
      <c r="C2498" s="71" t="n">
        <v>42288</v>
      </c>
      <c r="D2498" s="72" t="n">
        <v>0</v>
      </c>
    </row>
    <row r="2499">
      <c r="A2499" s="71" t="n">
        <v>42289</v>
      </c>
      <c r="B2499" s="72" t="n">
        <v>0.25</v>
      </c>
      <c r="C2499" s="71" t="n">
        <v>42289</v>
      </c>
      <c r="D2499" s="72" t="n">
        <v>0</v>
      </c>
    </row>
    <row r="2500">
      <c r="A2500" s="71" t="n">
        <v>42290</v>
      </c>
      <c r="B2500" s="72" t="n">
        <v>0.25</v>
      </c>
      <c r="C2500" s="71" t="n">
        <v>42290</v>
      </c>
      <c r="D2500" s="72" t="n">
        <v>0</v>
      </c>
    </row>
    <row r="2501">
      <c r="A2501" s="71" t="n">
        <v>42291</v>
      </c>
      <c r="B2501" s="72" t="n">
        <v>0.25</v>
      </c>
      <c r="C2501" s="71" t="n">
        <v>42291</v>
      </c>
      <c r="D2501" s="72" t="n">
        <v>0</v>
      </c>
    </row>
    <row r="2502">
      <c r="A2502" s="71" t="n">
        <v>42292</v>
      </c>
      <c r="B2502" s="72" t="n">
        <v>0.25</v>
      </c>
      <c r="C2502" s="71" t="n">
        <v>42292</v>
      </c>
      <c r="D2502" s="72" t="n">
        <v>0</v>
      </c>
    </row>
    <row r="2503">
      <c r="A2503" s="71" t="n">
        <v>42293</v>
      </c>
      <c r="B2503" s="72" t="n">
        <v>0.25</v>
      </c>
      <c r="C2503" s="71" t="n">
        <v>42293</v>
      </c>
      <c r="D2503" s="72" t="n">
        <v>0</v>
      </c>
    </row>
    <row r="2504">
      <c r="A2504" s="71" t="n">
        <v>42294</v>
      </c>
      <c r="B2504" s="72" t="n">
        <v>0.25</v>
      </c>
      <c r="C2504" s="71" t="n">
        <v>42294</v>
      </c>
      <c r="D2504" s="72" t="n">
        <v>0</v>
      </c>
    </row>
    <row r="2505">
      <c r="A2505" s="71" t="n">
        <v>42295</v>
      </c>
      <c r="B2505" s="72" t="n">
        <v>0.25</v>
      </c>
      <c r="C2505" s="71" t="n">
        <v>42295</v>
      </c>
      <c r="D2505" s="72" t="n">
        <v>0</v>
      </c>
    </row>
    <row r="2506">
      <c r="A2506" s="71" t="n">
        <v>42296</v>
      </c>
      <c r="B2506" s="72" t="n">
        <v>0.25</v>
      </c>
      <c r="C2506" s="71" t="n">
        <v>42296</v>
      </c>
      <c r="D2506" s="72" t="n">
        <v>0</v>
      </c>
    </row>
    <row r="2507">
      <c r="A2507" s="71" t="n">
        <v>42297</v>
      </c>
      <c r="B2507" s="72" t="n">
        <v>0.25</v>
      </c>
      <c r="C2507" s="71" t="n">
        <v>42297</v>
      </c>
      <c r="D2507" s="72" t="n">
        <v>0</v>
      </c>
    </row>
    <row r="2508">
      <c r="A2508" s="71" t="n">
        <v>42298</v>
      </c>
      <c r="B2508" s="72" t="n">
        <v>0.25</v>
      </c>
      <c r="C2508" s="71" t="n">
        <v>42298</v>
      </c>
      <c r="D2508" s="72" t="n">
        <v>0</v>
      </c>
    </row>
    <row r="2509">
      <c r="A2509" s="71" t="n">
        <v>42299</v>
      </c>
      <c r="B2509" s="72" t="n">
        <v>0.25</v>
      </c>
      <c r="C2509" s="71" t="n">
        <v>42299</v>
      </c>
      <c r="D2509" s="72" t="n">
        <v>0</v>
      </c>
    </row>
    <row r="2510">
      <c r="A2510" s="71" t="n">
        <v>42300</v>
      </c>
      <c r="B2510" s="72" t="n">
        <v>0.25</v>
      </c>
      <c r="C2510" s="71" t="n">
        <v>42300</v>
      </c>
      <c r="D2510" s="72" t="n">
        <v>0</v>
      </c>
    </row>
    <row r="2511">
      <c r="A2511" s="71" t="n">
        <v>42301</v>
      </c>
      <c r="B2511" s="72" t="n">
        <v>0.25</v>
      </c>
      <c r="C2511" s="71" t="n">
        <v>42301</v>
      </c>
      <c r="D2511" s="72" t="n">
        <v>0</v>
      </c>
    </row>
    <row r="2512">
      <c r="A2512" s="71" t="n">
        <v>42302</v>
      </c>
      <c r="B2512" s="72" t="n">
        <v>0.25</v>
      </c>
      <c r="C2512" s="71" t="n">
        <v>42302</v>
      </c>
      <c r="D2512" s="72" t="n">
        <v>0</v>
      </c>
    </row>
    <row r="2513">
      <c r="A2513" s="71" t="n">
        <v>42303</v>
      </c>
      <c r="B2513" s="72" t="n">
        <v>0.25</v>
      </c>
      <c r="C2513" s="71" t="n">
        <v>42303</v>
      </c>
      <c r="D2513" s="72" t="n">
        <v>0</v>
      </c>
    </row>
    <row r="2514">
      <c r="A2514" s="71" t="n">
        <v>42304</v>
      </c>
      <c r="B2514" s="72" t="n">
        <v>0.25</v>
      </c>
      <c r="C2514" s="71" t="n">
        <v>42304</v>
      </c>
      <c r="D2514" s="72" t="n">
        <v>0</v>
      </c>
    </row>
    <row r="2515">
      <c r="A2515" s="71" t="n">
        <v>42305</v>
      </c>
      <c r="B2515" s="72" t="n">
        <v>0.25</v>
      </c>
      <c r="C2515" s="71" t="n">
        <v>42305</v>
      </c>
      <c r="D2515" s="72" t="n">
        <v>0</v>
      </c>
    </row>
    <row r="2516">
      <c r="A2516" s="71" t="n">
        <v>42306</v>
      </c>
      <c r="B2516" s="72" t="n">
        <v>0.25</v>
      </c>
      <c r="C2516" s="71" t="n">
        <v>42306</v>
      </c>
      <c r="D2516" s="72" t="n">
        <v>0</v>
      </c>
    </row>
    <row r="2517">
      <c r="A2517" s="71" t="n">
        <v>42307</v>
      </c>
      <c r="B2517" s="72" t="n">
        <v>0.25</v>
      </c>
      <c r="C2517" s="71" t="n">
        <v>42307</v>
      </c>
      <c r="D2517" s="72" t="n">
        <v>0</v>
      </c>
    </row>
    <row r="2518">
      <c r="A2518" s="71" t="n">
        <v>42308</v>
      </c>
      <c r="B2518" s="72" t="n">
        <v>0.25</v>
      </c>
      <c r="C2518" s="71" t="n">
        <v>42308</v>
      </c>
      <c r="D2518" s="72" t="n">
        <v>0</v>
      </c>
    </row>
    <row r="2519">
      <c r="A2519" s="71" t="n">
        <v>42309</v>
      </c>
      <c r="B2519" s="72" t="n">
        <v>0.25</v>
      </c>
      <c r="C2519" s="71" t="n">
        <v>42309</v>
      </c>
      <c r="D2519" s="72" t="n">
        <v>0</v>
      </c>
    </row>
    <row r="2520">
      <c r="A2520" s="71" t="n">
        <v>42310</v>
      </c>
      <c r="B2520" s="72" t="n">
        <v>0.25</v>
      </c>
      <c r="C2520" s="71" t="n">
        <v>42310</v>
      </c>
      <c r="D2520" s="72" t="n">
        <v>0</v>
      </c>
    </row>
    <row r="2521">
      <c r="A2521" s="71" t="n">
        <v>42311</v>
      </c>
      <c r="B2521" s="72" t="n">
        <v>0.25</v>
      </c>
      <c r="C2521" s="71" t="n">
        <v>42311</v>
      </c>
      <c r="D2521" s="72" t="n">
        <v>0</v>
      </c>
    </row>
    <row r="2522">
      <c r="A2522" s="71" t="n">
        <v>42312</v>
      </c>
      <c r="B2522" s="72" t="n">
        <v>0.25</v>
      </c>
      <c r="C2522" s="71" t="n">
        <v>42312</v>
      </c>
      <c r="D2522" s="72" t="n">
        <v>0</v>
      </c>
    </row>
    <row r="2523">
      <c r="A2523" s="71" t="n">
        <v>42313</v>
      </c>
      <c r="B2523" s="72" t="n">
        <v>0.25</v>
      </c>
      <c r="C2523" s="71" t="n">
        <v>42313</v>
      </c>
      <c r="D2523" s="72" t="n">
        <v>0</v>
      </c>
    </row>
    <row r="2524">
      <c r="A2524" s="71" t="n">
        <v>42314</v>
      </c>
      <c r="B2524" s="72" t="n">
        <v>0.25</v>
      </c>
      <c r="C2524" s="71" t="n">
        <v>42314</v>
      </c>
      <c r="D2524" s="72" t="n">
        <v>0</v>
      </c>
    </row>
    <row r="2525">
      <c r="A2525" s="71" t="n">
        <v>42315</v>
      </c>
      <c r="B2525" s="72" t="n">
        <v>0.25</v>
      </c>
      <c r="C2525" s="71" t="n">
        <v>42315</v>
      </c>
      <c r="D2525" s="72" t="n">
        <v>0</v>
      </c>
    </row>
    <row r="2526">
      <c r="A2526" s="71" t="n">
        <v>42316</v>
      </c>
      <c r="B2526" s="72" t="n">
        <v>0.25</v>
      </c>
      <c r="C2526" s="71" t="n">
        <v>42316</v>
      </c>
      <c r="D2526" s="72" t="n">
        <v>0</v>
      </c>
    </row>
    <row r="2527">
      <c r="A2527" s="71" t="n">
        <v>42317</v>
      </c>
      <c r="B2527" s="72" t="n">
        <v>0.25</v>
      </c>
      <c r="C2527" s="71" t="n">
        <v>42317</v>
      </c>
      <c r="D2527" s="72" t="n">
        <v>0</v>
      </c>
    </row>
    <row r="2528">
      <c r="A2528" s="71" t="n">
        <v>42318</v>
      </c>
      <c r="B2528" s="72" t="n">
        <v>0.25</v>
      </c>
      <c r="C2528" s="71" t="n">
        <v>42318</v>
      </c>
      <c r="D2528" s="72" t="n">
        <v>0</v>
      </c>
    </row>
    <row r="2529">
      <c r="A2529" s="71" t="n">
        <v>42319</v>
      </c>
      <c r="B2529" s="72" t="n">
        <v>0.25</v>
      </c>
      <c r="C2529" s="71" t="n">
        <v>42319</v>
      </c>
      <c r="D2529" s="72" t="n">
        <v>0</v>
      </c>
    </row>
    <row r="2530">
      <c r="A2530" s="71" t="n">
        <v>42320</v>
      </c>
      <c r="B2530" s="72" t="n">
        <v>0.25</v>
      </c>
      <c r="C2530" s="71" t="n">
        <v>42320</v>
      </c>
      <c r="D2530" s="72" t="n">
        <v>0</v>
      </c>
    </row>
    <row r="2531">
      <c r="A2531" s="71" t="n">
        <v>42321</v>
      </c>
      <c r="B2531" s="72" t="n">
        <v>0.25</v>
      </c>
      <c r="C2531" s="71" t="n">
        <v>42321</v>
      </c>
      <c r="D2531" s="72" t="n">
        <v>0</v>
      </c>
    </row>
    <row r="2532">
      <c r="A2532" s="71" t="n">
        <v>42322</v>
      </c>
      <c r="B2532" s="72" t="n">
        <v>0.25</v>
      </c>
      <c r="C2532" s="71" t="n">
        <v>42322</v>
      </c>
      <c r="D2532" s="72" t="n">
        <v>0</v>
      </c>
    </row>
    <row r="2533">
      <c r="A2533" s="71" t="n">
        <v>42323</v>
      </c>
      <c r="B2533" s="72" t="n">
        <v>0.25</v>
      </c>
      <c r="C2533" s="71" t="n">
        <v>42323</v>
      </c>
      <c r="D2533" s="72" t="n">
        <v>0</v>
      </c>
    </row>
    <row r="2534">
      <c r="A2534" s="71" t="n">
        <v>42324</v>
      </c>
      <c r="B2534" s="72" t="n">
        <v>0.25</v>
      </c>
      <c r="C2534" s="71" t="n">
        <v>42324</v>
      </c>
      <c r="D2534" s="72" t="n">
        <v>0</v>
      </c>
    </row>
    <row r="2535">
      <c r="A2535" s="71" t="n">
        <v>42325</v>
      </c>
      <c r="B2535" s="72" t="n">
        <v>0.25</v>
      </c>
      <c r="C2535" s="71" t="n">
        <v>42325</v>
      </c>
      <c r="D2535" s="72" t="n">
        <v>0</v>
      </c>
    </row>
    <row r="2536">
      <c r="A2536" s="71" t="n">
        <v>42326</v>
      </c>
      <c r="B2536" s="72" t="n">
        <v>0.25</v>
      </c>
      <c r="C2536" s="71" t="n">
        <v>42326</v>
      </c>
      <c r="D2536" s="72" t="n">
        <v>0</v>
      </c>
    </row>
    <row r="2537">
      <c r="A2537" s="71" t="n">
        <v>42327</v>
      </c>
      <c r="B2537" s="72" t="n">
        <v>0.25</v>
      </c>
      <c r="C2537" s="71" t="n">
        <v>42327</v>
      </c>
      <c r="D2537" s="72" t="n">
        <v>0</v>
      </c>
    </row>
    <row r="2538">
      <c r="A2538" s="71" t="n">
        <v>42328</v>
      </c>
      <c r="B2538" s="72" t="n">
        <v>0.25</v>
      </c>
      <c r="C2538" s="71" t="n">
        <v>42328</v>
      </c>
      <c r="D2538" s="72" t="n">
        <v>0</v>
      </c>
    </row>
    <row r="2539">
      <c r="A2539" s="71" t="n">
        <v>42329</v>
      </c>
      <c r="B2539" s="72" t="n">
        <v>0.25</v>
      </c>
      <c r="C2539" s="71" t="n">
        <v>42329</v>
      </c>
      <c r="D2539" s="72" t="n">
        <v>0</v>
      </c>
    </row>
    <row r="2540">
      <c r="A2540" s="71" t="n">
        <v>42330</v>
      </c>
      <c r="B2540" s="72" t="n">
        <v>0.25</v>
      </c>
      <c r="C2540" s="71" t="n">
        <v>42330</v>
      </c>
      <c r="D2540" s="72" t="n">
        <v>0</v>
      </c>
    </row>
    <row r="2541">
      <c r="A2541" s="71" t="n">
        <v>42331</v>
      </c>
      <c r="B2541" s="72" t="n">
        <v>0.25</v>
      </c>
      <c r="C2541" s="71" t="n">
        <v>42331</v>
      </c>
      <c r="D2541" s="72" t="n">
        <v>0</v>
      </c>
    </row>
    <row r="2542">
      <c r="A2542" s="71" t="n">
        <v>42332</v>
      </c>
      <c r="B2542" s="72" t="n">
        <v>0.25</v>
      </c>
      <c r="C2542" s="71" t="n">
        <v>42332</v>
      </c>
      <c r="D2542" s="72" t="n">
        <v>0</v>
      </c>
    </row>
    <row r="2543">
      <c r="A2543" s="71" t="n">
        <v>42333</v>
      </c>
      <c r="B2543" s="72" t="n">
        <v>0.25</v>
      </c>
      <c r="C2543" s="71" t="n">
        <v>42333</v>
      </c>
      <c r="D2543" s="72" t="n">
        <v>0</v>
      </c>
    </row>
    <row r="2544">
      <c r="A2544" s="71" t="n">
        <v>42334</v>
      </c>
      <c r="B2544" s="72" t="n">
        <v>0.25</v>
      </c>
      <c r="C2544" s="71" t="n">
        <v>42334</v>
      </c>
      <c r="D2544" s="72" t="n">
        <v>0</v>
      </c>
    </row>
    <row r="2545">
      <c r="A2545" s="71" t="n">
        <v>42335</v>
      </c>
      <c r="B2545" s="72" t="n">
        <v>0.25</v>
      </c>
      <c r="C2545" s="71" t="n">
        <v>42335</v>
      </c>
      <c r="D2545" s="72" t="n">
        <v>0</v>
      </c>
    </row>
    <row r="2546">
      <c r="A2546" s="71" t="n">
        <v>42336</v>
      </c>
      <c r="B2546" s="72" t="n">
        <v>0.25</v>
      </c>
      <c r="C2546" s="71" t="n">
        <v>42336</v>
      </c>
      <c r="D2546" s="72" t="n">
        <v>0</v>
      </c>
    </row>
    <row r="2547">
      <c r="A2547" s="71" t="n">
        <v>42337</v>
      </c>
      <c r="B2547" s="72" t="n">
        <v>0.25</v>
      </c>
      <c r="C2547" s="71" t="n">
        <v>42337</v>
      </c>
      <c r="D2547" s="72" t="n">
        <v>0</v>
      </c>
    </row>
    <row r="2548">
      <c r="A2548" s="71" t="n">
        <v>42338</v>
      </c>
      <c r="B2548" s="72" t="n">
        <v>0.25</v>
      </c>
      <c r="C2548" s="71" t="n">
        <v>42338</v>
      </c>
      <c r="D2548" s="72" t="n">
        <v>0</v>
      </c>
    </row>
    <row r="2549">
      <c r="A2549" s="71" t="n">
        <v>42339</v>
      </c>
      <c r="B2549" s="72" t="n">
        <v>0.25</v>
      </c>
      <c r="C2549" s="71" t="n">
        <v>42339</v>
      </c>
      <c r="D2549" s="72" t="n">
        <v>0</v>
      </c>
    </row>
    <row r="2550">
      <c r="A2550" s="71" t="n">
        <v>42340</v>
      </c>
      <c r="B2550" s="72" t="n">
        <v>0.25</v>
      </c>
      <c r="C2550" s="71" t="n">
        <v>42340</v>
      </c>
      <c r="D2550" s="72" t="n">
        <v>0</v>
      </c>
    </row>
    <row r="2551">
      <c r="A2551" s="71" t="n">
        <v>42341</v>
      </c>
      <c r="B2551" s="72" t="n">
        <v>0.25</v>
      </c>
      <c r="C2551" s="71" t="n">
        <v>42341</v>
      </c>
      <c r="D2551" s="72" t="n">
        <v>0</v>
      </c>
    </row>
    <row r="2552">
      <c r="A2552" s="71" t="n">
        <v>42342</v>
      </c>
      <c r="B2552" s="72" t="n">
        <v>0.25</v>
      </c>
      <c r="C2552" s="71" t="n">
        <v>42342</v>
      </c>
      <c r="D2552" s="72" t="n">
        <v>0</v>
      </c>
    </row>
    <row r="2553">
      <c r="A2553" s="71" t="n">
        <v>42343</v>
      </c>
      <c r="B2553" s="72" t="n">
        <v>0.25</v>
      </c>
      <c r="C2553" s="71" t="n">
        <v>42343</v>
      </c>
      <c r="D2553" s="72" t="n">
        <v>0</v>
      </c>
    </row>
    <row r="2554">
      <c r="A2554" s="71" t="n">
        <v>42344</v>
      </c>
      <c r="B2554" s="72" t="n">
        <v>0.25</v>
      </c>
      <c r="C2554" s="71" t="n">
        <v>42344</v>
      </c>
      <c r="D2554" s="72" t="n">
        <v>0</v>
      </c>
    </row>
    <row r="2555">
      <c r="A2555" s="71" t="n">
        <v>42345</v>
      </c>
      <c r="B2555" s="72" t="n">
        <v>0.25</v>
      </c>
      <c r="C2555" s="71" t="n">
        <v>42345</v>
      </c>
      <c r="D2555" s="72" t="n">
        <v>0</v>
      </c>
    </row>
    <row r="2556">
      <c r="A2556" s="71" t="n">
        <v>42346</v>
      </c>
      <c r="B2556" s="72" t="n">
        <v>0.25</v>
      </c>
      <c r="C2556" s="71" t="n">
        <v>42346</v>
      </c>
      <c r="D2556" s="72" t="n">
        <v>0</v>
      </c>
    </row>
    <row r="2557">
      <c r="A2557" s="71" t="n">
        <v>42347</v>
      </c>
      <c r="B2557" s="72" t="n">
        <v>0.25</v>
      </c>
      <c r="C2557" s="71" t="n">
        <v>42347</v>
      </c>
      <c r="D2557" s="72" t="n">
        <v>0</v>
      </c>
    </row>
    <row r="2558">
      <c r="A2558" s="71" t="n">
        <v>42348</v>
      </c>
      <c r="B2558" s="72" t="n">
        <v>0.25</v>
      </c>
      <c r="C2558" s="71" t="n">
        <v>42348</v>
      </c>
      <c r="D2558" s="72" t="n">
        <v>0</v>
      </c>
    </row>
    <row r="2559">
      <c r="A2559" s="71" t="n">
        <v>42349</v>
      </c>
      <c r="B2559" s="72" t="n">
        <v>0.25</v>
      </c>
      <c r="C2559" s="71" t="n">
        <v>42349</v>
      </c>
      <c r="D2559" s="72" t="n">
        <v>0</v>
      </c>
    </row>
    <row r="2560">
      <c r="A2560" s="71" t="n">
        <v>42350</v>
      </c>
      <c r="B2560" s="72" t="n">
        <v>0.25</v>
      </c>
      <c r="C2560" s="71" t="n">
        <v>42350</v>
      </c>
      <c r="D2560" s="72" t="n">
        <v>0</v>
      </c>
    </row>
    <row r="2561">
      <c r="A2561" s="71" t="n">
        <v>42351</v>
      </c>
      <c r="B2561" s="72" t="n">
        <v>0.25</v>
      </c>
      <c r="C2561" s="71" t="n">
        <v>42351</v>
      </c>
      <c r="D2561" s="72" t="n">
        <v>0</v>
      </c>
    </row>
    <row r="2562">
      <c r="A2562" s="71" t="n">
        <v>42352</v>
      </c>
      <c r="B2562" s="72" t="n">
        <v>0.25</v>
      </c>
      <c r="C2562" s="71" t="n">
        <v>42352</v>
      </c>
      <c r="D2562" s="72" t="n">
        <v>0</v>
      </c>
    </row>
    <row r="2563">
      <c r="A2563" s="71" t="n">
        <v>42353</v>
      </c>
      <c r="B2563" s="72" t="n">
        <v>0.25</v>
      </c>
      <c r="C2563" s="71" t="n">
        <v>42353</v>
      </c>
      <c r="D2563" s="72" t="n">
        <v>0</v>
      </c>
    </row>
    <row r="2564">
      <c r="A2564" s="71" t="n">
        <v>42354</v>
      </c>
      <c r="B2564" s="72" t="n">
        <v>0.5</v>
      </c>
      <c r="C2564" s="71" t="n">
        <v>42354</v>
      </c>
      <c r="D2564" s="72" t="n">
        <v>0.25</v>
      </c>
    </row>
    <row r="2565">
      <c r="A2565" s="71" t="n">
        <v>42355</v>
      </c>
      <c r="B2565" s="72" t="n">
        <v>0.5</v>
      </c>
      <c r="C2565" s="71" t="n">
        <v>42355</v>
      </c>
      <c r="D2565" s="72" t="n">
        <v>0.25</v>
      </c>
    </row>
    <row r="2566">
      <c r="A2566" s="71" t="n">
        <v>42356</v>
      </c>
      <c r="B2566" s="72" t="n">
        <v>0.5</v>
      </c>
      <c r="C2566" s="71" t="n">
        <v>42356</v>
      </c>
      <c r="D2566" s="72" t="n">
        <v>0.25</v>
      </c>
    </row>
    <row r="2567">
      <c r="A2567" s="71" t="n">
        <v>42357</v>
      </c>
      <c r="B2567" s="72" t="n">
        <v>0.5</v>
      </c>
      <c r="C2567" s="71" t="n">
        <v>42357</v>
      </c>
      <c r="D2567" s="72" t="n">
        <v>0.25</v>
      </c>
    </row>
    <row r="2568">
      <c r="A2568" s="71" t="n">
        <v>42358</v>
      </c>
      <c r="B2568" s="72" t="n">
        <v>0.5</v>
      </c>
      <c r="C2568" s="71" t="n">
        <v>42358</v>
      </c>
      <c r="D2568" s="72" t="n">
        <v>0.25</v>
      </c>
    </row>
    <row r="2569">
      <c r="A2569" s="71" t="n">
        <v>42359</v>
      </c>
      <c r="B2569" s="72" t="n">
        <v>0.5</v>
      </c>
      <c r="C2569" s="71" t="n">
        <v>42359</v>
      </c>
      <c r="D2569" s="72" t="n">
        <v>0.25</v>
      </c>
    </row>
    <row r="2570">
      <c r="A2570" s="71" t="n">
        <v>42360</v>
      </c>
      <c r="B2570" s="72" t="n">
        <v>0.5</v>
      </c>
      <c r="C2570" s="71" t="n">
        <v>42360</v>
      </c>
      <c r="D2570" s="72" t="n">
        <v>0.25</v>
      </c>
    </row>
    <row r="2571">
      <c r="A2571" s="71" t="n">
        <v>42361</v>
      </c>
      <c r="B2571" s="72" t="n">
        <v>0.5</v>
      </c>
      <c r="C2571" s="71" t="n">
        <v>42361</v>
      </c>
      <c r="D2571" s="72" t="n">
        <v>0.25</v>
      </c>
    </row>
    <row r="2572">
      <c r="A2572" s="71" t="n">
        <v>42362</v>
      </c>
      <c r="B2572" s="72" t="n">
        <v>0.5</v>
      </c>
      <c r="C2572" s="71" t="n">
        <v>42362</v>
      </c>
      <c r="D2572" s="72" t="n">
        <v>0.25</v>
      </c>
    </row>
    <row r="2573">
      <c r="A2573" s="71" t="n">
        <v>42363</v>
      </c>
      <c r="B2573" s="72" t="n">
        <v>0.5</v>
      </c>
      <c r="C2573" s="71" t="n">
        <v>42363</v>
      </c>
      <c r="D2573" s="72" t="n">
        <v>0.25</v>
      </c>
    </row>
    <row r="2574">
      <c r="A2574" s="71" t="n">
        <v>42364</v>
      </c>
      <c r="B2574" s="72" t="n">
        <v>0.5</v>
      </c>
      <c r="C2574" s="71" t="n">
        <v>42364</v>
      </c>
      <c r="D2574" s="72" t="n">
        <v>0.25</v>
      </c>
    </row>
    <row r="2575">
      <c r="A2575" s="71" t="n">
        <v>42365</v>
      </c>
      <c r="B2575" s="72" t="n">
        <v>0.5</v>
      </c>
      <c r="C2575" s="71" t="n">
        <v>42365</v>
      </c>
      <c r="D2575" s="72" t="n">
        <v>0.25</v>
      </c>
    </row>
    <row r="2576">
      <c r="A2576" s="71" t="n">
        <v>42366</v>
      </c>
      <c r="B2576" s="72" t="n">
        <v>0.5</v>
      </c>
      <c r="C2576" s="71" t="n">
        <v>42366</v>
      </c>
      <c r="D2576" s="72" t="n">
        <v>0.25</v>
      </c>
    </row>
    <row r="2577">
      <c r="A2577" s="71" t="n">
        <v>42367</v>
      </c>
      <c r="B2577" s="72" t="n">
        <v>0.5</v>
      </c>
      <c r="C2577" s="71" t="n">
        <v>42367</v>
      </c>
      <c r="D2577" s="72" t="n">
        <v>0.25</v>
      </c>
    </row>
    <row r="2578">
      <c r="A2578" s="71" t="n">
        <v>42368</v>
      </c>
      <c r="B2578" s="72" t="n">
        <v>0.5</v>
      </c>
      <c r="C2578" s="71" t="n">
        <v>42368</v>
      </c>
      <c r="D2578" s="72" t="n">
        <v>0.25</v>
      </c>
    </row>
    <row r="2579">
      <c r="A2579" s="71" t="n">
        <v>42369</v>
      </c>
      <c r="B2579" s="72" t="n">
        <v>0.5</v>
      </c>
      <c r="C2579" s="71" t="n">
        <v>42369</v>
      </c>
      <c r="D2579" s="72" t="n">
        <v>0.25</v>
      </c>
    </row>
    <row r="2580">
      <c r="A2580" s="71" t="n">
        <v>42370</v>
      </c>
      <c r="B2580" s="72" t="n">
        <v>0.5</v>
      </c>
      <c r="C2580" s="71" t="n">
        <v>42370</v>
      </c>
      <c r="D2580" s="72" t="n">
        <v>0.25</v>
      </c>
    </row>
    <row r="2581">
      <c r="A2581" s="71" t="n">
        <v>42371</v>
      </c>
      <c r="B2581" s="72" t="n">
        <v>0.5</v>
      </c>
      <c r="C2581" s="71" t="n">
        <v>42371</v>
      </c>
      <c r="D2581" s="72" t="n">
        <v>0.25</v>
      </c>
    </row>
    <row r="2582">
      <c r="A2582" s="71" t="n">
        <v>42372</v>
      </c>
      <c r="B2582" s="72" t="n">
        <v>0.5</v>
      </c>
      <c r="C2582" s="71" t="n">
        <v>42372</v>
      </c>
      <c r="D2582" s="72" t="n">
        <v>0.25</v>
      </c>
    </row>
    <row r="2583">
      <c r="A2583" s="71" t="n">
        <v>42373</v>
      </c>
      <c r="B2583" s="72" t="n">
        <v>0.5</v>
      </c>
      <c r="C2583" s="71" t="n">
        <v>42373</v>
      </c>
      <c r="D2583" s="72" t="n">
        <v>0.25</v>
      </c>
    </row>
    <row r="2584">
      <c r="A2584" s="71" t="n">
        <v>42374</v>
      </c>
      <c r="B2584" s="72" t="n">
        <v>0.5</v>
      </c>
      <c r="C2584" s="71" t="n">
        <v>42374</v>
      </c>
      <c r="D2584" s="72" t="n">
        <v>0.25</v>
      </c>
    </row>
    <row r="2585">
      <c r="A2585" s="71" t="n">
        <v>42375</v>
      </c>
      <c r="B2585" s="72" t="n">
        <v>0.5</v>
      </c>
      <c r="C2585" s="71" t="n">
        <v>42375</v>
      </c>
      <c r="D2585" s="72" t="n">
        <v>0.25</v>
      </c>
    </row>
    <row r="2586">
      <c r="A2586" s="71" t="n">
        <v>42376</v>
      </c>
      <c r="B2586" s="72" t="n">
        <v>0.5</v>
      </c>
      <c r="C2586" s="71" t="n">
        <v>42376</v>
      </c>
      <c r="D2586" s="72" t="n">
        <v>0.25</v>
      </c>
    </row>
    <row r="2587">
      <c r="A2587" s="71" t="n">
        <v>42377</v>
      </c>
      <c r="B2587" s="72" t="n">
        <v>0.5</v>
      </c>
      <c r="C2587" s="71" t="n">
        <v>42377</v>
      </c>
      <c r="D2587" s="72" t="n">
        <v>0.25</v>
      </c>
    </row>
    <row r="2588">
      <c r="A2588" s="71" t="n">
        <v>42378</v>
      </c>
      <c r="B2588" s="72" t="n">
        <v>0.5</v>
      </c>
      <c r="C2588" s="71" t="n">
        <v>42378</v>
      </c>
      <c r="D2588" s="72" t="n">
        <v>0.25</v>
      </c>
    </row>
    <row r="2589">
      <c r="A2589" s="71" t="n">
        <v>42379</v>
      </c>
      <c r="B2589" s="72" t="n">
        <v>0.5</v>
      </c>
      <c r="C2589" s="71" t="n">
        <v>42379</v>
      </c>
      <c r="D2589" s="72" t="n">
        <v>0.25</v>
      </c>
    </row>
    <row r="2590">
      <c r="A2590" s="71" t="n">
        <v>42380</v>
      </c>
      <c r="B2590" s="72" t="n">
        <v>0.5</v>
      </c>
      <c r="C2590" s="71" t="n">
        <v>42380</v>
      </c>
      <c r="D2590" s="72" t="n">
        <v>0.25</v>
      </c>
    </row>
    <row r="2591">
      <c r="A2591" s="71" t="n">
        <v>42381</v>
      </c>
      <c r="B2591" s="72" t="n">
        <v>0.5</v>
      </c>
      <c r="C2591" s="71" t="n">
        <v>42381</v>
      </c>
      <c r="D2591" s="72" t="n">
        <v>0.25</v>
      </c>
    </row>
    <row r="2592">
      <c r="A2592" s="71" t="n">
        <v>42382</v>
      </c>
      <c r="B2592" s="72" t="n">
        <v>0.5</v>
      </c>
      <c r="C2592" s="71" t="n">
        <v>42382</v>
      </c>
      <c r="D2592" s="72" t="n">
        <v>0.25</v>
      </c>
    </row>
    <row r="2593">
      <c r="A2593" s="71" t="n">
        <v>42383</v>
      </c>
      <c r="B2593" s="72" t="n">
        <v>0.5</v>
      </c>
      <c r="C2593" s="71" t="n">
        <v>42383</v>
      </c>
      <c r="D2593" s="72" t="n">
        <v>0.25</v>
      </c>
    </row>
    <row r="2594">
      <c r="A2594" s="71" t="n">
        <v>42384</v>
      </c>
      <c r="B2594" s="72" t="n">
        <v>0.5</v>
      </c>
      <c r="C2594" s="71" t="n">
        <v>42384</v>
      </c>
      <c r="D2594" s="72" t="n">
        <v>0.25</v>
      </c>
    </row>
    <row r="2595">
      <c r="A2595" s="71" t="n">
        <v>42385</v>
      </c>
      <c r="B2595" s="72" t="n">
        <v>0.5</v>
      </c>
      <c r="C2595" s="71" t="n">
        <v>42385</v>
      </c>
      <c r="D2595" s="72" t="n">
        <v>0.25</v>
      </c>
    </row>
    <row r="2596">
      <c r="A2596" s="71" t="n">
        <v>42386</v>
      </c>
      <c r="B2596" s="72" t="n">
        <v>0.5</v>
      </c>
      <c r="C2596" s="71" t="n">
        <v>42386</v>
      </c>
      <c r="D2596" s="72" t="n">
        <v>0.25</v>
      </c>
    </row>
    <row r="2597">
      <c r="A2597" s="71" t="n">
        <v>42387</v>
      </c>
      <c r="B2597" s="72" t="n">
        <v>0.5</v>
      </c>
      <c r="C2597" s="71" t="n">
        <v>42387</v>
      </c>
      <c r="D2597" s="72" t="n">
        <v>0.25</v>
      </c>
    </row>
    <row r="2598">
      <c r="A2598" s="71" t="n">
        <v>42388</v>
      </c>
      <c r="B2598" s="72" t="n">
        <v>0.5</v>
      </c>
      <c r="C2598" s="71" t="n">
        <v>42388</v>
      </c>
      <c r="D2598" s="72" t="n">
        <v>0.25</v>
      </c>
    </row>
    <row r="2599">
      <c r="A2599" s="71" t="n">
        <v>42389</v>
      </c>
      <c r="B2599" s="72" t="n">
        <v>0.5</v>
      </c>
      <c r="C2599" s="71" t="n">
        <v>42389</v>
      </c>
      <c r="D2599" s="72" t="n">
        <v>0.25</v>
      </c>
    </row>
    <row r="2600">
      <c r="A2600" s="71" t="n">
        <v>42390</v>
      </c>
      <c r="B2600" s="72" t="n">
        <v>0.5</v>
      </c>
      <c r="C2600" s="71" t="n">
        <v>42390</v>
      </c>
      <c r="D2600" s="72" t="n">
        <v>0.25</v>
      </c>
    </row>
    <row r="2601">
      <c r="A2601" s="71" t="n">
        <v>42391</v>
      </c>
      <c r="B2601" s="72" t="n">
        <v>0.5</v>
      </c>
      <c r="C2601" s="71" t="n">
        <v>42391</v>
      </c>
      <c r="D2601" s="72" t="n">
        <v>0.25</v>
      </c>
    </row>
    <row r="2602">
      <c r="A2602" s="71" t="n">
        <v>42392</v>
      </c>
      <c r="B2602" s="72" t="n">
        <v>0.5</v>
      </c>
      <c r="C2602" s="71" t="n">
        <v>42392</v>
      </c>
      <c r="D2602" s="72" t="n">
        <v>0.25</v>
      </c>
    </row>
    <row r="2603">
      <c r="A2603" s="71" t="n">
        <v>42393</v>
      </c>
      <c r="B2603" s="72" t="n">
        <v>0.5</v>
      </c>
      <c r="C2603" s="71" t="n">
        <v>42393</v>
      </c>
      <c r="D2603" s="72" t="n">
        <v>0.25</v>
      </c>
    </row>
    <row r="2604">
      <c r="A2604" s="71" t="n">
        <v>42394</v>
      </c>
      <c r="B2604" s="72" t="n">
        <v>0.5</v>
      </c>
      <c r="C2604" s="71" t="n">
        <v>42394</v>
      </c>
      <c r="D2604" s="72" t="n">
        <v>0.25</v>
      </c>
    </row>
    <row r="2605">
      <c r="A2605" s="71" t="n">
        <v>42395</v>
      </c>
      <c r="B2605" s="72" t="n">
        <v>0.5</v>
      </c>
      <c r="C2605" s="71" t="n">
        <v>42395</v>
      </c>
      <c r="D2605" s="72" t="n">
        <v>0.25</v>
      </c>
    </row>
    <row r="2606">
      <c r="A2606" s="71" t="n">
        <v>42396</v>
      </c>
      <c r="B2606" s="72" t="n">
        <v>0.5</v>
      </c>
      <c r="C2606" s="71" t="n">
        <v>42396</v>
      </c>
      <c r="D2606" s="72" t="n">
        <v>0.25</v>
      </c>
    </row>
    <row r="2607">
      <c r="A2607" s="71" t="n">
        <v>42397</v>
      </c>
      <c r="B2607" s="72" t="n">
        <v>0.5</v>
      </c>
      <c r="C2607" s="71" t="n">
        <v>42397</v>
      </c>
      <c r="D2607" s="72" t="n">
        <v>0.25</v>
      </c>
    </row>
    <row r="2608">
      <c r="A2608" s="71" t="n">
        <v>42398</v>
      </c>
      <c r="B2608" s="72" t="n">
        <v>0.5</v>
      </c>
      <c r="C2608" s="71" t="n">
        <v>42398</v>
      </c>
      <c r="D2608" s="72" t="n">
        <v>0.25</v>
      </c>
    </row>
    <row r="2609">
      <c r="A2609" s="71" t="n">
        <v>42399</v>
      </c>
      <c r="B2609" s="72" t="n">
        <v>0.5</v>
      </c>
      <c r="C2609" s="71" t="n">
        <v>42399</v>
      </c>
      <c r="D2609" s="72" t="n">
        <v>0.25</v>
      </c>
    </row>
    <row r="2610">
      <c r="A2610" s="71" t="n">
        <v>42400</v>
      </c>
      <c r="B2610" s="72" t="n">
        <v>0.5</v>
      </c>
      <c r="C2610" s="71" t="n">
        <v>42400</v>
      </c>
      <c r="D2610" s="72" t="n">
        <v>0.25</v>
      </c>
    </row>
    <row r="2611">
      <c r="A2611" s="71" t="n">
        <v>42401</v>
      </c>
      <c r="B2611" s="72" t="n">
        <v>0.5</v>
      </c>
      <c r="C2611" s="71" t="n">
        <v>42401</v>
      </c>
      <c r="D2611" s="72" t="n">
        <v>0.25</v>
      </c>
    </row>
    <row r="2612">
      <c r="A2612" s="71" t="n">
        <v>42402</v>
      </c>
      <c r="B2612" s="72" t="n">
        <v>0.5</v>
      </c>
      <c r="C2612" s="71" t="n">
        <v>42402</v>
      </c>
      <c r="D2612" s="72" t="n">
        <v>0.25</v>
      </c>
    </row>
    <row r="2613">
      <c r="A2613" s="71" t="n">
        <v>42403</v>
      </c>
      <c r="B2613" s="72" t="n">
        <v>0.5</v>
      </c>
      <c r="C2613" s="71" t="n">
        <v>42403</v>
      </c>
      <c r="D2613" s="72" t="n">
        <v>0.25</v>
      </c>
    </row>
    <row r="2614">
      <c r="A2614" s="71" t="n">
        <v>42404</v>
      </c>
      <c r="B2614" s="72" t="n">
        <v>0.5</v>
      </c>
      <c r="C2614" s="71" t="n">
        <v>42404</v>
      </c>
      <c r="D2614" s="72" t="n">
        <v>0.25</v>
      </c>
    </row>
    <row r="2615">
      <c r="A2615" s="71" t="n">
        <v>42405</v>
      </c>
      <c r="B2615" s="72" t="n">
        <v>0.5</v>
      </c>
      <c r="C2615" s="71" t="n">
        <v>42405</v>
      </c>
      <c r="D2615" s="72" t="n">
        <v>0.25</v>
      </c>
    </row>
    <row r="2616">
      <c r="A2616" s="71" t="n">
        <v>42406</v>
      </c>
      <c r="B2616" s="72" t="n">
        <v>0.5</v>
      </c>
      <c r="C2616" s="71" t="n">
        <v>42406</v>
      </c>
      <c r="D2616" s="72" t="n">
        <v>0.25</v>
      </c>
    </row>
    <row r="2617">
      <c r="A2617" s="71" t="n">
        <v>42407</v>
      </c>
      <c r="B2617" s="72" t="n">
        <v>0.5</v>
      </c>
      <c r="C2617" s="71" t="n">
        <v>42407</v>
      </c>
      <c r="D2617" s="72" t="n">
        <v>0.25</v>
      </c>
    </row>
    <row r="2618">
      <c r="A2618" s="71" t="n">
        <v>42408</v>
      </c>
      <c r="B2618" s="72" t="n">
        <v>0.5</v>
      </c>
      <c r="C2618" s="71" t="n">
        <v>42408</v>
      </c>
      <c r="D2618" s="72" t="n">
        <v>0.25</v>
      </c>
    </row>
    <row r="2619">
      <c r="A2619" s="71" t="n">
        <v>42409</v>
      </c>
      <c r="B2619" s="72" t="n">
        <v>0.5</v>
      </c>
      <c r="C2619" s="71" t="n">
        <v>42409</v>
      </c>
      <c r="D2619" s="72" t="n">
        <v>0.25</v>
      </c>
    </row>
    <row r="2620">
      <c r="A2620" s="71" t="n">
        <v>42410</v>
      </c>
      <c r="B2620" s="72" t="n">
        <v>0.5</v>
      </c>
      <c r="C2620" s="71" t="n">
        <v>42410</v>
      </c>
      <c r="D2620" s="72" t="n">
        <v>0.25</v>
      </c>
    </row>
    <row r="2621">
      <c r="A2621" s="71" t="n">
        <v>42411</v>
      </c>
      <c r="B2621" s="72" t="n">
        <v>0.5</v>
      </c>
      <c r="C2621" s="71" t="n">
        <v>42411</v>
      </c>
      <c r="D2621" s="72" t="n">
        <v>0.25</v>
      </c>
    </row>
    <row r="2622">
      <c r="A2622" s="71" t="n">
        <v>42412</v>
      </c>
      <c r="B2622" s="72" t="n">
        <v>0.5</v>
      </c>
      <c r="C2622" s="71" t="n">
        <v>42412</v>
      </c>
      <c r="D2622" s="72" t="n">
        <v>0.25</v>
      </c>
    </row>
    <row r="2623">
      <c r="A2623" s="71" t="n">
        <v>42413</v>
      </c>
      <c r="B2623" s="72" t="n">
        <v>0.5</v>
      </c>
      <c r="C2623" s="71" t="n">
        <v>42413</v>
      </c>
      <c r="D2623" s="72" t="n">
        <v>0.25</v>
      </c>
    </row>
    <row r="2624">
      <c r="A2624" s="71" t="n">
        <v>42414</v>
      </c>
      <c r="B2624" s="72" t="n">
        <v>0.5</v>
      </c>
      <c r="C2624" s="71" t="n">
        <v>42414</v>
      </c>
      <c r="D2624" s="72" t="n">
        <v>0.25</v>
      </c>
    </row>
    <row r="2625">
      <c r="A2625" s="71" t="n">
        <v>42415</v>
      </c>
      <c r="B2625" s="72" t="n">
        <v>0.5</v>
      </c>
      <c r="C2625" s="71" t="n">
        <v>42415</v>
      </c>
      <c r="D2625" s="72" t="n">
        <v>0.25</v>
      </c>
    </row>
    <row r="2626">
      <c r="A2626" s="71" t="n">
        <v>42416</v>
      </c>
      <c r="B2626" s="72" t="n">
        <v>0.5</v>
      </c>
      <c r="C2626" s="71" t="n">
        <v>42416</v>
      </c>
      <c r="D2626" s="72" t="n">
        <v>0.25</v>
      </c>
    </row>
    <row r="2627">
      <c r="A2627" s="71" t="n">
        <v>42417</v>
      </c>
      <c r="B2627" s="72" t="n">
        <v>0.5</v>
      </c>
      <c r="C2627" s="71" t="n">
        <v>42417</v>
      </c>
      <c r="D2627" s="72" t="n">
        <v>0.25</v>
      </c>
    </row>
    <row r="2628">
      <c r="A2628" s="71" t="n">
        <v>42418</v>
      </c>
      <c r="B2628" s="72" t="n">
        <v>0.5</v>
      </c>
      <c r="C2628" s="71" t="n">
        <v>42418</v>
      </c>
      <c r="D2628" s="72" t="n">
        <v>0.25</v>
      </c>
    </row>
    <row r="2629">
      <c r="A2629" s="71" t="n">
        <v>42419</v>
      </c>
      <c r="B2629" s="72" t="n">
        <v>0.5</v>
      </c>
      <c r="C2629" s="71" t="n">
        <v>42419</v>
      </c>
      <c r="D2629" s="72" t="n">
        <v>0.25</v>
      </c>
    </row>
    <row r="2630">
      <c r="A2630" s="71" t="n">
        <v>42420</v>
      </c>
      <c r="B2630" s="72" t="n">
        <v>0.5</v>
      </c>
      <c r="C2630" s="71" t="n">
        <v>42420</v>
      </c>
      <c r="D2630" s="72" t="n">
        <v>0.25</v>
      </c>
    </row>
    <row r="2631">
      <c r="A2631" s="71" t="n">
        <v>42421</v>
      </c>
      <c r="B2631" s="72" t="n">
        <v>0.5</v>
      </c>
      <c r="C2631" s="71" t="n">
        <v>42421</v>
      </c>
      <c r="D2631" s="72" t="n">
        <v>0.25</v>
      </c>
    </row>
    <row r="2632">
      <c r="A2632" s="71" t="n">
        <v>42422</v>
      </c>
      <c r="B2632" s="72" t="n">
        <v>0.5</v>
      </c>
      <c r="C2632" s="71" t="n">
        <v>42422</v>
      </c>
      <c r="D2632" s="72" t="n">
        <v>0.25</v>
      </c>
    </row>
    <row r="2633">
      <c r="A2633" s="71" t="n">
        <v>42423</v>
      </c>
      <c r="B2633" s="72" t="n">
        <v>0.5</v>
      </c>
      <c r="C2633" s="71" t="n">
        <v>42423</v>
      </c>
      <c r="D2633" s="72" t="n">
        <v>0.25</v>
      </c>
    </row>
    <row r="2634">
      <c r="A2634" s="71" t="n">
        <v>42424</v>
      </c>
      <c r="B2634" s="72" t="n">
        <v>0.5</v>
      </c>
      <c r="C2634" s="71" t="n">
        <v>42424</v>
      </c>
      <c r="D2634" s="72" t="n">
        <v>0.25</v>
      </c>
    </row>
    <row r="2635">
      <c r="A2635" s="71" t="n">
        <v>42425</v>
      </c>
      <c r="B2635" s="72" t="n">
        <v>0.5</v>
      </c>
      <c r="C2635" s="71" t="n">
        <v>42425</v>
      </c>
      <c r="D2635" s="72" t="n">
        <v>0.25</v>
      </c>
    </row>
    <row r="2636">
      <c r="A2636" s="71" t="n">
        <v>42426</v>
      </c>
      <c r="B2636" s="72" t="n">
        <v>0.5</v>
      </c>
      <c r="C2636" s="71" t="n">
        <v>42426</v>
      </c>
      <c r="D2636" s="72" t="n">
        <v>0.25</v>
      </c>
    </row>
    <row r="2637">
      <c r="A2637" s="71" t="n">
        <v>42427</v>
      </c>
      <c r="B2637" s="72" t="n">
        <v>0.5</v>
      </c>
      <c r="C2637" s="71" t="n">
        <v>42427</v>
      </c>
      <c r="D2637" s="72" t="n">
        <v>0.25</v>
      </c>
    </row>
    <row r="2638">
      <c r="A2638" s="71" t="n">
        <v>42428</v>
      </c>
      <c r="B2638" s="72" t="n">
        <v>0.5</v>
      </c>
      <c r="C2638" s="71" t="n">
        <v>42428</v>
      </c>
      <c r="D2638" s="72" t="n">
        <v>0.25</v>
      </c>
    </row>
    <row r="2639">
      <c r="A2639" s="71" t="n">
        <v>42429</v>
      </c>
      <c r="B2639" s="72" t="n">
        <v>0.5</v>
      </c>
      <c r="C2639" s="71" t="n">
        <v>42429</v>
      </c>
      <c r="D2639" s="72" t="n">
        <v>0.25</v>
      </c>
    </row>
    <row r="2640">
      <c r="A2640" s="71" t="n">
        <v>42430</v>
      </c>
      <c r="B2640" s="72" t="n">
        <v>0.5</v>
      </c>
      <c r="C2640" s="71" t="n">
        <v>42430</v>
      </c>
      <c r="D2640" s="72" t="n">
        <v>0.25</v>
      </c>
    </row>
    <row r="2641">
      <c r="A2641" s="71" t="n">
        <v>42431</v>
      </c>
      <c r="B2641" s="72" t="n">
        <v>0.5</v>
      </c>
      <c r="C2641" s="71" t="n">
        <v>42431</v>
      </c>
      <c r="D2641" s="72" t="n">
        <v>0.25</v>
      </c>
    </row>
    <row r="2642">
      <c r="A2642" s="71" t="n">
        <v>42432</v>
      </c>
      <c r="B2642" s="72" t="n">
        <v>0.5</v>
      </c>
      <c r="C2642" s="71" t="n">
        <v>42432</v>
      </c>
      <c r="D2642" s="72" t="n">
        <v>0.25</v>
      </c>
    </row>
    <row r="2643">
      <c r="A2643" s="71" t="n">
        <v>42433</v>
      </c>
      <c r="B2643" s="72" t="n">
        <v>0.5</v>
      </c>
      <c r="C2643" s="71" t="n">
        <v>42433</v>
      </c>
      <c r="D2643" s="72" t="n">
        <v>0.25</v>
      </c>
    </row>
    <row r="2644">
      <c r="A2644" s="71" t="n">
        <v>42434</v>
      </c>
      <c r="B2644" s="72" t="n">
        <v>0.5</v>
      </c>
      <c r="C2644" s="71" t="n">
        <v>42434</v>
      </c>
      <c r="D2644" s="72" t="n">
        <v>0.25</v>
      </c>
    </row>
    <row r="2645">
      <c r="A2645" s="71" t="n">
        <v>42435</v>
      </c>
      <c r="B2645" s="72" t="n">
        <v>0.5</v>
      </c>
      <c r="C2645" s="71" t="n">
        <v>42435</v>
      </c>
      <c r="D2645" s="72" t="n">
        <v>0.25</v>
      </c>
    </row>
    <row r="2646">
      <c r="A2646" s="71" t="n">
        <v>42436</v>
      </c>
      <c r="B2646" s="72" t="n">
        <v>0.5</v>
      </c>
      <c r="C2646" s="71" t="n">
        <v>42436</v>
      </c>
      <c r="D2646" s="72" t="n">
        <v>0.25</v>
      </c>
    </row>
    <row r="2647">
      <c r="A2647" s="71" t="n">
        <v>42437</v>
      </c>
      <c r="B2647" s="72" t="n">
        <v>0.5</v>
      </c>
      <c r="C2647" s="71" t="n">
        <v>42437</v>
      </c>
      <c r="D2647" s="72" t="n">
        <v>0.25</v>
      </c>
    </row>
    <row r="2648">
      <c r="A2648" s="71" t="n">
        <v>42438</v>
      </c>
      <c r="B2648" s="72" t="n">
        <v>0.5</v>
      </c>
      <c r="C2648" s="71" t="n">
        <v>42438</v>
      </c>
      <c r="D2648" s="72" t="n">
        <v>0.25</v>
      </c>
    </row>
    <row r="2649">
      <c r="A2649" s="71" t="n">
        <v>42439</v>
      </c>
      <c r="B2649" s="72" t="n">
        <v>0.5</v>
      </c>
      <c r="C2649" s="71" t="n">
        <v>42439</v>
      </c>
      <c r="D2649" s="72" t="n">
        <v>0.25</v>
      </c>
    </row>
    <row r="2650">
      <c r="A2650" s="71" t="n">
        <v>42440</v>
      </c>
      <c r="B2650" s="72" t="n">
        <v>0.5</v>
      </c>
      <c r="C2650" s="71" t="n">
        <v>42440</v>
      </c>
      <c r="D2650" s="72" t="n">
        <v>0.25</v>
      </c>
    </row>
    <row r="2651">
      <c r="A2651" s="71" t="n">
        <v>42441</v>
      </c>
      <c r="B2651" s="72" t="n">
        <v>0.5</v>
      </c>
      <c r="C2651" s="71" t="n">
        <v>42441</v>
      </c>
      <c r="D2651" s="72" t="n">
        <v>0.25</v>
      </c>
    </row>
    <row r="2652">
      <c r="A2652" s="71" t="n">
        <v>42442</v>
      </c>
      <c r="B2652" s="72" t="n">
        <v>0.5</v>
      </c>
      <c r="C2652" s="71" t="n">
        <v>42442</v>
      </c>
      <c r="D2652" s="72" t="n">
        <v>0.25</v>
      </c>
    </row>
    <row r="2653">
      <c r="A2653" s="71" t="n">
        <v>42443</v>
      </c>
      <c r="B2653" s="72" t="n">
        <v>0.5</v>
      </c>
      <c r="C2653" s="71" t="n">
        <v>42443</v>
      </c>
      <c r="D2653" s="72" t="n">
        <v>0.25</v>
      </c>
    </row>
    <row r="2654">
      <c r="A2654" s="71" t="n">
        <v>42444</v>
      </c>
      <c r="B2654" s="72" t="n">
        <v>0.5</v>
      </c>
      <c r="C2654" s="71" t="n">
        <v>42444</v>
      </c>
      <c r="D2654" s="72" t="n">
        <v>0.25</v>
      </c>
    </row>
    <row r="2655">
      <c r="A2655" s="71" t="n">
        <v>42445</v>
      </c>
      <c r="B2655" s="72" t="n">
        <v>0.5</v>
      </c>
      <c r="C2655" s="71" t="n">
        <v>42445</v>
      </c>
      <c r="D2655" s="72" t="n">
        <v>0.25</v>
      </c>
    </row>
    <row r="2656">
      <c r="A2656" s="71" t="n">
        <v>42446</v>
      </c>
      <c r="B2656" s="72" t="n">
        <v>0.5</v>
      </c>
      <c r="C2656" s="71" t="n">
        <v>42446</v>
      </c>
      <c r="D2656" s="72" t="n">
        <v>0.25</v>
      </c>
    </row>
    <row r="2657">
      <c r="A2657" s="71" t="n">
        <v>42447</v>
      </c>
      <c r="B2657" s="72" t="n">
        <v>0.5</v>
      </c>
      <c r="C2657" s="71" t="n">
        <v>42447</v>
      </c>
      <c r="D2657" s="72" t="n">
        <v>0.25</v>
      </c>
    </row>
    <row r="2658">
      <c r="A2658" s="71" t="n">
        <v>42448</v>
      </c>
      <c r="B2658" s="72" t="n">
        <v>0.5</v>
      </c>
      <c r="C2658" s="71" t="n">
        <v>42448</v>
      </c>
      <c r="D2658" s="72" t="n">
        <v>0.25</v>
      </c>
    </row>
    <row r="2659">
      <c r="A2659" s="71" t="n">
        <v>42449</v>
      </c>
      <c r="B2659" s="72" t="n">
        <v>0.5</v>
      </c>
      <c r="C2659" s="71" t="n">
        <v>42449</v>
      </c>
      <c r="D2659" s="72" t="n">
        <v>0.25</v>
      </c>
    </row>
    <row r="2660">
      <c r="A2660" s="71" t="n">
        <v>42450</v>
      </c>
      <c r="B2660" s="72" t="n">
        <v>0.5</v>
      </c>
      <c r="C2660" s="71" t="n">
        <v>42450</v>
      </c>
      <c r="D2660" s="72" t="n">
        <v>0.25</v>
      </c>
    </row>
    <row r="2661">
      <c r="A2661" s="71" t="n">
        <v>42451</v>
      </c>
      <c r="B2661" s="72" t="n">
        <v>0.5</v>
      </c>
      <c r="C2661" s="71" t="n">
        <v>42451</v>
      </c>
      <c r="D2661" s="72" t="n">
        <v>0.25</v>
      </c>
    </row>
    <row r="2662">
      <c r="A2662" s="71" t="n">
        <v>42452</v>
      </c>
      <c r="B2662" s="72" t="n">
        <v>0.5</v>
      </c>
      <c r="C2662" s="71" t="n">
        <v>42452</v>
      </c>
      <c r="D2662" s="72" t="n">
        <v>0.25</v>
      </c>
    </row>
    <row r="2663">
      <c r="A2663" s="71" t="n">
        <v>42453</v>
      </c>
      <c r="B2663" s="72" t="n">
        <v>0.5</v>
      </c>
      <c r="C2663" s="71" t="n">
        <v>42453</v>
      </c>
      <c r="D2663" s="72" t="n">
        <v>0.25</v>
      </c>
    </row>
    <row r="2664">
      <c r="A2664" s="71" t="n">
        <v>42454</v>
      </c>
      <c r="B2664" s="72" t="n">
        <v>0.5</v>
      </c>
      <c r="C2664" s="71" t="n">
        <v>42454</v>
      </c>
      <c r="D2664" s="72" t="n">
        <v>0.25</v>
      </c>
    </row>
    <row r="2665">
      <c r="A2665" s="71" t="n">
        <v>42455</v>
      </c>
      <c r="B2665" s="72" t="n">
        <v>0.5</v>
      </c>
      <c r="C2665" s="71" t="n">
        <v>42455</v>
      </c>
      <c r="D2665" s="72" t="n">
        <v>0.25</v>
      </c>
    </row>
    <row r="2666">
      <c r="A2666" s="71" t="n">
        <v>42456</v>
      </c>
      <c r="B2666" s="72" t="n">
        <v>0.5</v>
      </c>
      <c r="C2666" s="71" t="n">
        <v>42456</v>
      </c>
      <c r="D2666" s="72" t="n">
        <v>0.25</v>
      </c>
    </row>
    <row r="2667">
      <c r="A2667" s="71" t="n">
        <v>42457</v>
      </c>
      <c r="B2667" s="72" t="n">
        <v>0.5</v>
      </c>
      <c r="C2667" s="71" t="n">
        <v>42457</v>
      </c>
      <c r="D2667" s="72" t="n">
        <v>0.25</v>
      </c>
    </row>
    <row r="2668">
      <c r="A2668" s="71" t="n">
        <v>42458</v>
      </c>
      <c r="B2668" s="72" t="n">
        <v>0.5</v>
      </c>
      <c r="C2668" s="71" t="n">
        <v>42458</v>
      </c>
      <c r="D2668" s="72" t="n">
        <v>0.25</v>
      </c>
    </row>
    <row r="2669">
      <c r="A2669" s="71" t="n">
        <v>42459</v>
      </c>
      <c r="B2669" s="72" t="n">
        <v>0.5</v>
      </c>
      <c r="C2669" s="71" t="n">
        <v>42459</v>
      </c>
      <c r="D2669" s="72" t="n">
        <v>0.25</v>
      </c>
    </row>
    <row r="2670">
      <c r="A2670" s="71" t="n">
        <v>42460</v>
      </c>
      <c r="B2670" s="72" t="n">
        <v>0.5</v>
      </c>
      <c r="C2670" s="71" t="n">
        <v>42460</v>
      </c>
      <c r="D2670" s="72" t="n">
        <v>0.25</v>
      </c>
    </row>
    <row r="2671">
      <c r="A2671" s="71" t="n">
        <v>42461</v>
      </c>
      <c r="B2671" s="72" t="n">
        <v>0.5</v>
      </c>
      <c r="C2671" s="71" t="n">
        <v>42461</v>
      </c>
      <c r="D2671" s="72" t="n">
        <v>0.25</v>
      </c>
    </row>
    <row r="2672">
      <c r="A2672" s="71" t="n">
        <v>42462</v>
      </c>
      <c r="B2672" s="72" t="n">
        <v>0.5</v>
      </c>
      <c r="C2672" s="71" t="n">
        <v>42462</v>
      </c>
      <c r="D2672" s="72" t="n">
        <v>0.25</v>
      </c>
    </row>
    <row r="2673">
      <c r="A2673" s="71" t="n">
        <v>42463</v>
      </c>
      <c r="B2673" s="72" t="n">
        <v>0.5</v>
      </c>
      <c r="C2673" s="71" t="n">
        <v>42463</v>
      </c>
      <c r="D2673" s="72" t="n">
        <v>0.25</v>
      </c>
    </row>
    <row r="2674">
      <c r="A2674" s="71" t="n">
        <v>42464</v>
      </c>
      <c r="B2674" s="72" t="n">
        <v>0.5</v>
      </c>
      <c r="C2674" s="71" t="n">
        <v>42464</v>
      </c>
      <c r="D2674" s="72" t="n">
        <v>0.25</v>
      </c>
    </row>
    <row r="2675">
      <c r="A2675" s="71" t="n">
        <v>42465</v>
      </c>
      <c r="B2675" s="72" t="n">
        <v>0.5</v>
      </c>
      <c r="C2675" s="71" t="n">
        <v>42465</v>
      </c>
      <c r="D2675" s="72" t="n">
        <v>0.25</v>
      </c>
    </row>
    <row r="2676">
      <c r="A2676" s="71" t="n">
        <v>42466</v>
      </c>
      <c r="B2676" s="72" t="n">
        <v>0.5</v>
      </c>
      <c r="C2676" s="71" t="n">
        <v>42466</v>
      </c>
      <c r="D2676" s="72" t="n">
        <v>0.25</v>
      </c>
    </row>
    <row r="2677">
      <c r="A2677" s="71" t="n">
        <v>42467</v>
      </c>
      <c r="B2677" s="72" t="n">
        <v>0.5</v>
      </c>
      <c r="C2677" s="71" t="n">
        <v>42467</v>
      </c>
      <c r="D2677" s="72" t="n">
        <v>0.25</v>
      </c>
    </row>
    <row r="2678">
      <c r="A2678" s="71" t="n">
        <v>42468</v>
      </c>
      <c r="B2678" s="72" t="n">
        <v>0.5</v>
      </c>
      <c r="C2678" s="71" t="n">
        <v>42468</v>
      </c>
      <c r="D2678" s="72" t="n">
        <v>0.25</v>
      </c>
    </row>
    <row r="2679">
      <c r="A2679" s="71" t="n">
        <v>42469</v>
      </c>
      <c r="B2679" s="72" t="n">
        <v>0.5</v>
      </c>
      <c r="C2679" s="71" t="n">
        <v>42469</v>
      </c>
      <c r="D2679" s="72" t="n">
        <v>0.25</v>
      </c>
    </row>
    <row r="2680">
      <c r="A2680" s="71" t="n">
        <v>42470</v>
      </c>
      <c r="B2680" s="72" t="n">
        <v>0.5</v>
      </c>
      <c r="C2680" s="71" t="n">
        <v>42470</v>
      </c>
      <c r="D2680" s="72" t="n">
        <v>0.25</v>
      </c>
    </row>
    <row r="2681">
      <c r="A2681" s="71" t="n">
        <v>42471</v>
      </c>
      <c r="B2681" s="72" t="n">
        <v>0.5</v>
      </c>
      <c r="C2681" s="71" t="n">
        <v>42471</v>
      </c>
      <c r="D2681" s="72" t="n">
        <v>0.25</v>
      </c>
    </row>
    <row r="2682">
      <c r="A2682" s="71" t="n">
        <v>42472</v>
      </c>
      <c r="B2682" s="72" t="n">
        <v>0.5</v>
      </c>
      <c r="C2682" s="71" t="n">
        <v>42472</v>
      </c>
      <c r="D2682" s="72" t="n">
        <v>0.25</v>
      </c>
    </row>
    <row r="2683">
      <c r="A2683" s="71" t="n">
        <v>42473</v>
      </c>
      <c r="B2683" s="72" t="n">
        <v>0.5</v>
      </c>
      <c r="C2683" s="71" t="n">
        <v>42473</v>
      </c>
      <c r="D2683" s="72" t="n">
        <v>0.25</v>
      </c>
    </row>
    <row r="2684">
      <c r="A2684" s="71" t="n">
        <v>42474</v>
      </c>
      <c r="B2684" s="72" t="n">
        <v>0.5</v>
      </c>
      <c r="C2684" s="71" t="n">
        <v>42474</v>
      </c>
      <c r="D2684" s="72" t="n">
        <v>0.25</v>
      </c>
    </row>
    <row r="2685">
      <c r="A2685" s="71" t="n">
        <v>42475</v>
      </c>
      <c r="B2685" s="72" t="n">
        <v>0.5</v>
      </c>
      <c r="C2685" s="71" t="n">
        <v>42475</v>
      </c>
      <c r="D2685" s="72" t="n">
        <v>0.25</v>
      </c>
    </row>
    <row r="2686">
      <c r="A2686" s="71" t="n">
        <v>42476</v>
      </c>
      <c r="B2686" s="72" t="n">
        <v>0.5</v>
      </c>
      <c r="C2686" s="71" t="n">
        <v>42476</v>
      </c>
      <c r="D2686" s="72" t="n">
        <v>0.25</v>
      </c>
    </row>
    <row r="2687">
      <c r="A2687" s="71" t="n">
        <v>42477</v>
      </c>
      <c r="B2687" s="72" t="n">
        <v>0.5</v>
      </c>
      <c r="C2687" s="71" t="n">
        <v>42477</v>
      </c>
      <c r="D2687" s="72" t="n">
        <v>0.25</v>
      </c>
    </row>
    <row r="2688">
      <c r="A2688" s="71" t="n">
        <v>42478</v>
      </c>
      <c r="B2688" s="72" t="n">
        <v>0.5</v>
      </c>
      <c r="C2688" s="71" t="n">
        <v>42478</v>
      </c>
      <c r="D2688" s="72" t="n">
        <v>0.25</v>
      </c>
    </row>
    <row r="2689">
      <c r="A2689" s="71" t="n">
        <v>42479</v>
      </c>
      <c r="B2689" s="72" t="n">
        <v>0.5</v>
      </c>
      <c r="C2689" s="71" t="n">
        <v>42479</v>
      </c>
      <c r="D2689" s="72" t="n">
        <v>0.25</v>
      </c>
    </row>
    <row r="2690">
      <c r="A2690" s="71" t="n">
        <v>42480</v>
      </c>
      <c r="B2690" s="72" t="n">
        <v>0.5</v>
      </c>
      <c r="C2690" s="71" t="n">
        <v>42480</v>
      </c>
      <c r="D2690" s="72" t="n">
        <v>0.25</v>
      </c>
    </row>
    <row r="2691">
      <c r="A2691" s="71" t="n">
        <v>42481</v>
      </c>
      <c r="B2691" s="72" t="n">
        <v>0.5</v>
      </c>
      <c r="C2691" s="71" t="n">
        <v>42481</v>
      </c>
      <c r="D2691" s="72" t="n">
        <v>0.25</v>
      </c>
    </row>
    <row r="2692">
      <c r="A2692" s="71" t="n">
        <v>42482</v>
      </c>
      <c r="B2692" s="72" t="n">
        <v>0.5</v>
      </c>
      <c r="C2692" s="71" t="n">
        <v>42482</v>
      </c>
      <c r="D2692" s="72" t="n">
        <v>0.25</v>
      </c>
    </row>
    <row r="2693">
      <c r="A2693" s="71" t="n">
        <v>42483</v>
      </c>
      <c r="B2693" s="72" t="n">
        <v>0.5</v>
      </c>
      <c r="C2693" s="71" t="n">
        <v>42483</v>
      </c>
      <c r="D2693" s="72" t="n">
        <v>0.25</v>
      </c>
    </row>
    <row r="2694">
      <c r="A2694" s="71" t="n">
        <v>42484</v>
      </c>
      <c r="B2694" s="72" t="n">
        <v>0.5</v>
      </c>
      <c r="C2694" s="71" t="n">
        <v>42484</v>
      </c>
      <c r="D2694" s="72" t="n">
        <v>0.25</v>
      </c>
    </row>
    <row r="2695">
      <c r="A2695" s="71" t="n">
        <v>42485</v>
      </c>
      <c r="B2695" s="72" t="n">
        <v>0.5</v>
      </c>
      <c r="C2695" s="71" t="n">
        <v>42485</v>
      </c>
      <c r="D2695" s="72" t="n">
        <v>0.25</v>
      </c>
    </row>
    <row r="2696">
      <c r="A2696" s="71" t="n">
        <v>42486</v>
      </c>
      <c r="B2696" s="72" t="n">
        <v>0.5</v>
      </c>
      <c r="C2696" s="71" t="n">
        <v>42486</v>
      </c>
      <c r="D2696" s="72" t="n">
        <v>0.25</v>
      </c>
    </row>
    <row r="2697">
      <c r="A2697" s="71" t="n">
        <v>42487</v>
      </c>
      <c r="B2697" s="72" t="n">
        <v>0.5</v>
      </c>
      <c r="C2697" s="71" t="n">
        <v>42487</v>
      </c>
      <c r="D2697" s="72" t="n">
        <v>0.25</v>
      </c>
    </row>
    <row r="2698">
      <c r="A2698" s="71" t="n">
        <v>42488</v>
      </c>
      <c r="B2698" s="72" t="n">
        <v>0.5</v>
      </c>
      <c r="C2698" s="71" t="n">
        <v>42488</v>
      </c>
      <c r="D2698" s="72" t="n">
        <v>0.25</v>
      </c>
    </row>
    <row r="2699">
      <c r="A2699" s="71" t="n">
        <v>42489</v>
      </c>
      <c r="B2699" s="72" t="n">
        <v>0.5</v>
      </c>
      <c r="C2699" s="71" t="n">
        <v>42489</v>
      </c>
      <c r="D2699" s="72" t="n">
        <v>0.25</v>
      </c>
    </row>
    <row r="2700">
      <c r="A2700" s="71" t="n">
        <v>42490</v>
      </c>
      <c r="B2700" s="72" t="n">
        <v>0.5</v>
      </c>
      <c r="C2700" s="71" t="n">
        <v>42490</v>
      </c>
      <c r="D2700" s="72" t="n">
        <v>0.25</v>
      </c>
    </row>
    <row r="2701">
      <c r="A2701" s="71" t="n">
        <v>42491</v>
      </c>
      <c r="B2701" s="72" t="n">
        <v>0.5</v>
      </c>
      <c r="C2701" s="71" t="n">
        <v>42491</v>
      </c>
      <c r="D2701" s="72" t="n">
        <v>0.25</v>
      </c>
    </row>
    <row r="2702">
      <c r="A2702" s="71" t="n">
        <v>42492</v>
      </c>
      <c r="B2702" s="72" t="n">
        <v>0.5</v>
      </c>
      <c r="C2702" s="71" t="n">
        <v>42492</v>
      </c>
      <c r="D2702" s="72" t="n">
        <v>0.25</v>
      </c>
    </row>
    <row r="2703">
      <c r="A2703" s="71" t="n">
        <v>42493</v>
      </c>
      <c r="B2703" s="72" t="n">
        <v>0.5</v>
      </c>
      <c r="C2703" s="71" t="n">
        <v>42493</v>
      </c>
      <c r="D2703" s="72" t="n">
        <v>0.25</v>
      </c>
    </row>
    <row r="2704">
      <c r="A2704" s="71" t="n">
        <v>42494</v>
      </c>
      <c r="B2704" s="72" t="n">
        <v>0.5</v>
      </c>
      <c r="C2704" s="71" t="n">
        <v>42494</v>
      </c>
      <c r="D2704" s="72" t="n">
        <v>0.25</v>
      </c>
    </row>
    <row r="2705">
      <c r="A2705" s="71" t="n">
        <v>42495</v>
      </c>
      <c r="B2705" s="72" t="n">
        <v>0.5</v>
      </c>
      <c r="C2705" s="71" t="n">
        <v>42495</v>
      </c>
      <c r="D2705" s="72" t="n">
        <v>0.25</v>
      </c>
    </row>
    <row r="2706">
      <c r="A2706" s="71" t="n">
        <v>42496</v>
      </c>
      <c r="B2706" s="72" t="n">
        <v>0.5</v>
      </c>
      <c r="C2706" s="71" t="n">
        <v>42496</v>
      </c>
      <c r="D2706" s="72" t="n">
        <v>0.25</v>
      </c>
    </row>
    <row r="2707">
      <c r="A2707" s="71" t="n">
        <v>42497</v>
      </c>
      <c r="B2707" s="72" t="n">
        <v>0.5</v>
      </c>
      <c r="C2707" s="71" t="n">
        <v>42497</v>
      </c>
      <c r="D2707" s="72" t="n">
        <v>0.25</v>
      </c>
    </row>
    <row r="2708">
      <c r="A2708" s="71" t="n">
        <v>42498</v>
      </c>
      <c r="B2708" s="72" t="n">
        <v>0.5</v>
      </c>
      <c r="C2708" s="71" t="n">
        <v>42498</v>
      </c>
      <c r="D2708" s="72" t="n">
        <v>0.25</v>
      </c>
    </row>
    <row r="2709">
      <c r="A2709" s="71" t="n">
        <v>42499</v>
      </c>
      <c r="B2709" s="72" t="n">
        <v>0.5</v>
      </c>
      <c r="C2709" s="71" t="n">
        <v>42499</v>
      </c>
      <c r="D2709" s="72" t="n">
        <v>0.25</v>
      </c>
    </row>
    <row r="2710">
      <c r="A2710" s="71" t="n">
        <v>42500</v>
      </c>
      <c r="B2710" s="72" t="n">
        <v>0.5</v>
      </c>
      <c r="C2710" s="71" t="n">
        <v>42500</v>
      </c>
      <c r="D2710" s="72" t="n">
        <v>0.25</v>
      </c>
    </row>
    <row r="2711">
      <c r="A2711" s="71" t="n">
        <v>42501</v>
      </c>
      <c r="B2711" s="72" t="n">
        <v>0.5</v>
      </c>
      <c r="C2711" s="71" t="n">
        <v>42501</v>
      </c>
      <c r="D2711" s="72" t="n">
        <v>0.25</v>
      </c>
    </row>
    <row r="2712">
      <c r="A2712" s="71" t="n">
        <v>42502</v>
      </c>
      <c r="B2712" s="72" t="n">
        <v>0.5</v>
      </c>
      <c r="C2712" s="71" t="n">
        <v>42502</v>
      </c>
      <c r="D2712" s="72" t="n">
        <v>0.25</v>
      </c>
    </row>
    <row r="2713">
      <c r="A2713" s="71" t="n">
        <v>42503</v>
      </c>
      <c r="B2713" s="72" t="n">
        <v>0.5</v>
      </c>
      <c r="C2713" s="71" t="n">
        <v>42503</v>
      </c>
      <c r="D2713" s="72" t="n">
        <v>0.25</v>
      </c>
    </row>
    <row r="2714">
      <c r="A2714" s="71" t="n">
        <v>42504</v>
      </c>
      <c r="B2714" s="72" t="n">
        <v>0.5</v>
      </c>
      <c r="C2714" s="71" t="n">
        <v>42504</v>
      </c>
      <c r="D2714" s="72" t="n">
        <v>0.25</v>
      </c>
    </row>
    <row r="2715">
      <c r="A2715" s="71" t="n">
        <v>42505</v>
      </c>
      <c r="B2715" s="72" t="n">
        <v>0.5</v>
      </c>
      <c r="C2715" s="71" t="n">
        <v>42505</v>
      </c>
      <c r="D2715" s="72" t="n">
        <v>0.25</v>
      </c>
    </row>
    <row r="2716">
      <c r="A2716" s="71" t="n">
        <v>42506</v>
      </c>
      <c r="B2716" s="72" t="n">
        <v>0.5</v>
      </c>
      <c r="C2716" s="71" t="n">
        <v>42506</v>
      </c>
      <c r="D2716" s="72" t="n">
        <v>0.25</v>
      </c>
    </row>
    <row r="2717">
      <c r="A2717" s="71" t="n">
        <v>42507</v>
      </c>
      <c r="B2717" s="72" t="n">
        <v>0.5</v>
      </c>
      <c r="C2717" s="71" t="n">
        <v>42507</v>
      </c>
      <c r="D2717" s="72" t="n">
        <v>0.25</v>
      </c>
    </row>
    <row r="2718">
      <c r="A2718" s="71" t="n">
        <v>42508</v>
      </c>
      <c r="B2718" s="72" t="n">
        <v>0.5</v>
      </c>
      <c r="C2718" s="71" t="n">
        <v>42508</v>
      </c>
      <c r="D2718" s="72" t="n">
        <v>0.25</v>
      </c>
    </row>
    <row r="2719">
      <c r="A2719" s="71" t="n">
        <v>42509</v>
      </c>
      <c r="B2719" s="72" t="n">
        <v>0.5</v>
      </c>
      <c r="C2719" s="71" t="n">
        <v>42509</v>
      </c>
      <c r="D2719" s="72" t="n">
        <v>0.25</v>
      </c>
    </row>
    <row r="2720">
      <c r="A2720" s="71" t="n">
        <v>42510</v>
      </c>
      <c r="B2720" s="72" t="n">
        <v>0.5</v>
      </c>
      <c r="C2720" s="71" t="n">
        <v>42510</v>
      </c>
      <c r="D2720" s="72" t="n">
        <v>0.25</v>
      </c>
    </row>
    <row r="2721">
      <c r="A2721" s="71" t="n">
        <v>42511</v>
      </c>
      <c r="B2721" s="72" t="n">
        <v>0.5</v>
      </c>
      <c r="C2721" s="71" t="n">
        <v>42511</v>
      </c>
      <c r="D2721" s="72" t="n">
        <v>0.25</v>
      </c>
    </row>
    <row r="2722">
      <c r="A2722" s="71" t="n">
        <v>42512</v>
      </c>
      <c r="B2722" s="72" t="n">
        <v>0.5</v>
      </c>
      <c r="C2722" s="71" t="n">
        <v>42512</v>
      </c>
      <c r="D2722" s="72" t="n">
        <v>0.25</v>
      </c>
    </row>
    <row r="2723">
      <c r="A2723" s="71" t="n">
        <v>42513</v>
      </c>
      <c r="B2723" s="72" t="n">
        <v>0.5</v>
      </c>
      <c r="C2723" s="71" t="n">
        <v>42513</v>
      </c>
      <c r="D2723" s="72" t="n">
        <v>0.25</v>
      </c>
    </row>
    <row r="2724">
      <c r="A2724" s="71" t="n">
        <v>42514</v>
      </c>
      <c r="B2724" s="72" t="n">
        <v>0.5</v>
      </c>
      <c r="C2724" s="71" t="n">
        <v>42514</v>
      </c>
      <c r="D2724" s="72" t="n">
        <v>0.25</v>
      </c>
    </row>
    <row r="2725">
      <c r="A2725" s="71" t="n">
        <v>42515</v>
      </c>
      <c r="B2725" s="72" t="n">
        <v>0.5</v>
      </c>
      <c r="C2725" s="71" t="n">
        <v>42515</v>
      </c>
      <c r="D2725" s="72" t="n">
        <v>0.25</v>
      </c>
    </row>
    <row r="2726">
      <c r="A2726" s="71" t="n">
        <v>42516</v>
      </c>
      <c r="B2726" s="72" t="n">
        <v>0.5</v>
      </c>
      <c r="C2726" s="71" t="n">
        <v>42516</v>
      </c>
      <c r="D2726" s="72" t="n">
        <v>0.25</v>
      </c>
    </row>
    <row r="2727">
      <c r="A2727" s="71" t="n">
        <v>42517</v>
      </c>
      <c r="B2727" s="72" t="n">
        <v>0.5</v>
      </c>
      <c r="C2727" s="71" t="n">
        <v>42517</v>
      </c>
      <c r="D2727" s="72" t="n">
        <v>0.25</v>
      </c>
    </row>
    <row r="2728">
      <c r="A2728" s="71" t="n">
        <v>42518</v>
      </c>
      <c r="B2728" s="72" t="n">
        <v>0.5</v>
      </c>
      <c r="C2728" s="71" t="n">
        <v>42518</v>
      </c>
      <c r="D2728" s="72" t="n">
        <v>0.25</v>
      </c>
    </row>
    <row r="2729">
      <c r="A2729" s="71" t="n">
        <v>42519</v>
      </c>
      <c r="B2729" s="72" t="n">
        <v>0.5</v>
      </c>
      <c r="C2729" s="71" t="n">
        <v>42519</v>
      </c>
      <c r="D2729" s="72" t="n">
        <v>0.25</v>
      </c>
    </row>
    <row r="2730">
      <c r="A2730" s="71" t="n">
        <v>42520</v>
      </c>
      <c r="B2730" s="72" t="n">
        <v>0.5</v>
      </c>
      <c r="C2730" s="71" t="n">
        <v>42520</v>
      </c>
      <c r="D2730" s="72" t="n">
        <v>0.25</v>
      </c>
    </row>
    <row r="2731">
      <c r="A2731" s="71" t="n">
        <v>42521</v>
      </c>
      <c r="B2731" s="72" t="n">
        <v>0.5</v>
      </c>
      <c r="C2731" s="71" t="n">
        <v>42521</v>
      </c>
      <c r="D2731" s="72" t="n">
        <v>0.25</v>
      </c>
    </row>
    <row r="2732">
      <c r="A2732" s="71" t="n">
        <v>42522</v>
      </c>
      <c r="B2732" s="72" t="n">
        <v>0.5</v>
      </c>
      <c r="C2732" s="71" t="n">
        <v>42522</v>
      </c>
      <c r="D2732" s="72" t="n">
        <v>0.25</v>
      </c>
    </row>
    <row r="2733">
      <c r="A2733" s="71" t="n">
        <v>42523</v>
      </c>
      <c r="B2733" s="72" t="n">
        <v>0.5</v>
      </c>
      <c r="C2733" s="71" t="n">
        <v>42523</v>
      </c>
      <c r="D2733" s="72" t="n">
        <v>0.25</v>
      </c>
    </row>
    <row r="2734">
      <c r="A2734" s="71" t="n">
        <v>42524</v>
      </c>
      <c r="B2734" s="72" t="n">
        <v>0.5</v>
      </c>
      <c r="C2734" s="71" t="n">
        <v>42524</v>
      </c>
      <c r="D2734" s="72" t="n">
        <v>0.25</v>
      </c>
    </row>
    <row r="2735">
      <c r="A2735" s="71" t="n">
        <v>42525</v>
      </c>
      <c r="B2735" s="72" t="n">
        <v>0.5</v>
      </c>
      <c r="C2735" s="71" t="n">
        <v>42525</v>
      </c>
      <c r="D2735" s="72" t="n">
        <v>0.25</v>
      </c>
    </row>
    <row r="2736">
      <c r="A2736" s="71" t="n">
        <v>42526</v>
      </c>
      <c r="B2736" s="72" t="n">
        <v>0.5</v>
      </c>
      <c r="C2736" s="71" t="n">
        <v>42526</v>
      </c>
      <c r="D2736" s="72" t="n">
        <v>0.25</v>
      </c>
    </row>
    <row r="2737">
      <c r="A2737" s="71" t="n">
        <v>42527</v>
      </c>
      <c r="B2737" s="72" t="n">
        <v>0.5</v>
      </c>
      <c r="C2737" s="71" t="n">
        <v>42527</v>
      </c>
      <c r="D2737" s="72" t="n">
        <v>0.25</v>
      </c>
    </row>
    <row r="2738">
      <c r="A2738" s="71" t="n">
        <v>42528</v>
      </c>
      <c r="B2738" s="72" t="n">
        <v>0.5</v>
      </c>
      <c r="C2738" s="71" t="n">
        <v>42528</v>
      </c>
      <c r="D2738" s="72" t="n">
        <v>0.25</v>
      </c>
    </row>
    <row r="2739">
      <c r="A2739" s="71" t="n">
        <v>42529</v>
      </c>
      <c r="B2739" s="72" t="n">
        <v>0.5</v>
      </c>
      <c r="C2739" s="71" t="n">
        <v>42529</v>
      </c>
      <c r="D2739" s="72" t="n">
        <v>0.25</v>
      </c>
    </row>
    <row r="2740">
      <c r="A2740" s="71" t="n">
        <v>42530</v>
      </c>
      <c r="B2740" s="72" t="n">
        <v>0.5</v>
      </c>
      <c r="C2740" s="71" t="n">
        <v>42530</v>
      </c>
      <c r="D2740" s="72" t="n">
        <v>0.25</v>
      </c>
    </row>
    <row r="2741">
      <c r="A2741" s="71" t="n">
        <v>42531</v>
      </c>
      <c r="B2741" s="72" t="n">
        <v>0.5</v>
      </c>
      <c r="C2741" s="71" t="n">
        <v>42531</v>
      </c>
      <c r="D2741" s="72" t="n">
        <v>0.25</v>
      </c>
    </row>
    <row r="2742">
      <c r="A2742" s="71" t="n">
        <v>42532</v>
      </c>
      <c r="B2742" s="72" t="n">
        <v>0.5</v>
      </c>
      <c r="C2742" s="71" t="n">
        <v>42532</v>
      </c>
      <c r="D2742" s="72" t="n">
        <v>0.25</v>
      </c>
    </row>
    <row r="2743">
      <c r="A2743" s="71" t="n">
        <v>42533</v>
      </c>
      <c r="B2743" s="72" t="n">
        <v>0.5</v>
      </c>
      <c r="C2743" s="71" t="n">
        <v>42533</v>
      </c>
      <c r="D2743" s="72" t="n">
        <v>0.25</v>
      </c>
    </row>
    <row r="2744">
      <c r="A2744" s="71" t="n">
        <v>42534</v>
      </c>
      <c r="B2744" s="72" t="n">
        <v>0.5</v>
      </c>
      <c r="C2744" s="71" t="n">
        <v>42534</v>
      </c>
      <c r="D2744" s="72" t="n">
        <v>0.25</v>
      </c>
    </row>
    <row r="2745">
      <c r="A2745" s="71" t="n">
        <v>42535</v>
      </c>
      <c r="B2745" s="72" t="n">
        <v>0.5</v>
      </c>
      <c r="C2745" s="71" t="n">
        <v>42535</v>
      </c>
      <c r="D2745" s="72" t="n">
        <v>0.25</v>
      </c>
    </row>
    <row r="2746">
      <c r="A2746" s="71" t="n">
        <v>42536</v>
      </c>
      <c r="B2746" s="72" t="n">
        <v>0.5</v>
      </c>
      <c r="C2746" s="71" t="n">
        <v>42536</v>
      </c>
      <c r="D2746" s="72" t="n">
        <v>0.25</v>
      </c>
    </row>
    <row r="2747">
      <c r="A2747" s="71" t="n">
        <v>42537</v>
      </c>
      <c r="B2747" s="72" t="n">
        <v>0.5</v>
      </c>
      <c r="C2747" s="71" t="n">
        <v>42537</v>
      </c>
      <c r="D2747" s="72" t="n">
        <v>0.25</v>
      </c>
    </row>
    <row r="2748">
      <c r="A2748" s="71" t="n">
        <v>42538</v>
      </c>
      <c r="B2748" s="72" t="n">
        <v>0.5</v>
      </c>
      <c r="C2748" s="71" t="n">
        <v>42538</v>
      </c>
      <c r="D2748" s="72" t="n">
        <v>0.25</v>
      </c>
    </row>
    <row r="2749">
      <c r="A2749" s="71" t="n">
        <v>42539</v>
      </c>
      <c r="B2749" s="72" t="n">
        <v>0.5</v>
      </c>
      <c r="C2749" s="71" t="n">
        <v>42539</v>
      </c>
      <c r="D2749" s="72" t="n">
        <v>0.25</v>
      </c>
    </row>
    <row r="2750">
      <c r="A2750" s="71" t="n">
        <v>42540</v>
      </c>
      <c r="B2750" s="72" t="n">
        <v>0.5</v>
      </c>
      <c r="C2750" s="71" t="n">
        <v>42540</v>
      </c>
      <c r="D2750" s="72" t="n">
        <v>0.25</v>
      </c>
    </row>
    <row r="2751">
      <c r="A2751" s="71" t="n">
        <v>42541</v>
      </c>
      <c r="B2751" s="72" t="n">
        <v>0.5</v>
      </c>
      <c r="C2751" s="71" t="n">
        <v>42541</v>
      </c>
      <c r="D2751" s="72" t="n">
        <v>0.25</v>
      </c>
    </row>
    <row r="2752">
      <c r="A2752" s="71" t="n">
        <v>42542</v>
      </c>
      <c r="B2752" s="72" t="n">
        <v>0.5</v>
      </c>
      <c r="C2752" s="71" t="n">
        <v>42542</v>
      </c>
      <c r="D2752" s="72" t="n">
        <v>0.25</v>
      </c>
    </row>
    <row r="2753">
      <c r="A2753" s="71" t="n">
        <v>42543</v>
      </c>
      <c r="B2753" s="72" t="n">
        <v>0.5</v>
      </c>
      <c r="C2753" s="71" t="n">
        <v>42543</v>
      </c>
      <c r="D2753" s="72" t="n">
        <v>0.25</v>
      </c>
    </row>
    <row r="2754">
      <c r="A2754" s="71" t="n">
        <v>42544</v>
      </c>
      <c r="B2754" s="72" t="n">
        <v>0.5</v>
      </c>
      <c r="C2754" s="71" t="n">
        <v>42544</v>
      </c>
      <c r="D2754" s="72" t="n">
        <v>0.25</v>
      </c>
    </row>
    <row r="2755">
      <c r="A2755" s="71" t="n">
        <v>42545</v>
      </c>
      <c r="B2755" s="72" t="n">
        <v>0.5</v>
      </c>
      <c r="C2755" s="71" t="n">
        <v>42545</v>
      </c>
      <c r="D2755" s="72" t="n">
        <v>0.25</v>
      </c>
    </row>
    <row r="2756">
      <c r="A2756" s="71" t="n">
        <v>42546</v>
      </c>
      <c r="B2756" s="72" t="n">
        <v>0.5</v>
      </c>
      <c r="C2756" s="71" t="n">
        <v>42546</v>
      </c>
      <c r="D2756" s="72" t="n">
        <v>0.25</v>
      </c>
    </row>
    <row r="2757">
      <c r="A2757" s="71" t="n">
        <v>42547</v>
      </c>
      <c r="B2757" s="72" t="n">
        <v>0.5</v>
      </c>
      <c r="C2757" s="71" t="n">
        <v>42547</v>
      </c>
      <c r="D2757" s="72" t="n">
        <v>0.25</v>
      </c>
    </row>
    <row r="2758">
      <c r="A2758" s="71" t="n">
        <v>42548</v>
      </c>
      <c r="B2758" s="72" t="n">
        <v>0.5</v>
      </c>
      <c r="C2758" s="71" t="n">
        <v>42548</v>
      </c>
      <c r="D2758" s="72" t="n">
        <v>0.25</v>
      </c>
    </row>
    <row r="2759">
      <c r="A2759" s="71" t="n">
        <v>42549</v>
      </c>
      <c r="B2759" s="72" t="n">
        <v>0.5</v>
      </c>
      <c r="C2759" s="71" t="n">
        <v>42549</v>
      </c>
      <c r="D2759" s="72" t="n">
        <v>0.25</v>
      </c>
    </row>
    <row r="2760">
      <c r="A2760" s="71" t="n">
        <v>42550</v>
      </c>
      <c r="B2760" s="72" t="n">
        <v>0.5</v>
      </c>
      <c r="C2760" s="71" t="n">
        <v>42550</v>
      </c>
      <c r="D2760" s="72" t="n">
        <v>0.25</v>
      </c>
    </row>
    <row r="2761">
      <c r="A2761" s="71" t="n">
        <v>42551</v>
      </c>
      <c r="B2761" s="72" t="n">
        <v>0.5</v>
      </c>
      <c r="C2761" s="71" t="n">
        <v>42551</v>
      </c>
      <c r="D2761" s="72" t="n">
        <v>0.25</v>
      </c>
    </row>
    <row r="2762">
      <c r="A2762" s="71" t="n">
        <v>42552</v>
      </c>
      <c r="B2762" s="72" t="n">
        <v>0.5</v>
      </c>
      <c r="C2762" s="71" t="n">
        <v>42552</v>
      </c>
      <c r="D2762" s="72" t="n">
        <v>0.25</v>
      </c>
    </row>
    <row r="2763">
      <c r="A2763" s="71" t="n">
        <v>42553</v>
      </c>
      <c r="B2763" s="72" t="n">
        <v>0.5</v>
      </c>
      <c r="C2763" s="71" t="n">
        <v>42553</v>
      </c>
      <c r="D2763" s="72" t="n">
        <v>0.25</v>
      </c>
    </row>
    <row r="2764">
      <c r="A2764" s="71" t="n">
        <v>42554</v>
      </c>
      <c r="B2764" s="72" t="n">
        <v>0.5</v>
      </c>
      <c r="C2764" s="71" t="n">
        <v>42554</v>
      </c>
      <c r="D2764" s="72" t="n">
        <v>0.25</v>
      </c>
    </row>
    <row r="2765">
      <c r="A2765" s="71" t="n">
        <v>42555</v>
      </c>
      <c r="B2765" s="72" t="n">
        <v>0.5</v>
      </c>
      <c r="C2765" s="71" t="n">
        <v>42555</v>
      </c>
      <c r="D2765" s="72" t="n">
        <v>0.25</v>
      </c>
    </row>
    <row r="2766">
      <c r="A2766" s="71" t="n">
        <v>42556</v>
      </c>
      <c r="B2766" s="72" t="n">
        <v>0.5</v>
      </c>
      <c r="C2766" s="71" t="n">
        <v>42556</v>
      </c>
      <c r="D2766" s="72" t="n">
        <v>0.25</v>
      </c>
    </row>
    <row r="2767">
      <c r="A2767" s="71" t="n">
        <v>42557</v>
      </c>
      <c r="B2767" s="72" t="n">
        <v>0.5</v>
      </c>
      <c r="C2767" s="71" t="n">
        <v>42557</v>
      </c>
      <c r="D2767" s="72" t="n">
        <v>0.25</v>
      </c>
    </row>
    <row r="2768">
      <c r="A2768" s="71" t="n">
        <v>42558</v>
      </c>
      <c r="B2768" s="72" t="n">
        <v>0.5</v>
      </c>
      <c r="C2768" s="71" t="n">
        <v>42558</v>
      </c>
      <c r="D2768" s="72" t="n">
        <v>0.25</v>
      </c>
    </row>
    <row r="2769">
      <c r="A2769" s="71" t="n">
        <v>42559</v>
      </c>
      <c r="B2769" s="72" t="n">
        <v>0.5</v>
      </c>
      <c r="C2769" s="71" t="n">
        <v>42559</v>
      </c>
      <c r="D2769" s="72" t="n">
        <v>0.25</v>
      </c>
    </row>
    <row r="2770">
      <c r="A2770" s="71" t="n">
        <v>42560</v>
      </c>
      <c r="B2770" s="72" t="n">
        <v>0.5</v>
      </c>
      <c r="C2770" s="71" t="n">
        <v>42560</v>
      </c>
      <c r="D2770" s="72" t="n">
        <v>0.25</v>
      </c>
    </row>
    <row r="2771">
      <c r="A2771" s="71" t="n">
        <v>42561</v>
      </c>
      <c r="B2771" s="72" t="n">
        <v>0.5</v>
      </c>
      <c r="C2771" s="71" t="n">
        <v>42561</v>
      </c>
      <c r="D2771" s="72" t="n">
        <v>0.25</v>
      </c>
    </row>
    <row r="2772">
      <c r="A2772" s="71" t="n">
        <v>42562</v>
      </c>
      <c r="B2772" s="72" t="n">
        <v>0.5</v>
      </c>
      <c r="C2772" s="71" t="n">
        <v>42562</v>
      </c>
      <c r="D2772" s="72" t="n">
        <v>0.25</v>
      </c>
    </row>
    <row r="2773">
      <c r="A2773" s="71" t="n">
        <v>42563</v>
      </c>
      <c r="B2773" s="72" t="n">
        <v>0.5</v>
      </c>
      <c r="C2773" s="71" t="n">
        <v>42563</v>
      </c>
      <c r="D2773" s="72" t="n">
        <v>0.25</v>
      </c>
    </row>
    <row r="2774">
      <c r="A2774" s="71" t="n">
        <v>42564</v>
      </c>
      <c r="B2774" s="72" t="n">
        <v>0.5</v>
      </c>
      <c r="C2774" s="71" t="n">
        <v>42564</v>
      </c>
      <c r="D2774" s="72" t="n">
        <v>0.25</v>
      </c>
    </row>
    <row r="2775">
      <c r="A2775" s="71" t="n">
        <v>42565</v>
      </c>
      <c r="B2775" s="72" t="n">
        <v>0.5</v>
      </c>
      <c r="C2775" s="71" t="n">
        <v>42565</v>
      </c>
      <c r="D2775" s="72" t="n">
        <v>0.25</v>
      </c>
    </row>
    <row r="2776">
      <c r="A2776" s="71" t="n">
        <v>42566</v>
      </c>
      <c r="B2776" s="72" t="n">
        <v>0.5</v>
      </c>
      <c r="C2776" s="71" t="n">
        <v>42566</v>
      </c>
      <c r="D2776" s="72" t="n">
        <v>0.25</v>
      </c>
    </row>
    <row r="2777">
      <c r="A2777" s="71" t="n">
        <v>42567</v>
      </c>
      <c r="B2777" s="72" t="n">
        <v>0.5</v>
      </c>
      <c r="C2777" s="71" t="n">
        <v>42567</v>
      </c>
      <c r="D2777" s="72" t="n">
        <v>0.25</v>
      </c>
    </row>
    <row r="2778">
      <c r="A2778" s="71" t="n">
        <v>42568</v>
      </c>
      <c r="B2778" s="72" t="n">
        <v>0.5</v>
      </c>
      <c r="C2778" s="71" t="n">
        <v>42568</v>
      </c>
      <c r="D2778" s="72" t="n">
        <v>0.25</v>
      </c>
    </row>
    <row r="2779">
      <c r="A2779" s="71" t="n">
        <v>42569</v>
      </c>
      <c r="B2779" s="72" t="n">
        <v>0.5</v>
      </c>
      <c r="C2779" s="71" t="n">
        <v>42569</v>
      </c>
      <c r="D2779" s="72" t="n">
        <v>0.25</v>
      </c>
    </row>
    <row r="2780">
      <c r="A2780" s="71" t="n">
        <v>42570</v>
      </c>
      <c r="B2780" s="72" t="n">
        <v>0.5</v>
      </c>
      <c r="C2780" s="71" t="n">
        <v>42570</v>
      </c>
      <c r="D2780" s="72" t="n">
        <v>0.25</v>
      </c>
    </row>
    <row r="2781">
      <c r="A2781" s="71" t="n">
        <v>42571</v>
      </c>
      <c r="B2781" s="72" t="n">
        <v>0.5</v>
      </c>
      <c r="C2781" s="71" t="n">
        <v>42571</v>
      </c>
      <c r="D2781" s="72" t="n">
        <v>0.25</v>
      </c>
    </row>
    <row r="2782">
      <c r="A2782" s="71" t="n">
        <v>42572</v>
      </c>
      <c r="B2782" s="72" t="n">
        <v>0.5</v>
      </c>
      <c r="C2782" s="71" t="n">
        <v>42572</v>
      </c>
      <c r="D2782" s="72" t="n">
        <v>0.25</v>
      </c>
    </row>
    <row r="2783">
      <c r="A2783" s="71" t="n">
        <v>42573</v>
      </c>
      <c r="B2783" s="72" t="n">
        <v>0.5</v>
      </c>
      <c r="C2783" s="71" t="n">
        <v>42573</v>
      </c>
      <c r="D2783" s="72" t="n">
        <v>0.25</v>
      </c>
    </row>
    <row r="2784">
      <c r="A2784" s="71" t="n">
        <v>42574</v>
      </c>
      <c r="B2784" s="72" t="n">
        <v>0.5</v>
      </c>
      <c r="C2784" s="71" t="n">
        <v>42574</v>
      </c>
      <c r="D2784" s="72" t="n">
        <v>0.25</v>
      </c>
    </row>
    <row r="2785">
      <c r="A2785" s="71" t="n">
        <v>42575</v>
      </c>
      <c r="B2785" s="72" t="n">
        <v>0.5</v>
      </c>
      <c r="C2785" s="71" t="n">
        <v>42575</v>
      </c>
      <c r="D2785" s="72" t="n">
        <v>0.25</v>
      </c>
    </row>
    <row r="2786">
      <c r="A2786" s="71" t="n">
        <v>42576</v>
      </c>
      <c r="B2786" s="72" t="n">
        <v>0.5</v>
      </c>
      <c r="C2786" s="71" t="n">
        <v>42576</v>
      </c>
      <c r="D2786" s="72" t="n">
        <v>0.25</v>
      </c>
    </row>
    <row r="2787">
      <c r="A2787" s="71" t="n">
        <v>42577</v>
      </c>
      <c r="B2787" s="72" t="n">
        <v>0.5</v>
      </c>
      <c r="C2787" s="71" t="n">
        <v>42577</v>
      </c>
      <c r="D2787" s="72" t="n">
        <v>0.25</v>
      </c>
    </row>
    <row r="2788">
      <c r="A2788" s="71" t="n">
        <v>42578</v>
      </c>
      <c r="B2788" s="72" t="n">
        <v>0.5</v>
      </c>
      <c r="C2788" s="71" t="n">
        <v>42578</v>
      </c>
      <c r="D2788" s="72" t="n">
        <v>0.25</v>
      </c>
    </row>
    <row r="2789">
      <c r="A2789" s="71" t="n">
        <v>42579</v>
      </c>
      <c r="B2789" s="72" t="n">
        <v>0.5</v>
      </c>
      <c r="C2789" s="71" t="n">
        <v>42579</v>
      </c>
      <c r="D2789" s="72" t="n">
        <v>0.25</v>
      </c>
    </row>
    <row r="2790">
      <c r="A2790" s="71" t="n">
        <v>42580</v>
      </c>
      <c r="B2790" s="72" t="n">
        <v>0.5</v>
      </c>
      <c r="C2790" s="71" t="n">
        <v>42580</v>
      </c>
      <c r="D2790" s="72" t="n">
        <v>0.25</v>
      </c>
    </row>
    <row r="2791">
      <c r="A2791" s="71" t="n">
        <v>42581</v>
      </c>
      <c r="B2791" s="72" t="n">
        <v>0.5</v>
      </c>
      <c r="C2791" s="71" t="n">
        <v>42581</v>
      </c>
      <c r="D2791" s="72" t="n">
        <v>0.25</v>
      </c>
    </row>
    <row r="2792">
      <c r="A2792" s="71" t="n">
        <v>42582</v>
      </c>
      <c r="B2792" s="72" t="n">
        <v>0.5</v>
      </c>
      <c r="C2792" s="71" t="n">
        <v>42582</v>
      </c>
      <c r="D2792" s="72" t="n">
        <v>0.25</v>
      </c>
    </row>
    <row r="2793">
      <c r="A2793" s="71" t="n">
        <v>42583</v>
      </c>
      <c r="B2793" s="72" t="n">
        <v>0.5</v>
      </c>
      <c r="C2793" s="71" t="n">
        <v>42583</v>
      </c>
      <c r="D2793" s="72" t="n">
        <v>0.25</v>
      </c>
    </row>
    <row r="2794">
      <c r="A2794" s="71" t="n">
        <v>42584</v>
      </c>
      <c r="B2794" s="72" t="n">
        <v>0.5</v>
      </c>
      <c r="C2794" s="71" t="n">
        <v>42584</v>
      </c>
      <c r="D2794" s="72" t="n">
        <v>0.25</v>
      </c>
    </row>
    <row r="2795">
      <c r="A2795" s="71" t="n">
        <v>42585</v>
      </c>
      <c r="B2795" s="72" t="n">
        <v>0.5</v>
      </c>
      <c r="C2795" s="71" t="n">
        <v>42585</v>
      </c>
      <c r="D2795" s="72" t="n">
        <v>0.25</v>
      </c>
    </row>
    <row r="2796">
      <c r="A2796" s="71" t="n">
        <v>42586</v>
      </c>
      <c r="B2796" s="72" t="n">
        <v>0.5</v>
      </c>
      <c r="C2796" s="71" t="n">
        <v>42586</v>
      </c>
      <c r="D2796" s="72" t="n">
        <v>0.25</v>
      </c>
    </row>
    <row r="2797">
      <c r="A2797" s="71" t="n">
        <v>42587</v>
      </c>
      <c r="B2797" s="72" t="n">
        <v>0.5</v>
      </c>
      <c r="C2797" s="71" t="n">
        <v>42587</v>
      </c>
      <c r="D2797" s="72" t="n">
        <v>0.25</v>
      </c>
    </row>
    <row r="2798">
      <c r="A2798" s="71" t="n">
        <v>42588</v>
      </c>
      <c r="B2798" s="72" t="n">
        <v>0.5</v>
      </c>
      <c r="C2798" s="71" t="n">
        <v>42588</v>
      </c>
      <c r="D2798" s="72" t="n">
        <v>0.25</v>
      </c>
    </row>
    <row r="2799">
      <c r="A2799" s="71" t="n">
        <v>42589</v>
      </c>
      <c r="B2799" s="72" t="n">
        <v>0.5</v>
      </c>
      <c r="C2799" s="71" t="n">
        <v>42589</v>
      </c>
      <c r="D2799" s="72" t="n">
        <v>0.25</v>
      </c>
    </row>
    <row r="2800">
      <c r="A2800" s="71" t="n">
        <v>42590</v>
      </c>
      <c r="B2800" s="72" t="n">
        <v>0.5</v>
      </c>
      <c r="C2800" s="71" t="n">
        <v>42590</v>
      </c>
      <c r="D2800" s="72" t="n">
        <v>0.25</v>
      </c>
    </row>
    <row r="2801">
      <c r="A2801" s="71" t="n">
        <v>42591</v>
      </c>
      <c r="B2801" s="72" t="n">
        <v>0.5</v>
      </c>
      <c r="C2801" s="71" t="n">
        <v>42591</v>
      </c>
      <c r="D2801" s="72" t="n">
        <v>0.25</v>
      </c>
    </row>
    <row r="2802">
      <c r="A2802" s="71" t="n">
        <v>42592</v>
      </c>
      <c r="B2802" s="72" t="n">
        <v>0.5</v>
      </c>
      <c r="C2802" s="71" t="n">
        <v>42592</v>
      </c>
      <c r="D2802" s="72" t="n">
        <v>0.25</v>
      </c>
    </row>
    <row r="2803">
      <c r="A2803" s="71" t="n">
        <v>42593</v>
      </c>
      <c r="B2803" s="72" t="n">
        <v>0.5</v>
      </c>
      <c r="C2803" s="71" t="n">
        <v>42593</v>
      </c>
      <c r="D2803" s="72" t="n">
        <v>0.25</v>
      </c>
    </row>
    <row r="2804">
      <c r="A2804" s="71" t="n">
        <v>42594</v>
      </c>
      <c r="B2804" s="72" t="n">
        <v>0.5</v>
      </c>
      <c r="C2804" s="71" t="n">
        <v>42594</v>
      </c>
      <c r="D2804" s="72" t="n">
        <v>0.25</v>
      </c>
    </row>
    <row r="2805">
      <c r="A2805" s="71" t="n">
        <v>42595</v>
      </c>
      <c r="B2805" s="72" t="n">
        <v>0.5</v>
      </c>
      <c r="C2805" s="71" t="n">
        <v>42595</v>
      </c>
      <c r="D2805" s="72" t="n">
        <v>0.25</v>
      </c>
    </row>
    <row r="2806">
      <c r="A2806" s="71" t="n">
        <v>42596</v>
      </c>
      <c r="B2806" s="72" t="n">
        <v>0.5</v>
      </c>
      <c r="C2806" s="71" t="n">
        <v>42596</v>
      </c>
      <c r="D2806" s="72" t="n">
        <v>0.25</v>
      </c>
    </row>
    <row r="2807">
      <c r="A2807" s="71" t="n">
        <v>42597</v>
      </c>
      <c r="B2807" s="72" t="n">
        <v>0.5</v>
      </c>
      <c r="C2807" s="71" t="n">
        <v>42597</v>
      </c>
      <c r="D2807" s="72" t="n">
        <v>0.25</v>
      </c>
    </row>
    <row r="2808">
      <c r="A2808" s="71" t="n">
        <v>42598</v>
      </c>
      <c r="B2808" s="72" t="n">
        <v>0.5</v>
      </c>
      <c r="C2808" s="71" t="n">
        <v>42598</v>
      </c>
      <c r="D2808" s="72" t="n">
        <v>0.25</v>
      </c>
    </row>
    <row r="2809">
      <c r="A2809" s="71" t="n">
        <v>42599</v>
      </c>
      <c r="B2809" s="72" t="n">
        <v>0.5</v>
      </c>
      <c r="C2809" s="71" t="n">
        <v>42599</v>
      </c>
      <c r="D2809" s="72" t="n">
        <v>0.25</v>
      </c>
    </row>
    <row r="2810">
      <c r="A2810" s="71" t="n">
        <v>42600</v>
      </c>
      <c r="B2810" s="72" t="n">
        <v>0.5</v>
      </c>
      <c r="C2810" s="71" t="n">
        <v>42600</v>
      </c>
      <c r="D2810" s="72" t="n">
        <v>0.25</v>
      </c>
    </row>
    <row r="2811">
      <c r="A2811" s="71" t="n">
        <v>42601</v>
      </c>
      <c r="B2811" s="72" t="n">
        <v>0.5</v>
      </c>
      <c r="C2811" s="71" t="n">
        <v>42601</v>
      </c>
      <c r="D2811" s="72" t="n">
        <v>0.25</v>
      </c>
    </row>
    <row r="2812">
      <c r="A2812" s="71" t="n">
        <v>42602</v>
      </c>
      <c r="B2812" s="72" t="n">
        <v>0.5</v>
      </c>
      <c r="C2812" s="71" t="n">
        <v>42602</v>
      </c>
      <c r="D2812" s="72" t="n">
        <v>0.25</v>
      </c>
    </row>
    <row r="2813">
      <c r="A2813" s="71" t="n">
        <v>42603</v>
      </c>
      <c r="B2813" s="72" t="n">
        <v>0.5</v>
      </c>
      <c r="C2813" s="71" t="n">
        <v>42603</v>
      </c>
      <c r="D2813" s="72" t="n">
        <v>0.25</v>
      </c>
    </row>
    <row r="2814">
      <c r="A2814" s="71" t="n">
        <v>42604</v>
      </c>
      <c r="B2814" s="72" t="n">
        <v>0.5</v>
      </c>
      <c r="C2814" s="71" t="n">
        <v>42604</v>
      </c>
      <c r="D2814" s="72" t="n">
        <v>0.25</v>
      </c>
    </row>
    <row r="2815">
      <c r="A2815" s="71" t="n">
        <v>42605</v>
      </c>
      <c r="B2815" s="72" t="n">
        <v>0.5</v>
      </c>
      <c r="C2815" s="71" t="n">
        <v>42605</v>
      </c>
      <c r="D2815" s="72" t="n">
        <v>0.25</v>
      </c>
    </row>
    <row r="2816">
      <c r="A2816" s="71" t="n">
        <v>42606</v>
      </c>
      <c r="B2816" s="72" t="n">
        <v>0.5</v>
      </c>
      <c r="C2816" s="71" t="n">
        <v>42606</v>
      </c>
      <c r="D2816" s="72" t="n">
        <v>0.25</v>
      </c>
    </row>
    <row r="2817">
      <c r="A2817" s="71" t="n">
        <v>42607</v>
      </c>
      <c r="B2817" s="72" t="n">
        <v>0.5</v>
      </c>
      <c r="C2817" s="71" t="n">
        <v>42607</v>
      </c>
      <c r="D2817" s="72" t="n">
        <v>0.25</v>
      </c>
    </row>
    <row r="2818">
      <c r="A2818" s="71" t="n">
        <v>42608</v>
      </c>
      <c r="B2818" s="72" t="n">
        <v>0.5</v>
      </c>
      <c r="C2818" s="71" t="n">
        <v>42608</v>
      </c>
      <c r="D2818" s="72" t="n">
        <v>0.25</v>
      </c>
    </row>
    <row r="2819">
      <c r="A2819" s="71" t="n">
        <v>42609</v>
      </c>
      <c r="B2819" s="72" t="n">
        <v>0.5</v>
      </c>
      <c r="C2819" s="71" t="n">
        <v>42609</v>
      </c>
      <c r="D2819" s="72" t="n">
        <v>0.25</v>
      </c>
    </row>
    <row r="2820">
      <c r="A2820" s="71" t="n">
        <v>42610</v>
      </c>
      <c r="B2820" s="72" t="n">
        <v>0.5</v>
      </c>
      <c r="C2820" s="71" t="n">
        <v>42610</v>
      </c>
      <c r="D2820" s="72" t="n">
        <v>0.25</v>
      </c>
    </row>
    <row r="2821">
      <c r="A2821" s="71" t="n">
        <v>42611</v>
      </c>
      <c r="B2821" s="72" t="n">
        <v>0.5</v>
      </c>
      <c r="C2821" s="71" t="n">
        <v>42611</v>
      </c>
      <c r="D2821" s="72" t="n">
        <v>0.25</v>
      </c>
    </row>
    <row r="2822">
      <c r="A2822" s="71" t="n">
        <v>42612</v>
      </c>
      <c r="B2822" s="72" t="n">
        <v>0.5</v>
      </c>
      <c r="C2822" s="71" t="n">
        <v>42612</v>
      </c>
      <c r="D2822" s="72" t="n">
        <v>0.25</v>
      </c>
    </row>
    <row r="2823">
      <c r="A2823" s="71" t="n">
        <v>42613</v>
      </c>
      <c r="B2823" s="72" t="n">
        <v>0.5</v>
      </c>
      <c r="C2823" s="71" t="n">
        <v>42613</v>
      </c>
      <c r="D2823" s="72" t="n">
        <v>0.25</v>
      </c>
    </row>
    <row r="2824">
      <c r="A2824" s="71" t="n">
        <v>42614</v>
      </c>
      <c r="B2824" s="72" t="n">
        <v>0.5</v>
      </c>
      <c r="C2824" s="71" t="n">
        <v>42614</v>
      </c>
      <c r="D2824" s="72" t="n">
        <v>0.25</v>
      </c>
    </row>
    <row r="2825">
      <c r="A2825" s="71" t="n">
        <v>42615</v>
      </c>
      <c r="B2825" s="72" t="n">
        <v>0.5</v>
      </c>
      <c r="C2825" s="71" t="n">
        <v>42615</v>
      </c>
      <c r="D2825" s="72" t="n">
        <v>0.25</v>
      </c>
    </row>
    <row r="2826">
      <c r="A2826" s="71" t="n">
        <v>42616</v>
      </c>
      <c r="B2826" s="72" t="n">
        <v>0.5</v>
      </c>
      <c r="C2826" s="71" t="n">
        <v>42616</v>
      </c>
      <c r="D2826" s="72" t="n">
        <v>0.25</v>
      </c>
    </row>
    <row r="2827">
      <c r="A2827" s="71" t="n">
        <v>42617</v>
      </c>
      <c r="B2827" s="72" t="n">
        <v>0.5</v>
      </c>
      <c r="C2827" s="71" t="n">
        <v>42617</v>
      </c>
      <c r="D2827" s="72" t="n">
        <v>0.25</v>
      </c>
    </row>
    <row r="2828">
      <c r="A2828" s="71" t="n">
        <v>42618</v>
      </c>
      <c r="B2828" s="72" t="n">
        <v>0.5</v>
      </c>
      <c r="C2828" s="71" t="n">
        <v>42618</v>
      </c>
      <c r="D2828" s="72" t="n">
        <v>0.25</v>
      </c>
    </row>
    <row r="2829">
      <c r="A2829" s="71" t="n">
        <v>42619</v>
      </c>
      <c r="B2829" s="72" t="n">
        <v>0.5</v>
      </c>
      <c r="C2829" s="71" t="n">
        <v>42619</v>
      </c>
      <c r="D2829" s="72" t="n">
        <v>0.25</v>
      </c>
    </row>
    <row r="2830">
      <c r="A2830" s="71" t="n">
        <v>42620</v>
      </c>
      <c r="B2830" s="72" t="n">
        <v>0.5</v>
      </c>
      <c r="C2830" s="71" t="n">
        <v>42620</v>
      </c>
      <c r="D2830" s="72" t="n">
        <v>0.25</v>
      </c>
    </row>
    <row r="2831">
      <c r="A2831" s="71" t="n">
        <v>42621</v>
      </c>
      <c r="B2831" s="72" t="n">
        <v>0.5</v>
      </c>
      <c r="C2831" s="71" t="n">
        <v>42621</v>
      </c>
      <c r="D2831" s="72" t="n">
        <v>0.25</v>
      </c>
    </row>
    <row r="2832">
      <c r="A2832" s="71" t="n">
        <v>42622</v>
      </c>
      <c r="B2832" s="72" t="n">
        <v>0.5</v>
      </c>
      <c r="C2832" s="71" t="n">
        <v>42622</v>
      </c>
      <c r="D2832" s="72" t="n">
        <v>0.25</v>
      </c>
    </row>
    <row r="2833">
      <c r="A2833" s="71" t="n">
        <v>42623</v>
      </c>
      <c r="B2833" s="72" t="n">
        <v>0.5</v>
      </c>
      <c r="C2833" s="71" t="n">
        <v>42623</v>
      </c>
      <c r="D2833" s="72" t="n">
        <v>0.25</v>
      </c>
    </row>
    <row r="2834">
      <c r="A2834" s="71" t="n">
        <v>42624</v>
      </c>
      <c r="B2834" s="72" t="n">
        <v>0.5</v>
      </c>
      <c r="C2834" s="71" t="n">
        <v>42624</v>
      </c>
      <c r="D2834" s="72" t="n">
        <v>0.25</v>
      </c>
    </row>
    <row r="2835">
      <c r="A2835" s="71" t="n">
        <v>42625</v>
      </c>
      <c r="B2835" s="72" t="n">
        <v>0.5</v>
      </c>
      <c r="C2835" s="71" t="n">
        <v>42625</v>
      </c>
      <c r="D2835" s="72" t="n">
        <v>0.25</v>
      </c>
    </row>
    <row r="2836">
      <c r="A2836" s="71" t="n">
        <v>42626</v>
      </c>
      <c r="B2836" s="72" t="n">
        <v>0.5</v>
      </c>
      <c r="C2836" s="71" t="n">
        <v>42626</v>
      </c>
      <c r="D2836" s="72" t="n">
        <v>0.25</v>
      </c>
    </row>
    <row r="2837">
      <c r="A2837" s="71" t="n">
        <v>42627</v>
      </c>
      <c r="B2837" s="72" t="n">
        <v>0.5</v>
      </c>
      <c r="C2837" s="71" t="n">
        <v>42627</v>
      </c>
      <c r="D2837" s="72" t="n">
        <v>0.25</v>
      </c>
    </row>
    <row r="2838">
      <c r="A2838" s="71" t="n">
        <v>42628</v>
      </c>
      <c r="B2838" s="72" t="n">
        <v>0.5</v>
      </c>
      <c r="C2838" s="71" t="n">
        <v>42628</v>
      </c>
      <c r="D2838" s="72" t="n">
        <v>0.25</v>
      </c>
    </row>
    <row r="2839">
      <c r="A2839" s="71" t="n">
        <v>42629</v>
      </c>
      <c r="B2839" s="72" t="n">
        <v>0.5</v>
      </c>
      <c r="C2839" s="71" t="n">
        <v>42629</v>
      </c>
      <c r="D2839" s="72" t="n">
        <v>0.25</v>
      </c>
    </row>
    <row r="2840">
      <c r="A2840" s="71" t="n">
        <v>42630</v>
      </c>
      <c r="B2840" s="72" t="n">
        <v>0.5</v>
      </c>
      <c r="C2840" s="71" t="n">
        <v>42630</v>
      </c>
      <c r="D2840" s="72" t="n">
        <v>0.25</v>
      </c>
    </row>
    <row r="2841">
      <c r="A2841" s="71" t="n">
        <v>42631</v>
      </c>
      <c r="B2841" s="72" t="n">
        <v>0.5</v>
      </c>
      <c r="C2841" s="71" t="n">
        <v>42631</v>
      </c>
      <c r="D2841" s="72" t="n">
        <v>0.25</v>
      </c>
    </row>
    <row r="2842">
      <c r="A2842" s="71" t="n">
        <v>42632</v>
      </c>
      <c r="B2842" s="72" t="n">
        <v>0.5</v>
      </c>
      <c r="C2842" s="71" t="n">
        <v>42632</v>
      </c>
      <c r="D2842" s="72" t="n">
        <v>0.25</v>
      </c>
    </row>
    <row r="2843">
      <c r="A2843" s="71" t="n">
        <v>42633</v>
      </c>
      <c r="B2843" s="72" t="n">
        <v>0.5</v>
      </c>
      <c r="C2843" s="71" t="n">
        <v>42633</v>
      </c>
      <c r="D2843" s="72" t="n">
        <v>0.25</v>
      </c>
    </row>
    <row r="2844">
      <c r="A2844" s="71" t="n">
        <v>42634</v>
      </c>
      <c r="B2844" s="72" t="n">
        <v>0.5</v>
      </c>
      <c r="C2844" s="71" t="n">
        <v>42634</v>
      </c>
      <c r="D2844" s="72" t="n">
        <v>0.25</v>
      </c>
    </row>
    <row r="2845">
      <c r="A2845" s="71" t="n">
        <v>42635</v>
      </c>
      <c r="B2845" s="72" t="n">
        <v>0.5</v>
      </c>
      <c r="C2845" s="71" t="n">
        <v>42635</v>
      </c>
      <c r="D2845" s="72" t="n">
        <v>0.25</v>
      </c>
    </row>
    <row r="2846">
      <c r="A2846" s="71" t="n">
        <v>42636</v>
      </c>
      <c r="B2846" s="72" t="n">
        <v>0.5</v>
      </c>
      <c r="C2846" s="71" t="n">
        <v>42636</v>
      </c>
      <c r="D2846" s="72" t="n">
        <v>0.25</v>
      </c>
    </row>
    <row r="2847">
      <c r="A2847" s="71" t="n">
        <v>42637</v>
      </c>
      <c r="B2847" s="72" t="n">
        <v>0.5</v>
      </c>
      <c r="C2847" s="71" t="n">
        <v>42637</v>
      </c>
      <c r="D2847" s="72" t="n">
        <v>0.25</v>
      </c>
    </row>
    <row r="2848">
      <c r="A2848" s="71" t="n">
        <v>42638</v>
      </c>
      <c r="B2848" s="72" t="n">
        <v>0.5</v>
      </c>
      <c r="C2848" s="71" t="n">
        <v>42638</v>
      </c>
      <c r="D2848" s="72" t="n">
        <v>0.25</v>
      </c>
    </row>
    <row r="2849">
      <c r="A2849" s="71" t="n">
        <v>42639</v>
      </c>
      <c r="B2849" s="72" t="n">
        <v>0.5</v>
      </c>
      <c r="C2849" s="71" t="n">
        <v>42639</v>
      </c>
      <c r="D2849" s="72" t="n">
        <v>0.25</v>
      </c>
    </row>
    <row r="2850">
      <c r="A2850" s="71" t="n">
        <v>42640</v>
      </c>
      <c r="B2850" s="72" t="n">
        <v>0.5</v>
      </c>
      <c r="C2850" s="71" t="n">
        <v>42640</v>
      </c>
      <c r="D2850" s="72" t="n">
        <v>0.25</v>
      </c>
    </row>
    <row r="2851">
      <c r="A2851" s="71" t="n">
        <v>42641</v>
      </c>
      <c r="B2851" s="72" t="n">
        <v>0.5</v>
      </c>
      <c r="C2851" s="71" t="n">
        <v>42641</v>
      </c>
      <c r="D2851" s="72" t="n">
        <v>0.25</v>
      </c>
    </row>
    <row r="2852">
      <c r="A2852" s="71" t="n">
        <v>42642</v>
      </c>
      <c r="B2852" s="72" t="n">
        <v>0.5</v>
      </c>
      <c r="C2852" s="71" t="n">
        <v>42642</v>
      </c>
      <c r="D2852" s="72" t="n">
        <v>0.25</v>
      </c>
    </row>
    <row r="2853">
      <c r="A2853" s="71" t="n">
        <v>42643</v>
      </c>
      <c r="B2853" s="72" t="n">
        <v>0.5</v>
      </c>
      <c r="C2853" s="71" t="n">
        <v>42643</v>
      </c>
      <c r="D2853" s="72" t="n">
        <v>0.25</v>
      </c>
    </row>
    <row r="2854">
      <c r="A2854" s="71" t="n">
        <v>42644</v>
      </c>
      <c r="B2854" s="72" t="n">
        <v>0.5</v>
      </c>
      <c r="C2854" s="71" t="n">
        <v>42644</v>
      </c>
      <c r="D2854" s="72" t="n">
        <v>0.25</v>
      </c>
    </row>
    <row r="2855">
      <c r="A2855" s="71" t="n">
        <v>42645</v>
      </c>
      <c r="B2855" s="72" t="n">
        <v>0.5</v>
      </c>
      <c r="C2855" s="71" t="n">
        <v>42645</v>
      </c>
      <c r="D2855" s="72" t="n">
        <v>0.25</v>
      </c>
    </row>
    <row r="2856">
      <c r="A2856" s="71" t="n">
        <v>42646</v>
      </c>
      <c r="B2856" s="72" t="n">
        <v>0.5</v>
      </c>
      <c r="C2856" s="71" t="n">
        <v>42646</v>
      </c>
      <c r="D2856" s="72" t="n">
        <v>0.25</v>
      </c>
    </row>
    <row r="2857">
      <c r="A2857" s="71" t="n">
        <v>42647</v>
      </c>
      <c r="B2857" s="72" t="n">
        <v>0.5</v>
      </c>
      <c r="C2857" s="71" t="n">
        <v>42647</v>
      </c>
      <c r="D2857" s="72" t="n">
        <v>0.25</v>
      </c>
    </row>
    <row r="2858">
      <c r="A2858" s="71" t="n">
        <v>42648</v>
      </c>
      <c r="B2858" s="72" t="n">
        <v>0.5</v>
      </c>
      <c r="C2858" s="71" t="n">
        <v>42648</v>
      </c>
      <c r="D2858" s="72" t="n">
        <v>0.25</v>
      </c>
    </row>
    <row r="2859">
      <c r="A2859" s="71" t="n">
        <v>42649</v>
      </c>
      <c r="B2859" s="72" t="n">
        <v>0.5</v>
      </c>
      <c r="C2859" s="71" t="n">
        <v>42649</v>
      </c>
      <c r="D2859" s="72" t="n">
        <v>0.25</v>
      </c>
    </row>
    <row r="2860">
      <c r="A2860" s="71" t="n">
        <v>42650</v>
      </c>
      <c r="B2860" s="72" t="n">
        <v>0.5</v>
      </c>
      <c r="C2860" s="71" t="n">
        <v>42650</v>
      </c>
      <c r="D2860" s="72" t="n">
        <v>0.25</v>
      </c>
    </row>
    <row r="2861">
      <c r="A2861" s="71" t="n">
        <v>42651</v>
      </c>
      <c r="B2861" s="72" t="n">
        <v>0.5</v>
      </c>
      <c r="C2861" s="71" t="n">
        <v>42651</v>
      </c>
      <c r="D2861" s="72" t="n">
        <v>0.25</v>
      </c>
    </row>
    <row r="2862">
      <c r="A2862" s="71" t="n">
        <v>42652</v>
      </c>
      <c r="B2862" s="72" t="n">
        <v>0.5</v>
      </c>
      <c r="C2862" s="71" t="n">
        <v>42652</v>
      </c>
      <c r="D2862" s="72" t="n">
        <v>0.25</v>
      </c>
    </row>
    <row r="2863">
      <c r="A2863" s="71" t="n">
        <v>42653</v>
      </c>
      <c r="B2863" s="72" t="n">
        <v>0.5</v>
      </c>
      <c r="C2863" s="71" t="n">
        <v>42653</v>
      </c>
      <c r="D2863" s="72" t="n">
        <v>0.25</v>
      </c>
    </row>
    <row r="2864">
      <c r="A2864" s="71" t="n">
        <v>42654</v>
      </c>
      <c r="B2864" s="72" t="n">
        <v>0.5</v>
      </c>
      <c r="C2864" s="71" t="n">
        <v>42654</v>
      </c>
      <c r="D2864" s="72" t="n">
        <v>0.25</v>
      </c>
    </row>
    <row r="2865">
      <c r="A2865" s="71" t="n">
        <v>42655</v>
      </c>
      <c r="B2865" s="72" t="n">
        <v>0.5</v>
      </c>
      <c r="C2865" s="71" t="n">
        <v>42655</v>
      </c>
      <c r="D2865" s="72" t="n">
        <v>0.25</v>
      </c>
    </row>
    <row r="2866">
      <c r="A2866" s="71" t="n">
        <v>42656</v>
      </c>
      <c r="B2866" s="72" t="n">
        <v>0.5</v>
      </c>
      <c r="C2866" s="71" t="n">
        <v>42656</v>
      </c>
      <c r="D2866" s="72" t="n">
        <v>0.25</v>
      </c>
    </row>
    <row r="2867">
      <c r="A2867" s="71" t="n">
        <v>42657</v>
      </c>
      <c r="B2867" s="72" t="n">
        <v>0.5</v>
      </c>
      <c r="C2867" s="71" t="n">
        <v>42657</v>
      </c>
      <c r="D2867" s="72" t="n">
        <v>0.25</v>
      </c>
    </row>
    <row r="2868">
      <c r="A2868" s="71" t="n">
        <v>42658</v>
      </c>
      <c r="B2868" s="72" t="n">
        <v>0.5</v>
      </c>
      <c r="C2868" s="71" t="n">
        <v>42658</v>
      </c>
      <c r="D2868" s="72" t="n">
        <v>0.25</v>
      </c>
    </row>
    <row r="2869">
      <c r="A2869" s="71" t="n">
        <v>42659</v>
      </c>
      <c r="B2869" s="72" t="n">
        <v>0.5</v>
      </c>
      <c r="C2869" s="71" t="n">
        <v>42659</v>
      </c>
      <c r="D2869" s="72" t="n">
        <v>0.25</v>
      </c>
    </row>
    <row r="2870">
      <c r="A2870" s="71" t="n">
        <v>42660</v>
      </c>
      <c r="B2870" s="72" t="n">
        <v>0.5</v>
      </c>
      <c r="C2870" s="71" t="n">
        <v>42660</v>
      </c>
      <c r="D2870" s="72" t="n">
        <v>0.25</v>
      </c>
    </row>
    <row r="2871">
      <c r="A2871" s="71" t="n">
        <v>42661</v>
      </c>
      <c r="B2871" s="72" t="n">
        <v>0.5</v>
      </c>
      <c r="C2871" s="71" t="n">
        <v>42661</v>
      </c>
      <c r="D2871" s="72" t="n">
        <v>0.25</v>
      </c>
    </row>
    <row r="2872">
      <c r="A2872" s="71" t="n">
        <v>42662</v>
      </c>
      <c r="B2872" s="72" t="n">
        <v>0.5</v>
      </c>
      <c r="C2872" s="71" t="n">
        <v>42662</v>
      </c>
      <c r="D2872" s="72" t="n">
        <v>0.25</v>
      </c>
    </row>
    <row r="2873">
      <c r="A2873" s="71" t="n">
        <v>42663</v>
      </c>
      <c r="B2873" s="72" t="n">
        <v>0.5</v>
      </c>
      <c r="C2873" s="71" t="n">
        <v>42663</v>
      </c>
      <c r="D2873" s="72" t="n">
        <v>0.25</v>
      </c>
    </row>
    <row r="2874">
      <c r="A2874" s="71" t="n">
        <v>42664</v>
      </c>
      <c r="B2874" s="72" t="n">
        <v>0.5</v>
      </c>
      <c r="C2874" s="71" t="n">
        <v>42664</v>
      </c>
      <c r="D2874" s="72" t="n">
        <v>0.25</v>
      </c>
    </row>
    <row r="2875">
      <c r="A2875" s="71" t="n">
        <v>42665</v>
      </c>
      <c r="B2875" s="72" t="n">
        <v>0.5</v>
      </c>
      <c r="C2875" s="71" t="n">
        <v>42665</v>
      </c>
      <c r="D2875" s="72" t="n">
        <v>0.25</v>
      </c>
    </row>
    <row r="2876">
      <c r="A2876" s="71" t="n">
        <v>42666</v>
      </c>
      <c r="B2876" s="72" t="n">
        <v>0.5</v>
      </c>
      <c r="C2876" s="71" t="n">
        <v>42666</v>
      </c>
      <c r="D2876" s="72" t="n">
        <v>0.25</v>
      </c>
    </row>
    <row r="2877">
      <c r="A2877" s="71" t="n">
        <v>42667</v>
      </c>
      <c r="B2877" s="72" t="n">
        <v>0.5</v>
      </c>
      <c r="C2877" s="71" t="n">
        <v>42667</v>
      </c>
      <c r="D2877" s="72" t="n">
        <v>0.25</v>
      </c>
    </row>
    <row r="2878">
      <c r="A2878" s="71" t="n">
        <v>42668</v>
      </c>
      <c r="B2878" s="72" t="n">
        <v>0.5</v>
      </c>
      <c r="C2878" s="71" t="n">
        <v>42668</v>
      </c>
      <c r="D2878" s="72" t="n">
        <v>0.25</v>
      </c>
    </row>
    <row r="2879">
      <c r="A2879" s="71" t="n">
        <v>42669</v>
      </c>
      <c r="B2879" s="72" t="n">
        <v>0.5</v>
      </c>
      <c r="C2879" s="71" t="n">
        <v>42669</v>
      </c>
      <c r="D2879" s="72" t="n">
        <v>0.25</v>
      </c>
    </row>
    <row r="2880">
      <c r="A2880" s="71" t="n">
        <v>42670</v>
      </c>
      <c r="B2880" s="72" t="n">
        <v>0.5</v>
      </c>
      <c r="C2880" s="71" t="n">
        <v>42670</v>
      </c>
      <c r="D2880" s="72" t="n">
        <v>0.25</v>
      </c>
    </row>
    <row r="2881">
      <c r="A2881" s="71" t="n">
        <v>42671</v>
      </c>
      <c r="B2881" s="72" t="n">
        <v>0.5</v>
      </c>
      <c r="C2881" s="71" t="n">
        <v>42671</v>
      </c>
      <c r="D2881" s="72" t="n">
        <v>0.25</v>
      </c>
    </row>
    <row r="2882">
      <c r="A2882" s="71" t="n">
        <v>42672</v>
      </c>
      <c r="B2882" s="72" t="n">
        <v>0.5</v>
      </c>
      <c r="C2882" s="71" t="n">
        <v>42672</v>
      </c>
      <c r="D2882" s="72" t="n">
        <v>0.25</v>
      </c>
    </row>
    <row r="2883">
      <c r="A2883" s="71" t="n">
        <v>42673</v>
      </c>
      <c r="B2883" s="72" t="n">
        <v>0.5</v>
      </c>
      <c r="C2883" s="71" t="n">
        <v>42673</v>
      </c>
      <c r="D2883" s="72" t="n">
        <v>0.25</v>
      </c>
    </row>
    <row r="2884">
      <c r="A2884" s="71" t="n">
        <v>42674</v>
      </c>
      <c r="B2884" s="72" t="n">
        <v>0.5</v>
      </c>
      <c r="C2884" s="71" t="n">
        <v>42674</v>
      </c>
      <c r="D2884" s="72" t="n">
        <v>0.25</v>
      </c>
    </row>
    <row r="2885">
      <c r="A2885" s="71" t="n">
        <v>42675</v>
      </c>
      <c r="B2885" s="72" t="n">
        <v>0.5</v>
      </c>
      <c r="C2885" s="71" t="n">
        <v>42675</v>
      </c>
      <c r="D2885" s="72" t="n">
        <v>0.25</v>
      </c>
    </row>
    <row r="2886">
      <c r="A2886" s="71" t="n">
        <v>42676</v>
      </c>
      <c r="B2886" s="72" t="n">
        <v>0.5</v>
      </c>
      <c r="C2886" s="71" t="n">
        <v>42676</v>
      </c>
      <c r="D2886" s="72" t="n">
        <v>0.25</v>
      </c>
    </row>
    <row r="2887">
      <c r="A2887" s="71" t="n">
        <v>42677</v>
      </c>
      <c r="B2887" s="72" t="n">
        <v>0.5</v>
      </c>
      <c r="C2887" s="71" t="n">
        <v>42677</v>
      </c>
      <c r="D2887" s="72" t="n">
        <v>0.25</v>
      </c>
    </row>
    <row r="2888">
      <c r="A2888" s="71" t="n">
        <v>42678</v>
      </c>
      <c r="B2888" s="72" t="n">
        <v>0.5</v>
      </c>
      <c r="C2888" s="71" t="n">
        <v>42678</v>
      </c>
      <c r="D2888" s="72" t="n">
        <v>0.25</v>
      </c>
    </row>
    <row r="2889">
      <c r="A2889" s="71" t="n">
        <v>42679</v>
      </c>
      <c r="B2889" s="72" t="n">
        <v>0.5</v>
      </c>
      <c r="C2889" s="71" t="n">
        <v>42679</v>
      </c>
      <c r="D2889" s="72" t="n">
        <v>0.25</v>
      </c>
    </row>
    <row r="2890">
      <c r="A2890" s="71" t="n">
        <v>42680</v>
      </c>
      <c r="B2890" s="72" t="n">
        <v>0.5</v>
      </c>
      <c r="C2890" s="71" t="n">
        <v>42680</v>
      </c>
      <c r="D2890" s="72" t="n">
        <v>0.25</v>
      </c>
    </row>
    <row r="2891">
      <c r="A2891" s="71" t="n">
        <v>42681</v>
      </c>
      <c r="B2891" s="72" t="n">
        <v>0.5</v>
      </c>
      <c r="C2891" s="71" t="n">
        <v>42681</v>
      </c>
      <c r="D2891" s="72" t="n">
        <v>0.25</v>
      </c>
    </row>
    <row r="2892">
      <c r="A2892" s="71" t="n">
        <v>42682</v>
      </c>
      <c r="B2892" s="72" t="n">
        <v>0.5</v>
      </c>
      <c r="C2892" s="71" t="n">
        <v>42682</v>
      </c>
      <c r="D2892" s="72" t="n">
        <v>0.25</v>
      </c>
    </row>
    <row r="2893">
      <c r="A2893" s="71" t="n">
        <v>42683</v>
      </c>
      <c r="B2893" s="72" t="n">
        <v>0.5</v>
      </c>
      <c r="C2893" s="71" t="n">
        <v>42683</v>
      </c>
      <c r="D2893" s="72" t="n">
        <v>0.25</v>
      </c>
    </row>
    <row r="2894">
      <c r="A2894" s="71" t="n">
        <v>42684</v>
      </c>
      <c r="B2894" s="72" t="n">
        <v>0.5</v>
      </c>
      <c r="C2894" s="71" t="n">
        <v>42684</v>
      </c>
      <c r="D2894" s="72" t="n">
        <v>0.25</v>
      </c>
    </row>
    <row r="2895">
      <c r="A2895" s="71" t="n">
        <v>42685</v>
      </c>
      <c r="B2895" s="72" t="n">
        <v>0.5</v>
      </c>
      <c r="C2895" s="71" t="n">
        <v>42685</v>
      </c>
      <c r="D2895" s="72" t="n">
        <v>0.25</v>
      </c>
    </row>
    <row r="2896">
      <c r="A2896" s="71" t="n">
        <v>42686</v>
      </c>
      <c r="B2896" s="72" t="n">
        <v>0.5</v>
      </c>
      <c r="C2896" s="71" t="n">
        <v>42686</v>
      </c>
      <c r="D2896" s="72" t="n">
        <v>0.25</v>
      </c>
    </row>
    <row r="2897">
      <c r="A2897" s="71" t="n">
        <v>42687</v>
      </c>
      <c r="B2897" s="72" t="n">
        <v>0.5</v>
      </c>
      <c r="C2897" s="71" t="n">
        <v>42687</v>
      </c>
      <c r="D2897" s="72" t="n">
        <v>0.25</v>
      </c>
    </row>
    <row r="2898">
      <c r="A2898" s="71" t="n">
        <v>42688</v>
      </c>
      <c r="B2898" s="72" t="n">
        <v>0.5</v>
      </c>
      <c r="C2898" s="71" t="n">
        <v>42688</v>
      </c>
      <c r="D2898" s="72" t="n">
        <v>0.25</v>
      </c>
    </row>
    <row r="2899">
      <c r="A2899" s="71" t="n">
        <v>42689</v>
      </c>
      <c r="B2899" s="72" t="n">
        <v>0.5</v>
      </c>
      <c r="C2899" s="71" t="n">
        <v>42689</v>
      </c>
      <c r="D2899" s="72" t="n">
        <v>0.25</v>
      </c>
    </row>
    <row r="2900">
      <c r="A2900" s="71" t="n">
        <v>42690</v>
      </c>
      <c r="B2900" s="72" t="n">
        <v>0.5</v>
      </c>
      <c r="C2900" s="71" t="n">
        <v>42690</v>
      </c>
      <c r="D2900" s="72" t="n">
        <v>0.25</v>
      </c>
    </row>
    <row r="2901">
      <c r="A2901" s="71" t="n">
        <v>42691</v>
      </c>
      <c r="B2901" s="72" t="n">
        <v>0.5</v>
      </c>
      <c r="C2901" s="71" t="n">
        <v>42691</v>
      </c>
      <c r="D2901" s="72" t="n">
        <v>0.25</v>
      </c>
    </row>
    <row r="2902">
      <c r="A2902" s="71" t="n">
        <v>42692</v>
      </c>
      <c r="B2902" s="72" t="n">
        <v>0.5</v>
      </c>
      <c r="C2902" s="71" t="n">
        <v>42692</v>
      </c>
      <c r="D2902" s="72" t="n">
        <v>0.25</v>
      </c>
    </row>
    <row r="2903">
      <c r="A2903" s="71" t="n">
        <v>42693</v>
      </c>
      <c r="B2903" s="72" t="n">
        <v>0.5</v>
      </c>
      <c r="C2903" s="71" t="n">
        <v>42693</v>
      </c>
      <c r="D2903" s="72" t="n">
        <v>0.25</v>
      </c>
    </row>
    <row r="2904">
      <c r="A2904" s="71" t="n">
        <v>42694</v>
      </c>
      <c r="B2904" s="72" t="n">
        <v>0.5</v>
      </c>
      <c r="C2904" s="71" t="n">
        <v>42694</v>
      </c>
      <c r="D2904" s="72" t="n">
        <v>0.25</v>
      </c>
    </row>
    <row r="2905">
      <c r="A2905" s="71" t="n">
        <v>42695</v>
      </c>
      <c r="B2905" s="72" t="n">
        <v>0.5</v>
      </c>
      <c r="C2905" s="71" t="n">
        <v>42695</v>
      </c>
      <c r="D2905" s="72" t="n">
        <v>0.25</v>
      </c>
    </row>
    <row r="2906">
      <c r="A2906" s="71" t="n">
        <v>42696</v>
      </c>
      <c r="B2906" s="72" t="n">
        <v>0.5</v>
      </c>
      <c r="C2906" s="71" t="n">
        <v>42696</v>
      </c>
      <c r="D2906" s="72" t="n">
        <v>0.25</v>
      </c>
    </row>
    <row r="2907">
      <c r="A2907" s="71" t="n">
        <v>42697</v>
      </c>
      <c r="B2907" s="72" t="n">
        <v>0.5</v>
      </c>
      <c r="C2907" s="71" t="n">
        <v>42697</v>
      </c>
      <c r="D2907" s="72" t="n">
        <v>0.25</v>
      </c>
    </row>
    <row r="2908">
      <c r="A2908" s="71" t="n">
        <v>42698</v>
      </c>
      <c r="B2908" s="72" t="n">
        <v>0.5</v>
      </c>
      <c r="C2908" s="71" t="n">
        <v>42698</v>
      </c>
      <c r="D2908" s="72" t="n">
        <v>0.25</v>
      </c>
    </row>
    <row r="2909">
      <c r="A2909" s="71" t="n">
        <v>42699</v>
      </c>
      <c r="B2909" s="72" t="n">
        <v>0.5</v>
      </c>
      <c r="C2909" s="71" t="n">
        <v>42699</v>
      </c>
      <c r="D2909" s="72" t="n">
        <v>0.25</v>
      </c>
    </row>
    <row r="2910">
      <c r="A2910" s="71" t="n">
        <v>42700</v>
      </c>
      <c r="B2910" s="72" t="n">
        <v>0.5</v>
      </c>
      <c r="C2910" s="71" t="n">
        <v>42700</v>
      </c>
      <c r="D2910" s="72" t="n">
        <v>0.25</v>
      </c>
    </row>
    <row r="2911">
      <c r="A2911" s="71" t="n">
        <v>42701</v>
      </c>
      <c r="B2911" s="72" t="n">
        <v>0.5</v>
      </c>
      <c r="C2911" s="71" t="n">
        <v>42701</v>
      </c>
      <c r="D2911" s="72" t="n">
        <v>0.25</v>
      </c>
    </row>
    <row r="2912">
      <c r="A2912" s="71" t="n">
        <v>42702</v>
      </c>
      <c r="B2912" s="72" t="n">
        <v>0.5</v>
      </c>
      <c r="C2912" s="71" t="n">
        <v>42702</v>
      </c>
      <c r="D2912" s="72" t="n">
        <v>0.25</v>
      </c>
    </row>
    <row r="2913">
      <c r="A2913" s="71" t="n">
        <v>42703</v>
      </c>
      <c r="B2913" s="72" t="n">
        <v>0.5</v>
      </c>
      <c r="C2913" s="71" t="n">
        <v>42703</v>
      </c>
      <c r="D2913" s="72" t="n">
        <v>0.25</v>
      </c>
    </row>
    <row r="2914">
      <c r="A2914" s="71" t="n">
        <v>42704</v>
      </c>
      <c r="B2914" s="72" t="n">
        <v>0.5</v>
      </c>
      <c r="C2914" s="71" t="n">
        <v>42704</v>
      </c>
      <c r="D2914" s="72" t="n">
        <v>0.25</v>
      </c>
    </row>
    <row r="2915">
      <c r="A2915" s="71" t="n">
        <v>42705</v>
      </c>
      <c r="B2915" s="72" t="n">
        <v>0.5</v>
      </c>
      <c r="C2915" s="71" t="n">
        <v>42705</v>
      </c>
      <c r="D2915" s="72" t="n">
        <v>0.25</v>
      </c>
    </row>
    <row r="2916">
      <c r="A2916" s="71" t="n">
        <v>42706</v>
      </c>
      <c r="B2916" s="72" t="n">
        <v>0.5</v>
      </c>
      <c r="C2916" s="71" t="n">
        <v>42706</v>
      </c>
      <c r="D2916" s="72" t="n">
        <v>0.25</v>
      </c>
    </row>
    <row r="2917">
      <c r="A2917" s="71" t="n">
        <v>42707</v>
      </c>
      <c r="B2917" s="72" t="n">
        <v>0.5</v>
      </c>
      <c r="C2917" s="71" t="n">
        <v>42707</v>
      </c>
      <c r="D2917" s="72" t="n">
        <v>0.25</v>
      </c>
    </row>
    <row r="2918">
      <c r="A2918" s="71" t="n">
        <v>42708</v>
      </c>
      <c r="B2918" s="72" t="n">
        <v>0.5</v>
      </c>
      <c r="C2918" s="71" t="n">
        <v>42708</v>
      </c>
      <c r="D2918" s="72" t="n">
        <v>0.25</v>
      </c>
    </row>
    <row r="2919">
      <c r="A2919" s="71" t="n">
        <v>42709</v>
      </c>
      <c r="B2919" s="72" t="n">
        <v>0.5</v>
      </c>
      <c r="C2919" s="71" t="n">
        <v>42709</v>
      </c>
      <c r="D2919" s="72" t="n">
        <v>0.25</v>
      </c>
    </row>
    <row r="2920">
      <c r="A2920" s="71" t="n">
        <v>42710</v>
      </c>
      <c r="B2920" s="72" t="n">
        <v>0.5</v>
      </c>
      <c r="C2920" s="71" t="n">
        <v>42710</v>
      </c>
      <c r="D2920" s="72" t="n">
        <v>0.25</v>
      </c>
    </row>
    <row r="2921">
      <c r="A2921" s="71" t="n">
        <v>42711</v>
      </c>
      <c r="B2921" s="72" t="n">
        <v>0.5</v>
      </c>
      <c r="C2921" s="71" t="n">
        <v>42711</v>
      </c>
      <c r="D2921" s="72" t="n">
        <v>0.25</v>
      </c>
    </row>
    <row r="2922">
      <c r="A2922" s="71" t="n">
        <v>42712</v>
      </c>
      <c r="B2922" s="72" t="n">
        <v>0.5</v>
      </c>
      <c r="C2922" s="71" t="n">
        <v>42712</v>
      </c>
      <c r="D2922" s="72" t="n">
        <v>0.25</v>
      </c>
    </row>
    <row r="2923">
      <c r="A2923" s="71" t="n">
        <v>42713</v>
      </c>
      <c r="B2923" s="72" t="n">
        <v>0.5</v>
      </c>
      <c r="C2923" s="71" t="n">
        <v>42713</v>
      </c>
      <c r="D2923" s="72" t="n">
        <v>0.25</v>
      </c>
    </row>
    <row r="2924">
      <c r="A2924" s="71" t="n">
        <v>42714</v>
      </c>
      <c r="B2924" s="72" t="n">
        <v>0.5</v>
      </c>
      <c r="C2924" s="71" t="n">
        <v>42714</v>
      </c>
      <c r="D2924" s="72" t="n">
        <v>0.25</v>
      </c>
    </row>
    <row r="2925">
      <c r="A2925" s="71" t="n">
        <v>42715</v>
      </c>
      <c r="B2925" s="72" t="n">
        <v>0.5</v>
      </c>
      <c r="C2925" s="71" t="n">
        <v>42715</v>
      </c>
      <c r="D2925" s="72" t="n">
        <v>0.25</v>
      </c>
    </row>
    <row r="2926">
      <c r="A2926" s="71" t="n">
        <v>42716</v>
      </c>
      <c r="B2926" s="72" t="n">
        <v>0.5</v>
      </c>
      <c r="C2926" s="71" t="n">
        <v>42716</v>
      </c>
      <c r="D2926" s="72" t="n">
        <v>0.25</v>
      </c>
    </row>
    <row r="2927">
      <c r="A2927" s="71" t="n">
        <v>42717</v>
      </c>
      <c r="B2927" s="72" t="n">
        <v>0.5</v>
      </c>
      <c r="C2927" s="71" t="n">
        <v>42717</v>
      </c>
      <c r="D2927" s="72" t="n">
        <v>0.25</v>
      </c>
    </row>
    <row r="2928">
      <c r="A2928" s="71" t="n">
        <v>42718</v>
      </c>
      <c r="B2928" s="72" t="n">
        <v>0.75</v>
      </c>
      <c r="C2928" s="71" t="n">
        <v>42718</v>
      </c>
      <c r="D2928" s="72" t="n">
        <v>0.5</v>
      </c>
    </row>
    <row r="2929">
      <c r="A2929" s="71" t="n">
        <v>42719</v>
      </c>
      <c r="B2929" s="72" t="n">
        <v>0.75</v>
      </c>
      <c r="C2929" s="71" t="n">
        <v>42719</v>
      </c>
      <c r="D2929" s="72" t="n">
        <v>0.5</v>
      </c>
    </row>
    <row r="2930">
      <c r="A2930" s="71" t="n">
        <v>42720</v>
      </c>
      <c r="B2930" s="72" t="n">
        <v>0.75</v>
      </c>
      <c r="C2930" s="71" t="n">
        <v>42720</v>
      </c>
      <c r="D2930" s="72" t="n">
        <v>0.5</v>
      </c>
    </row>
    <row r="2931">
      <c r="A2931" s="71" t="n">
        <v>42721</v>
      </c>
      <c r="B2931" s="72" t="n">
        <v>0.75</v>
      </c>
      <c r="C2931" s="71" t="n">
        <v>42721</v>
      </c>
      <c r="D2931" s="72" t="n">
        <v>0.5</v>
      </c>
    </row>
    <row r="2932">
      <c r="A2932" s="71" t="n">
        <v>42722</v>
      </c>
      <c r="B2932" s="72" t="n">
        <v>0.75</v>
      </c>
      <c r="C2932" s="71" t="n">
        <v>42722</v>
      </c>
      <c r="D2932" s="72" t="n">
        <v>0.5</v>
      </c>
    </row>
    <row r="2933">
      <c r="A2933" s="71" t="n">
        <v>42723</v>
      </c>
      <c r="B2933" s="72" t="n">
        <v>0.75</v>
      </c>
      <c r="C2933" s="71" t="n">
        <v>42723</v>
      </c>
      <c r="D2933" s="72" t="n">
        <v>0.5</v>
      </c>
    </row>
    <row r="2934">
      <c r="A2934" s="71" t="n">
        <v>42724</v>
      </c>
      <c r="B2934" s="72" t="n">
        <v>0.75</v>
      </c>
      <c r="C2934" s="71" t="n">
        <v>42724</v>
      </c>
      <c r="D2934" s="72" t="n">
        <v>0.5</v>
      </c>
    </row>
    <row r="2935">
      <c r="A2935" s="71" t="n">
        <v>42725</v>
      </c>
      <c r="B2935" s="72" t="n">
        <v>0.75</v>
      </c>
      <c r="C2935" s="71" t="n">
        <v>42725</v>
      </c>
      <c r="D2935" s="72" t="n">
        <v>0.5</v>
      </c>
    </row>
    <row r="2936">
      <c r="A2936" s="71" t="n">
        <v>42726</v>
      </c>
      <c r="B2936" s="72" t="n">
        <v>0.75</v>
      </c>
      <c r="C2936" s="71" t="n">
        <v>42726</v>
      </c>
      <c r="D2936" s="72" t="n">
        <v>0.5</v>
      </c>
    </row>
    <row r="2937">
      <c r="A2937" s="71" t="n">
        <v>42727</v>
      </c>
      <c r="B2937" s="72" t="n">
        <v>0.75</v>
      </c>
      <c r="C2937" s="71" t="n">
        <v>42727</v>
      </c>
      <c r="D2937" s="72" t="n">
        <v>0.5</v>
      </c>
    </row>
    <row r="2938">
      <c r="A2938" s="71" t="n">
        <v>42728</v>
      </c>
      <c r="B2938" s="72" t="n">
        <v>0.75</v>
      </c>
      <c r="C2938" s="71" t="n">
        <v>42728</v>
      </c>
      <c r="D2938" s="72" t="n">
        <v>0.5</v>
      </c>
    </row>
    <row r="2939">
      <c r="A2939" s="71" t="n">
        <v>42729</v>
      </c>
      <c r="B2939" s="72" t="n">
        <v>0.75</v>
      </c>
      <c r="C2939" s="71" t="n">
        <v>42729</v>
      </c>
      <c r="D2939" s="72" t="n">
        <v>0.5</v>
      </c>
    </row>
    <row r="2940">
      <c r="A2940" s="71" t="n">
        <v>42730</v>
      </c>
      <c r="B2940" s="72" t="n">
        <v>0.75</v>
      </c>
      <c r="C2940" s="71" t="n">
        <v>42730</v>
      </c>
      <c r="D2940" s="72" t="n">
        <v>0.5</v>
      </c>
    </row>
    <row r="2941">
      <c r="A2941" s="71" t="n">
        <v>42731</v>
      </c>
      <c r="B2941" s="72" t="n">
        <v>0.75</v>
      </c>
      <c r="C2941" s="71" t="n">
        <v>42731</v>
      </c>
      <c r="D2941" s="72" t="n">
        <v>0.5</v>
      </c>
    </row>
    <row r="2942">
      <c r="A2942" s="71" t="n">
        <v>42732</v>
      </c>
      <c r="B2942" s="72" t="n">
        <v>0.75</v>
      </c>
      <c r="C2942" s="71" t="n">
        <v>42732</v>
      </c>
      <c r="D2942" s="72" t="n">
        <v>0.5</v>
      </c>
    </row>
    <row r="2943">
      <c r="A2943" s="71" t="n">
        <v>42733</v>
      </c>
      <c r="B2943" s="72" t="n">
        <v>0.75</v>
      </c>
      <c r="C2943" s="71" t="n">
        <v>42733</v>
      </c>
      <c r="D2943" s="72" t="n">
        <v>0.5</v>
      </c>
    </row>
    <row r="2944">
      <c r="A2944" s="71" t="n">
        <v>42734</v>
      </c>
      <c r="B2944" s="72" t="n">
        <v>0.75</v>
      </c>
      <c r="C2944" s="71" t="n">
        <v>42734</v>
      </c>
      <c r="D2944" s="72" t="n">
        <v>0.5</v>
      </c>
    </row>
    <row r="2945">
      <c r="A2945" s="71" t="n">
        <v>42735</v>
      </c>
      <c r="B2945" s="72" t="n">
        <v>0.75</v>
      </c>
      <c r="C2945" s="71" t="n">
        <v>42735</v>
      </c>
      <c r="D2945" s="72" t="n">
        <v>0.5</v>
      </c>
    </row>
    <row r="2946">
      <c r="A2946" s="71" t="n">
        <v>42736</v>
      </c>
      <c r="B2946" s="72" t="n">
        <v>0.75</v>
      </c>
      <c r="C2946" s="71" t="n">
        <v>42736</v>
      </c>
      <c r="D2946" s="72" t="n">
        <v>0.5</v>
      </c>
    </row>
    <row r="2947">
      <c r="A2947" s="71" t="n">
        <v>42737</v>
      </c>
      <c r="B2947" s="72" t="n">
        <v>0.75</v>
      </c>
      <c r="C2947" s="71" t="n">
        <v>42737</v>
      </c>
      <c r="D2947" s="72" t="n">
        <v>0.5</v>
      </c>
    </row>
    <row r="2948">
      <c r="A2948" s="71" t="n">
        <v>42738</v>
      </c>
      <c r="B2948" s="72" t="n">
        <v>0.75</v>
      </c>
      <c r="C2948" s="71" t="n">
        <v>42738</v>
      </c>
      <c r="D2948" s="72" t="n">
        <v>0.5</v>
      </c>
    </row>
    <row r="2949">
      <c r="A2949" s="71" t="n">
        <v>42739</v>
      </c>
      <c r="B2949" s="72" t="n">
        <v>0.75</v>
      </c>
      <c r="C2949" s="71" t="n">
        <v>42739</v>
      </c>
      <c r="D2949" s="72" t="n">
        <v>0.5</v>
      </c>
    </row>
    <row r="2950">
      <c r="A2950" s="71" t="n">
        <v>42740</v>
      </c>
      <c r="B2950" s="72" t="n">
        <v>0.75</v>
      </c>
      <c r="C2950" s="71" t="n">
        <v>42740</v>
      </c>
      <c r="D2950" s="72" t="n">
        <v>0.5</v>
      </c>
    </row>
    <row r="2951">
      <c r="A2951" s="71" t="n">
        <v>42741</v>
      </c>
      <c r="B2951" s="72" t="n">
        <v>0.75</v>
      </c>
      <c r="C2951" s="71" t="n">
        <v>42741</v>
      </c>
      <c r="D2951" s="72" t="n">
        <v>0.5</v>
      </c>
    </row>
    <row r="2952">
      <c r="A2952" s="71" t="n">
        <v>42742</v>
      </c>
      <c r="B2952" s="72" t="n">
        <v>0.75</v>
      </c>
      <c r="C2952" s="71" t="n">
        <v>42742</v>
      </c>
      <c r="D2952" s="72" t="n">
        <v>0.5</v>
      </c>
    </row>
    <row r="2953">
      <c r="A2953" s="71" t="n">
        <v>42743</v>
      </c>
      <c r="B2953" s="72" t="n">
        <v>0.75</v>
      </c>
      <c r="C2953" s="71" t="n">
        <v>42743</v>
      </c>
      <c r="D2953" s="72" t="n">
        <v>0.5</v>
      </c>
    </row>
    <row r="2954">
      <c r="A2954" s="71" t="n">
        <v>42744</v>
      </c>
      <c r="B2954" s="72" t="n">
        <v>0.75</v>
      </c>
      <c r="C2954" s="71" t="n">
        <v>42744</v>
      </c>
      <c r="D2954" s="72" t="n">
        <v>0.5</v>
      </c>
    </row>
    <row r="2955">
      <c r="A2955" s="71" t="n">
        <v>42745</v>
      </c>
      <c r="B2955" s="72" t="n">
        <v>0.75</v>
      </c>
      <c r="C2955" s="71" t="n">
        <v>42745</v>
      </c>
      <c r="D2955" s="72" t="n">
        <v>0.5</v>
      </c>
    </row>
    <row r="2956">
      <c r="A2956" s="71" t="n">
        <v>42746</v>
      </c>
      <c r="B2956" s="72" t="n">
        <v>0.75</v>
      </c>
      <c r="C2956" s="71" t="n">
        <v>42746</v>
      </c>
      <c r="D2956" s="72" t="n">
        <v>0.5</v>
      </c>
    </row>
    <row r="2957">
      <c r="A2957" s="71" t="n">
        <v>42747</v>
      </c>
      <c r="B2957" s="72" t="n">
        <v>0.75</v>
      </c>
      <c r="C2957" s="71" t="n">
        <v>42747</v>
      </c>
      <c r="D2957" s="72" t="n">
        <v>0.5</v>
      </c>
    </row>
    <row r="2958">
      <c r="A2958" s="71" t="n">
        <v>42748</v>
      </c>
      <c r="B2958" s="72" t="n">
        <v>0.75</v>
      </c>
      <c r="C2958" s="71" t="n">
        <v>42748</v>
      </c>
      <c r="D2958" s="72" t="n">
        <v>0.5</v>
      </c>
    </row>
    <row r="2959">
      <c r="A2959" s="71" t="n">
        <v>42749</v>
      </c>
      <c r="B2959" s="72" t="n">
        <v>0.75</v>
      </c>
      <c r="C2959" s="71" t="n">
        <v>42749</v>
      </c>
      <c r="D2959" s="72" t="n">
        <v>0.5</v>
      </c>
    </row>
    <row r="2960">
      <c r="A2960" s="71" t="n">
        <v>42750</v>
      </c>
      <c r="B2960" s="72" t="n">
        <v>0.75</v>
      </c>
      <c r="C2960" s="71" t="n">
        <v>42750</v>
      </c>
      <c r="D2960" s="72" t="n">
        <v>0.5</v>
      </c>
    </row>
    <row r="2961">
      <c r="A2961" s="71" t="n">
        <v>42751</v>
      </c>
      <c r="B2961" s="72" t="n">
        <v>0.75</v>
      </c>
      <c r="C2961" s="71" t="n">
        <v>42751</v>
      </c>
      <c r="D2961" s="72" t="n">
        <v>0.5</v>
      </c>
    </row>
    <row r="2962">
      <c r="A2962" s="71" t="n">
        <v>42752</v>
      </c>
      <c r="B2962" s="72" t="n">
        <v>0.75</v>
      </c>
      <c r="C2962" s="71" t="n">
        <v>42752</v>
      </c>
      <c r="D2962" s="72" t="n">
        <v>0.5</v>
      </c>
    </row>
    <row r="2963">
      <c r="A2963" s="71" t="n">
        <v>42753</v>
      </c>
      <c r="B2963" s="72" t="n">
        <v>0.75</v>
      </c>
      <c r="C2963" s="71" t="n">
        <v>42753</v>
      </c>
      <c r="D2963" s="72" t="n">
        <v>0.5</v>
      </c>
    </row>
    <row r="2964">
      <c r="A2964" s="71" t="n">
        <v>42754</v>
      </c>
      <c r="B2964" s="72" t="n">
        <v>0.75</v>
      </c>
      <c r="C2964" s="71" t="n">
        <v>42754</v>
      </c>
      <c r="D2964" s="72" t="n">
        <v>0.5</v>
      </c>
    </row>
    <row r="2965">
      <c r="A2965" s="71" t="n">
        <v>42755</v>
      </c>
      <c r="B2965" s="72" t="n">
        <v>0.75</v>
      </c>
      <c r="C2965" s="71" t="n">
        <v>42755</v>
      </c>
      <c r="D2965" s="72" t="n">
        <v>0.5</v>
      </c>
    </row>
    <row r="2966">
      <c r="A2966" s="71" t="n">
        <v>42756</v>
      </c>
      <c r="B2966" s="72" t="n">
        <v>0.75</v>
      </c>
      <c r="C2966" s="71" t="n">
        <v>42756</v>
      </c>
      <c r="D2966" s="72" t="n">
        <v>0.5</v>
      </c>
    </row>
    <row r="2967">
      <c r="A2967" s="71" t="n">
        <v>42757</v>
      </c>
      <c r="B2967" s="72" t="n">
        <v>0.75</v>
      </c>
      <c r="C2967" s="71" t="n">
        <v>42757</v>
      </c>
      <c r="D2967" s="72" t="n">
        <v>0.5</v>
      </c>
    </row>
    <row r="2968">
      <c r="A2968" s="71" t="n">
        <v>42758</v>
      </c>
      <c r="B2968" s="72" t="n">
        <v>0.75</v>
      </c>
      <c r="C2968" s="71" t="n">
        <v>42758</v>
      </c>
      <c r="D2968" s="72" t="n">
        <v>0.5</v>
      </c>
    </row>
    <row r="2969">
      <c r="A2969" s="71" t="n">
        <v>42759</v>
      </c>
      <c r="B2969" s="72" t="n">
        <v>0.75</v>
      </c>
      <c r="C2969" s="71" t="n">
        <v>42759</v>
      </c>
      <c r="D2969" s="72" t="n">
        <v>0.5</v>
      </c>
    </row>
    <row r="2970">
      <c r="A2970" s="71" t="n">
        <v>42760</v>
      </c>
      <c r="B2970" s="72" t="n">
        <v>0.75</v>
      </c>
      <c r="C2970" s="71" t="n">
        <v>42760</v>
      </c>
      <c r="D2970" s="72" t="n">
        <v>0.5</v>
      </c>
    </row>
    <row r="2971">
      <c r="A2971" s="71" t="n">
        <v>42761</v>
      </c>
      <c r="B2971" s="72" t="n">
        <v>0.75</v>
      </c>
      <c r="C2971" s="71" t="n">
        <v>42761</v>
      </c>
      <c r="D2971" s="72" t="n">
        <v>0.5</v>
      </c>
    </row>
    <row r="2972">
      <c r="A2972" s="71" t="n">
        <v>42762</v>
      </c>
      <c r="B2972" s="72" t="n">
        <v>0.75</v>
      </c>
      <c r="C2972" s="71" t="n">
        <v>42762</v>
      </c>
      <c r="D2972" s="72" t="n">
        <v>0.5</v>
      </c>
    </row>
    <row r="2973">
      <c r="A2973" s="71" t="n">
        <v>42763</v>
      </c>
      <c r="B2973" s="72" t="n">
        <v>0.75</v>
      </c>
      <c r="C2973" s="71" t="n">
        <v>42763</v>
      </c>
      <c r="D2973" s="72" t="n">
        <v>0.5</v>
      </c>
    </row>
    <row r="2974">
      <c r="A2974" s="71" t="n">
        <v>42764</v>
      </c>
      <c r="B2974" s="72" t="n">
        <v>0.75</v>
      </c>
      <c r="C2974" s="71" t="n">
        <v>42764</v>
      </c>
      <c r="D2974" s="72" t="n">
        <v>0.5</v>
      </c>
    </row>
    <row r="2975">
      <c r="A2975" s="71" t="n">
        <v>42765</v>
      </c>
      <c r="B2975" s="72" t="n">
        <v>0.75</v>
      </c>
      <c r="C2975" s="71" t="n">
        <v>42765</v>
      </c>
      <c r="D2975" s="72" t="n">
        <v>0.5</v>
      </c>
    </row>
    <row r="2976">
      <c r="A2976" s="71" t="n">
        <v>42766</v>
      </c>
      <c r="B2976" s="72" t="n">
        <v>0.75</v>
      </c>
      <c r="C2976" s="71" t="n">
        <v>42766</v>
      </c>
      <c r="D2976" s="72" t="n">
        <v>0.5</v>
      </c>
    </row>
    <row r="2977">
      <c r="A2977" s="71" t="n">
        <v>42767</v>
      </c>
      <c r="B2977" s="72" t="n">
        <v>0.75</v>
      </c>
      <c r="C2977" s="71" t="n">
        <v>42767</v>
      </c>
      <c r="D2977" s="72" t="n">
        <v>0.5</v>
      </c>
    </row>
    <row r="2978">
      <c r="A2978" s="71" t="n">
        <v>42768</v>
      </c>
      <c r="B2978" s="72" t="n">
        <v>0.75</v>
      </c>
      <c r="C2978" s="71" t="n">
        <v>42768</v>
      </c>
      <c r="D2978" s="72" t="n">
        <v>0.5</v>
      </c>
    </row>
    <row r="2979">
      <c r="A2979" s="71" t="n">
        <v>42769</v>
      </c>
      <c r="B2979" s="72" t="n">
        <v>0.75</v>
      </c>
      <c r="C2979" s="71" t="n">
        <v>42769</v>
      </c>
      <c r="D2979" s="72" t="n">
        <v>0.5</v>
      </c>
    </row>
    <row r="2980">
      <c r="A2980" s="71" t="n">
        <v>42770</v>
      </c>
      <c r="B2980" s="72" t="n">
        <v>0.75</v>
      </c>
      <c r="C2980" s="71" t="n">
        <v>42770</v>
      </c>
      <c r="D2980" s="72" t="n">
        <v>0.5</v>
      </c>
    </row>
    <row r="2981">
      <c r="A2981" s="71" t="n">
        <v>42771</v>
      </c>
      <c r="B2981" s="72" t="n">
        <v>0.75</v>
      </c>
      <c r="C2981" s="71" t="n">
        <v>42771</v>
      </c>
      <c r="D2981" s="72" t="n">
        <v>0.5</v>
      </c>
    </row>
    <row r="2982">
      <c r="A2982" s="71" t="n">
        <v>42772</v>
      </c>
      <c r="B2982" s="72" t="n">
        <v>0.75</v>
      </c>
      <c r="C2982" s="71" t="n">
        <v>42772</v>
      </c>
      <c r="D2982" s="72" t="n">
        <v>0.5</v>
      </c>
    </row>
    <row r="2983">
      <c r="A2983" s="71" t="n">
        <v>42773</v>
      </c>
      <c r="B2983" s="72" t="n">
        <v>0.75</v>
      </c>
      <c r="C2983" s="71" t="n">
        <v>42773</v>
      </c>
      <c r="D2983" s="72" t="n">
        <v>0.5</v>
      </c>
    </row>
    <row r="2984">
      <c r="A2984" s="71" t="n">
        <v>42774</v>
      </c>
      <c r="B2984" s="72" t="n">
        <v>0.75</v>
      </c>
      <c r="C2984" s="71" t="n">
        <v>42774</v>
      </c>
      <c r="D2984" s="72" t="n">
        <v>0.5</v>
      </c>
    </row>
    <row r="2985">
      <c r="A2985" s="71" t="n">
        <v>42775</v>
      </c>
      <c r="B2985" s="72" t="n">
        <v>0.75</v>
      </c>
      <c r="C2985" s="71" t="n">
        <v>42775</v>
      </c>
      <c r="D2985" s="72" t="n">
        <v>0.5</v>
      </c>
    </row>
    <row r="2986">
      <c r="A2986" s="71" t="n">
        <v>42776</v>
      </c>
      <c r="B2986" s="72" t="n">
        <v>0.75</v>
      </c>
      <c r="C2986" s="71" t="n">
        <v>42776</v>
      </c>
      <c r="D2986" s="72" t="n">
        <v>0.5</v>
      </c>
    </row>
    <row r="2987">
      <c r="A2987" s="71" t="n">
        <v>42777</v>
      </c>
      <c r="B2987" s="72" t="n">
        <v>0.75</v>
      </c>
      <c r="C2987" s="71" t="n">
        <v>42777</v>
      </c>
      <c r="D2987" s="72" t="n">
        <v>0.5</v>
      </c>
    </row>
    <row r="2988">
      <c r="A2988" s="71" t="n">
        <v>42778</v>
      </c>
      <c r="B2988" s="72" t="n">
        <v>0.75</v>
      </c>
      <c r="C2988" s="71" t="n">
        <v>42778</v>
      </c>
      <c r="D2988" s="72" t="n">
        <v>0.5</v>
      </c>
    </row>
    <row r="2989">
      <c r="A2989" s="71" t="n">
        <v>42779</v>
      </c>
      <c r="B2989" s="72" t="n">
        <v>0.75</v>
      </c>
      <c r="C2989" s="71" t="n">
        <v>42779</v>
      </c>
      <c r="D2989" s="72" t="n">
        <v>0.5</v>
      </c>
    </row>
    <row r="2990">
      <c r="A2990" s="71" t="n">
        <v>42780</v>
      </c>
      <c r="B2990" s="72" t="n">
        <v>0.75</v>
      </c>
      <c r="C2990" s="71" t="n">
        <v>42780</v>
      </c>
      <c r="D2990" s="72"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2022-04-02T12:38:17Z</dcterms:modified>
  <cp:lastModifiedBy>Mark Mukherjee</cp:lastModifiedBy>
</cp:coreProperties>
</file>