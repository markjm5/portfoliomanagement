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CPI'!$D$450:$D$680</f>
              <numCache>
                <formatCode>0.00%</formatCode>
                <ptCount val="23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CPI'!$A$450:$A$680</f>
              <numCache>
                <formatCode>[$-409]mmm\-yy;@</formatCode>
                <ptCount val="23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CPI'!$F$450:$F$680</f>
              <numCache>
                <formatCode>0%</formatCode>
                <ptCount val="23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CPI!$A$5:$A$1041</f>
              <numCache>
                <formatCode>[$-409]mmm\-yy;@</formatCode>
                <ptCount val="103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numCache>
            </numRef>
          </cat>
          <val>
            <numRef>
              <f>CPI!$D$5:$D$1041</f>
              <numCache>
                <formatCode>0.00%</formatCode>
                <ptCount val="103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CPI!$A$17:$A$922</f>
              <numCache>
                <formatCode>[$-409]mmm\-yy;@</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CPI!$D$17:$D$922</f>
              <numCache>
                <formatCode>0.00%</formatCode>
                <ptCount val="90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CPI!$A$641:$A$922</f>
              <numCache>
                <formatCode>[$-409]mmm\-yy;@</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CPI!$D$641:$D$922</f>
              <numCache>
                <formatCode>0.00%</formatCode>
                <ptCount val="28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CPI!$A$809:$A$922</f>
              <numCache>
                <formatCode>[$-409]mmm\-yy;@</formatCode>
                <ptCount val="11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CPI!$D$809:$D$922</f>
              <numCache>
                <formatCode>0.00%</formatCode>
                <ptCount val="11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CPI!$A$293:$A$933</f>
              <numCache>
                <formatCode>[$-409]mmm\-yy;@</formatCode>
                <ptCount val="64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CPI!$D$293:$D$933</f>
              <numCache>
                <formatCode>0.00%</formatCode>
                <ptCount val="64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CPI!$A$293:$A$915</f>
              <numCache>
                <formatCode>[$-409]mmm\-yy;@</formatCode>
                <ptCount val="62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CPI!$E$293:$E$915</f>
              <numCache>
                <formatCode>0.00</formatCode>
                <ptCount val="6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Food'!$D$17:$D$912</f>
              <numCache>
                <formatCode>0.00%</formatCode>
                <ptCount val="89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Food'!$D$401:$D$912</f>
              <numCache>
                <formatCode>0.00%</formatCode>
                <ptCount val="51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Food'!$D$569:$D$912</f>
              <numCache>
                <formatCode>0.00%</formatCode>
                <ptCount val="34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'CPI Energy'!$D$17:$D$912</f>
              <numCache>
                <formatCode>0.00%</formatCode>
                <ptCount val="89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'CPI Energy'!$D$401:$D$912</f>
              <numCache>
                <formatCode>0.00%</formatCode>
                <ptCount val="51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'CPI Energy'!$D$569:$D$912</f>
              <numCache>
                <formatCode>0.00%</formatCode>
                <ptCount val="34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CPI'!$D$53:$D$676</f>
              <numCache>
                <formatCode>0.00%</formatCode>
                <ptCount val="62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numCache>
            </numRef>
          </cat>
          <val>
            <numRef>
              <f>'Core CPI'!$E$53:$E$676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CPI'!$D$450:$D$676</f>
              <numCache>
                <formatCode>0.00%</formatCode>
                <ptCount val="22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CPI'!$A$450:$A$676</f>
              <numCache>
                <formatCode>[$-409]mmm\-yy;@</formatCode>
                <ptCount val="22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numCache>
            </numRef>
          </cat>
          <val>
            <numRef>
              <f>'Core CPI'!$F$450:$F$676</f>
              <numCache>
                <formatCode>0%</formatCode>
                <ptCount val="22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CPI'!$A$17:$A$912</f>
              <numCache>
                <formatCode>[$-409]mmm\-yy;@</formatCode>
                <ptCount val="89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numCache>
            </numRef>
          </cat>
          <val>
            <numRef>
              <f>'Core CPI'!$D$17:$D$912</f>
              <numCache>
                <formatCode>0.00%</formatCode>
                <ptCount val="89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CPI'!$A$401:$A$912</f>
              <numCache>
                <formatCode>[$-409]mmm\-yy;@</formatCode>
                <ptCount val="51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'Core CPI'!$D$401:$D$912</f>
              <numCache>
                <formatCode>0.00%</formatCode>
                <ptCount val="51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CPI'!$A$569:$A$912</f>
              <numCache>
                <formatCode>[$-409]mmm\-yy;@</formatCode>
                <ptCount val="34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numCache>
            </numRef>
          </cat>
          <val>
            <numRef>
              <f>'Core CPI'!$D$569:$D$912</f>
              <numCache>
                <formatCode>0.00%</formatCode>
                <ptCount val="34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CPI'!$A$449:$A$686</f>
              <numCache>
                <formatCode>[$-409]mmm\-yy;@</formatCode>
                <ptCount val="23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numCache>
            </numRef>
          </cat>
          <val>
            <numRef>
              <f>'Core CPI'!$C$449:$C$686</f>
              <numCache>
                <formatCode>0.00%</formatCode>
                <ptCount val="23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177371</rowOff>
    </from>
    <to>
      <col>22</col>
      <colOff>35090</colOff>
      <row>654</row>
      <rowOff>76517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4" headerRowCount="1" totalsRowShown="0" headerRowDxfId="35" dataDxfId="33" headerRowBorderDxfId="34">
  <autoFilter ref="A4:F914"/>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4" headerRowCount="1" totalsRowShown="0" headerRowDxfId="26" dataDxfId="24" headerRowBorderDxfId="25" tableBorderDxfId="23">
  <autoFilter ref="A4:D674"/>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4" headerRowCount="1" totalsRowShown="0" headerRowDxfId="18" dataDxfId="16" headerRowBorderDxfId="17" tableBorderDxfId="15">
  <autoFilter ref="A4:D674"/>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4" headerRowCount="1" totalsRowShown="0" headerRowDxfId="10" dataDxfId="8" headerRowBorderDxfId="9">
  <autoFilter ref="A4:F674"/>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8" defaultColWidth="9.1796875" defaultRowHeight="14.5"/>
  <cols>
    <col width="9.1796875" customWidth="1" style="77" min="1" max="1"/>
    <col width="12.81640625" customWidth="1" style="77" min="2" max="10"/>
    <col width="5.6328125" customWidth="1" style="77" min="11" max="13"/>
    <col width="19" customWidth="1" style="77" min="14" max="14"/>
    <col width="9.1796875" customWidth="1" style="77" min="15" max="15"/>
    <col width="12.36328125" customWidth="1" style="77" min="16" max="19"/>
    <col width="9.1796875" customWidth="1" style="77" min="20" max="31"/>
    <col width="9.1796875" customWidth="1" style="77" min="32"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44774</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1"/>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style="60" min="1" max="1"/>
    <col width="10.6328125" customWidth="1" style="60" min="2" max="5"/>
    <col width="12.6328125" customWidth="1" style="60" min="257" max="257"/>
    <col width="10.6328125" customWidth="1" style="60" min="258" max="261"/>
    <col width="12.6328125" customWidth="1" style="60" min="513" max="513"/>
    <col width="10.6328125" customWidth="1" style="60" min="514" max="517"/>
    <col width="12.6328125" customWidth="1" style="60" min="769" max="769"/>
    <col width="10.6328125" customWidth="1" style="60" min="770" max="773"/>
    <col width="12.6328125" customWidth="1" style="60" min="1025" max="1025"/>
    <col width="10.6328125" customWidth="1" style="60" min="1026" max="1029"/>
    <col width="12.6328125" customWidth="1" style="60" min="1281" max="1281"/>
    <col width="10.6328125" customWidth="1" style="60" min="1282" max="1285"/>
    <col width="12.6328125" customWidth="1" style="60" min="1537" max="1537"/>
    <col width="10.6328125" customWidth="1" style="60" min="1538" max="1541"/>
    <col width="12.6328125" customWidth="1" style="60" min="1793" max="1793"/>
    <col width="10.6328125" customWidth="1" style="60" min="1794" max="1797"/>
    <col width="12.6328125" customWidth="1" style="60" min="2049" max="2049"/>
    <col width="10.6328125" customWidth="1" style="60" min="2050" max="2053"/>
    <col width="12.6328125" customWidth="1" style="60" min="2305" max="2305"/>
    <col width="10.6328125" customWidth="1" style="60" min="2306" max="2309"/>
    <col width="12.6328125" customWidth="1" style="60" min="2561" max="2561"/>
    <col width="10.6328125" customWidth="1" style="60" min="2562" max="2565"/>
    <col width="12.6328125" customWidth="1" style="60" min="2817" max="2817"/>
    <col width="10.6328125" customWidth="1" style="60" min="2818" max="2821"/>
    <col width="12.6328125" customWidth="1" style="60" min="3073" max="3073"/>
    <col width="10.6328125" customWidth="1" style="60" min="3074" max="3077"/>
    <col width="12.6328125" customWidth="1" style="60" min="3329" max="3329"/>
    <col width="10.6328125" customWidth="1" style="60" min="3330" max="3333"/>
    <col width="12.6328125" customWidth="1" style="60" min="3585" max="3585"/>
    <col width="10.6328125" customWidth="1" style="60" min="3586" max="3589"/>
    <col width="12.6328125" customWidth="1" style="60" min="3841" max="3841"/>
    <col width="10.6328125" customWidth="1" style="60" min="3842" max="3845"/>
    <col width="12.6328125" customWidth="1" style="60" min="4097" max="4097"/>
    <col width="10.6328125" customWidth="1" style="60" min="4098" max="4101"/>
    <col width="12.6328125" customWidth="1" style="60" min="4353" max="4353"/>
    <col width="10.6328125" customWidth="1" style="60" min="4354" max="4357"/>
    <col width="12.6328125" customWidth="1" style="60" min="4609" max="4609"/>
    <col width="10.6328125" customWidth="1" style="60" min="4610" max="4613"/>
    <col width="12.6328125" customWidth="1" style="60" min="4865" max="4865"/>
    <col width="10.6328125" customWidth="1" style="60" min="4866" max="4869"/>
    <col width="12.6328125" customWidth="1" style="60" min="5121" max="5121"/>
    <col width="10.6328125" customWidth="1" style="60" min="5122" max="5125"/>
    <col width="12.6328125" customWidth="1" style="60" min="5377" max="5377"/>
    <col width="10.6328125" customWidth="1" style="60" min="5378" max="5381"/>
    <col width="12.6328125" customWidth="1" style="60" min="5633" max="5633"/>
    <col width="10.6328125" customWidth="1" style="60" min="5634" max="5637"/>
    <col width="12.6328125" customWidth="1" style="60" min="5889" max="5889"/>
    <col width="10.6328125" customWidth="1" style="60" min="5890" max="5893"/>
    <col width="12.6328125" customWidth="1" style="60" min="6145" max="6145"/>
    <col width="10.6328125" customWidth="1" style="60" min="6146" max="6149"/>
    <col width="12.6328125" customWidth="1" style="60" min="6401" max="6401"/>
    <col width="10.6328125" customWidth="1" style="60" min="6402" max="6405"/>
    <col width="12.6328125" customWidth="1" style="60" min="6657" max="6657"/>
    <col width="10.6328125" customWidth="1" style="60" min="6658" max="6661"/>
    <col width="12.6328125" customWidth="1" style="60" min="6913" max="6913"/>
    <col width="10.6328125" customWidth="1" style="60" min="6914" max="6917"/>
    <col width="12.6328125" customWidth="1" style="60" min="7169" max="7169"/>
    <col width="10.6328125" customWidth="1" style="60" min="7170" max="7173"/>
    <col width="12.6328125" customWidth="1" style="60" min="7425" max="7425"/>
    <col width="10.6328125" customWidth="1" style="60" min="7426" max="7429"/>
    <col width="12.6328125" customWidth="1" style="60" min="7681" max="7681"/>
    <col width="10.6328125" customWidth="1" style="60" min="7682" max="7685"/>
    <col width="12.6328125" customWidth="1" style="60" min="7937" max="7937"/>
    <col width="10.6328125" customWidth="1" style="60" min="7938" max="7941"/>
    <col width="12.6328125" customWidth="1" style="60" min="8193" max="8193"/>
    <col width="10.6328125" customWidth="1" style="60" min="8194" max="8197"/>
    <col width="12.6328125" customWidth="1" style="60" min="8449" max="8449"/>
    <col width="10.6328125" customWidth="1" style="60" min="8450" max="8453"/>
    <col width="12.6328125" customWidth="1" style="60" min="8705" max="8705"/>
    <col width="10.6328125" customWidth="1" style="60" min="8706" max="8709"/>
    <col width="12.6328125" customWidth="1" style="60" min="8961" max="8961"/>
    <col width="10.6328125" customWidth="1" style="60" min="8962" max="8965"/>
    <col width="12.6328125" customWidth="1" style="60" min="9217" max="9217"/>
    <col width="10.6328125" customWidth="1" style="60" min="9218" max="9221"/>
    <col width="12.6328125" customWidth="1" style="60" min="9473" max="9473"/>
    <col width="10.6328125" customWidth="1" style="60" min="9474" max="9477"/>
    <col width="12.6328125" customWidth="1" style="60" min="9729" max="9729"/>
    <col width="10.6328125" customWidth="1" style="60" min="9730" max="9733"/>
    <col width="12.6328125" customWidth="1" style="60" min="9985" max="9985"/>
    <col width="10.6328125" customWidth="1" style="60" min="9986" max="9989"/>
    <col width="12.6328125" customWidth="1" style="60" min="10241" max="10241"/>
    <col width="10.6328125" customWidth="1" style="60" min="10242" max="10245"/>
    <col width="12.6328125" customWidth="1" style="60" min="10497" max="10497"/>
    <col width="10.6328125" customWidth="1" style="60" min="10498" max="10501"/>
    <col width="12.6328125" customWidth="1" style="60" min="10753" max="10753"/>
    <col width="10.6328125" customWidth="1" style="60" min="10754" max="10757"/>
    <col width="12.6328125" customWidth="1" style="60" min="11009" max="11009"/>
    <col width="10.6328125" customWidth="1" style="60" min="11010" max="11013"/>
    <col width="12.6328125" customWidth="1" style="60" min="11265" max="11265"/>
    <col width="10.6328125" customWidth="1" style="60" min="11266" max="11269"/>
    <col width="12.6328125" customWidth="1" style="60" min="11521" max="11521"/>
    <col width="10.6328125" customWidth="1" style="60" min="11522" max="11525"/>
    <col width="12.6328125" customWidth="1" style="60" min="11777" max="11777"/>
    <col width="10.6328125" customWidth="1" style="60" min="11778" max="11781"/>
    <col width="12.6328125" customWidth="1" style="60" min="12033" max="12033"/>
    <col width="10.6328125" customWidth="1" style="60" min="12034" max="12037"/>
    <col width="12.6328125" customWidth="1" style="60" min="12289" max="12289"/>
    <col width="10.6328125" customWidth="1" style="60" min="12290" max="12293"/>
    <col width="12.6328125" customWidth="1" style="60" min="12545" max="12545"/>
    <col width="10.6328125" customWidth="1" style="60" min="12546" max="12549"/>
    <col width="12.6328125" customWidth="1" style="60" min="12801" max="12801"/>
    <col width="10.6328125" customWidth="1" style="60" min="12802" max="12805"/>
    <col width="12.6328125" customWidth="1" style="60" min="13057" max="13057"/>
    <col width="10.6328125" customWidth="1" style="60" min="13058" max="13061"/>
    <col width="12.6328125" customWidth="1" style="60" min="13313" max="13313"/>
    <col width="10.6328125" customWidth="1" style="60" min="13314" max="13317"/>
    <col width="12.6328125" customWidth="1" style="60" min="13569" max="13569"/>
    <col width="10.6328125" customWidth="1" style="60" min="13570" max="13573"/>
    <col width="12.6328125" customWidth="1" style="60" min="13825" max="13825"/>
    <col width="10.6328125" customWidth="1" style="60" min="13826" max="13829"/>
    <col width="12.6328125" customWidth="1" style="60" min="14081" max="14081"/>
    <col width="10.6328125" customWidth="1" style="60" min="14082" max="14085"/>
    <col width="12.6328125" customWidth="1" style="60" min="14337" max="14337"/>
    <col width="10.6328125" customWidth="1" style="60" min="14338" max="14341"/>
    <col width="12.6328125" customWidth="1" style="60" min="14593" max="14593"/>
    <col width="10.6328125" customWidth="1" style="60" min="14594" max="14597"/>
    <col width="12.6328125" customWidth="1" style="60" min="14849" max="14849"/>
    <col width="10.6328125" customWidth="1" style="60" min="14850" max="14853"/>
    <col width="12.6328125" customWidth="1" style="60" min="15105" max="15105"/>
    <col width="10.6328125" customWidth="1" style="60" min="15106" max="15109"/>
    <col width="12.6328125" customWidth="1" style="60" min="15361" max="15361"/>
    <col width="10.6328125" customWidth="1" style="60" min="15362" max="15365"/>
    <col width="12.6328125" customWidth="1" style="60" min="15617" max="15617"/>
    <col width="10.6328125" customWidth="1" style="60" min="15618" max="15621"/>
    <col width="12.6328125" customWidth="1" style="60" min="15873" max="15873"/>
    <col width="10.6328125" customWidth="1" style="60" min="15874" max="15877"/>
    <col width="12.6328125" customWidth="1" style="60" min="16129" max="16129"/>
    <col width="10.63281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243.618</v>
      </c>
      <c r="C842" t="n">
        <v>205.369</v>
      </c>
      <c r="D842" t="n">
        <v>247.9</v>
      </c>
      <c r="E842" t="n">
        <v>250.467</v>
      </c>
    </row>
    <row r="843">
      <c r="A843" s="96" t="n">
        <v>42767</v>
      </c>
      <c r="B843" t="n">
        <v>244.006</v>
      </c>
      <c r="C843" t="n">
        <v>204.133</v>
      </c>
      <c r="D843" t="n">
        <v>248.513</v>
      </c>
      <c r="E843" t="n">
        <v>250.998</v>
      </c>
    </row>
    <row r="844">
      <c r="A844" s="96" t="n">
        <v>42795</v>
      </c>
      <c r="B844" t="n">
        <v>243.892</v>
      </c>
      <c r="C844" t="n">
        <v>202.528</v>
      </c>
      <c r="D844" t="n">
        <v>249.02</v>
      </c>
      <c r="E844" t="n">
        <v>250.944</v>
      </c>
    </row>
    <row r="845">
      <c r="A845" s="96" t="n">
        <v>42826</v>
      </c>
      <c r="B845" t="n">
        <v>244.193</v>
      </c>
      <c r="C845" t="n">
        <v>202.954</v>
      </c>
      <c r="D845" t="n">
        <v>249.381</v>
      </c>
      <c r="E845" t="n">
        <v>251.227</v>
      </c>
    </row>
    <row r="846">
      <c r="A846" s="96" t="n">
        <v>42856</v>
      </c>
      <c r="B846" t="n">
        <v>244.004</v>
      </c>
      <c r="C846" t="n">
        <v>198.449</v>
      </c>
      <c r="D846" t="n">
        <v>249.711</v>
      </c>
      <c r="E846" t="n">
        <v>251.43</v>
      </c>
    </row>
    <row r="847">
      <c r="A847" s="96" t="n">
        <v>42887</v>
      </c>
      <c r="B847" t="n">
        <v>244.163</v>
      </c>
      <c r="C847" t="n">
        <v>197.808</v>
      </c>
      <c r="D847" t="n">
        <v>249.519</v>
      </c>
      <c r="E847" t="n">
        <v>251.746</v>
      </c>
    </row>
    <row r="848">
      <c r="A848" s="96" t="n">
        <v>42917</v>
      </c>
      <c r="B848" t="n">
        <v>244.243</v>
      </c>
      <c r="C848" t="n">
        <v>195.994</v>
      </c>
      <c r="D848" t="n">
        <v>249.937</v>
      </c>
      <c r="E848" t="n">
        <v>251.985</v>
      </c>
    </row>
    <row r="849">
      <c r="A849" s="96" t="n">
        <v>42948</v>
      </c>
      <c r="B849" t="n">
        <v>245.183</v>
      </c>
      <c r="C849" t="n">
        <v>201.45</v>
      </c>
      <c r="D849" t="n">
        <v>250.21</v>
      </c>
      <c r="E849" t="n">
        <v>252.535</v>
      </c>
    </row>
    <row r="850">
      <c r="A850" s="96" t="n">
        <v>42979</v>
      </c>
      <c r="B850" t="n">
        <v>246.435</v>
      </c>
      <c r="C850" t="n">
        <v>212.723</v>
      </c>
      <c r="D850" t="n">
        <v>250.587</v>
      </c>
      <c r="E850" t="n">
        <v>252.812</v>
      </c>
    </row>
    <row r="851">
      <c r="A851" s="96" t="n">
        <v>43009</v>
      </c>
      <c r="B851" t="n">
        <v>246.626</v>
      </c>
      <c r="C851" t="n">
        <v>208.328</v>
      </c>
      <c r="D851" t="n">
        <v>250.816</v>
      </c>
      <c r="E851" t="n">
        <v>253.526</v>
      </c>
    </row>
    <row r="852">
      <c r="A852" s="96" t="n">
        <v>43040</v>
      </c>
      <c r="B852" t="n">
        <v>247.284</v>
      </c>
      <c r="C852" t="n">
        <v>213.047</v>
      </c>
      <c r="D852" t="n">
        <v>250.996</v>
      </c>
      <c r="E852" t="n">
        <v>253.816</v>
      </c>
    </row>
    <row r="853">
      <c r="A853" s="96" t="n">
        <v>43070</v>
      </c>
      <c r="B853" t="n">
        <v>247.805</v>
      </c>
      <c r="C853" t="n">
        <v>213.574</v>
      </c>
      <c r="D853" t="n">
        <v>251.49</v>
      </c>
      <c r="E853" t="n">
        <v>254.344</v>
      </c>
    </row>
    <row r="854">
      <c r="A854" s="96" t="n">
        <v>43101</v>
      </c>
      <c r="B854" t="n">
        <v>248.743</v>
      </c>
      <c r="C854" t="n">
        <v>216.872</v>
      </c>
      <c r="D854" t="n">
        <v>251.999</v>
      </c>
      <c r="E854" t="n">
        <v>255.072</v>
      </c>
    </row>
    <row r="855">
      <c r="A855" s="96" t="n">
        <v>43132</v>
      </c>
      <c r="B855" t="n">
        <v>249.439</v>
      </c>
      <c r="C855" t="n">
        <v>220.381</v>
      </c>
      <c r="D855" t="n">
        <v>252.029</v>
      </c>
      <c r="E855" t="n">
        <v>255.568</v>
      </c>
    </row>
    <row r="856">
      <c r="A856" s="96" t="n">
        <v>43160</v>
      </c>
      <c r="B856" t="n">
        <v>249.581</v>
      </c>
      <c r="C856" t="n">
        <v>216.925</v>
      </c>
      <c r="D856" t="n">
        <v>252.198</v>
      </c>
      <c r="E856" t="n">
        <v>256.128</v>
      </c>
    </row>
    <row r="857">
      <c r="A857" s="96" t="n">
        <v>43191</v>
      </c>
      <c r="B857" t="n">
        <v>250.146</v>
      </c>
      <c r="C857" t="n">
        <v>218.268</v>
      </c>
      <c r="D857" t="n">
        <v>252.802</v>
      </c>
      <c r="E857" t="n">
        <v>256.603</v>
      </c>
    </row>
    <row r="858">
      <c r="A858" s="96" t="n">
        <v>43221</v>
      </c>
      <c r="B858" t="n">
        <v>250.779</v>
      </c>
      <c r="C858" t="n">
        <v>220.632</v>
      </c>
      <c r="D858" t="n">
        <v>252.776</v>
      </c>
      <c r="E858" t="n">
        <v>257.151</v>
      </c>
    </row>
    <row r="859">
      <c r="A859" s="96" t="n">
        <v>43252</v>
      </c>
      <c r="B859" t="n">
        <v>251.118</v>
      </c>
      <c r="C859" t="n">
        <v>221.473</v>
      </c>
      <c r="D859" t="n">
        <v>253.078</v>
      </c>
      <c r="E859" t="n">
        <v>257.449</v>
      </c>
    </row>
    <row r="860">
      <c r="A860" s="96" t="n">
        <v>43282</v>
      </c>
      <c r="B860" t="n">
        <v>251.323</v>
      </c>
      <c r="C860" t="n">
        <v>219.758</v>
      </c>
      <c r="D860" t="n">
        <v>253.444</v>
      </c>
      <c r="E860" t="n">
        <v>257.848</v>
      </c>
    </row>
    <row r="861">
      <c r="A861" s="96" t="n">
        <v>43313</v>
      </c>
      <c r="B861" t="n">
        <v>251.749</v>
      </c>
      <c r="C861" t="n">
        <v>222.435</v>
      </c>
      <c r="D861" t="n">
        <v>253.76</v>
      </c>
      <c r="E861" t="n">
        <v>258.028</v>
      </c>
    </row>
    <row r="862">
      <c r="A862" s="96" t="n">
        <v>43344</v>
      </c>
      <c r="B862" t="n">
        <v>252.239</v>
      </c>
      <c r="C862" t="n">
        <v>223.444</v>
      </c>
      <c r="D862" t="n">
        <v>254.084</v>
      </c>
      <c r="E862" t="n">
        <v>258.505</v>
      </c>
    </row>
    <row r="863">
      <c r="A863" s="96" t="n">
        <v>43374</v>
      </c>
      <c r="B863" t="n">
        <v>252.862</v>
      </c>
      <c r="C863" t="n">
        <v>226.462</v>
      </c>
      <c r="D863" t="n">
        <v>253.924</v>
      </c>
      <c r="E863" t="n">
        <v>258.997</v>
      </c>
    </row>
    <row r="864">
      <c r="A864" s="96" t="n">
        <v>43405</v>
      </c>
      <c r="B864" t="n">
        <v>252.657</v>
      </c>
      <c r="C864" t="n">
        <v>219.267</v>
      </c>
      <c r="D864" t="n">
        <v>254.606</v>
      </c>
      <c r="E864" t="n">
        <v>259.455</v>
      </c>
    </row>
    <row r="865">
      <c r="A865" s="96" t="n">
        <v>43435</v>
      </c>
      <c r="B865" t="n">
        <v>252.551</v>
      </c>
      <c r="C865" t="n">
        <v>212.633</v>
      </c>
      <c r="D865" t="n">
        <v>255.475</v>
      </c>
      <c r="E865" t="n">
        <v>259.934</v>
      </c>
    </row>
    <row r="866">
      <c r="A866" s="96" t="n">
        <v>43466</v>
      </c>
      <c r="B866" t="n">
        <v>252.47</v>
      </c>
      <c r="C866" t="n">
        <v>205.54</v>
      </c>
      <c r="D866" t="n">
        <v>256.146</v>
      </c>
      <c r="E866" t="n">
        <v>260.534</v>
      </c>
    </row>
    <row r="867">
      <c r="A867" s="96" t="n">
        <v>43497</v>
      </c>
      <c r="B867" t="n">
        <v>253.135</v>
      </c>
      <c r="C867" t="n">
        <v>208.699</v>
      </c>
      <c r="D867" t="n">
        <v>256.978</v>
      </c>
      <c r="E867" t="n">
        <v>260.885</v>
      </c>
    </row>
    <row r="868">
      <c r="A868" s="96" t="n">
        <v>43525</v>
      </c>
      <c r="B868" t="n">
        <v>254.273</v>
      </c>
      <c r="C868" t="n">
        <v>216.376</v>
      </c>
      <c r="D868" t="n">
        <v>257.435</v>
      </c>
      <c r="E868" t="n">
        <v>261.382</v>
      </c>
    </row>
    <row r="869">
      <c r="A869" s="96" t="n">
        <v>43556</v>
      </c>
      <c r="B869" t="n">
        <v>255.163</v>
      </c>
      <c r="C869" t="n">
        <v>221.758</v>
      </c>
      <c r="D869" t="n">
        <v>257.161</v>
      </c>
      <c r="E869" t="n">
        <v>261.958</v>
      </c>
    </row>
    <row r="870">
      <c r="A870" s="96" t="n">
        <v>43586</v>
      </c>
      <c r="B870" t="n">
        <v>255.325</v>
      </c>
      <c r="C870" t="n">
        <v>219.68</v>
      </c>
      <c r="D870" t="n">
        <v>257.701</v>
      </c>
      <c r="E870" t="n">
        <v>262.321</v>
      </c>
    </row>
    <row r="871">
      <c r="A871" s="96" t="n">
        <v>43617</v>
      </c>
      <c r="B871" t="n">
        <v>255.361</v>
      </c>
      <c r="C871" t="n">
        <v>214.666</v>
      </c>
      <c r="D871" t="n">
        <v>257.766</v>
      </c>
      <c r="E871" t="n">
        <v>262.945</v>
      </c>
    </row>
    <row r="872">
      <c r="A872" s="96" t="n">
        <v>43647</v>
      </c>
      <c r="B872" t="n">
        <v>255.9</v>
      </c>
      <c r="C872" t="n">
        <v>215.85</v>
      </c>
      <c r="D872" t="n">
        <v>257.928</v>
      </c>
      <c r="E872" t="n">
        <v>263.491</v>
      </c>
    </row>
    <row r="873">
      <c r="A873" s="96" t="n">
        <v>43678</v>
      </c>
      <c r="B873" t="n">
        <v>256.179</v>
      </c>
      <c r="C873" t="n">
        <v>213.169</v>
      </c>
      <c r="D873" t="n">
        <v>258.098</v>
      </c>
      <c r="E873" t="n">
        <v>264.135</v>
      </c>
    </row>
    <row r="874">
      <c r="A874" s="96" t="n">
        <v>43709</v>
      </c>
      <c r="B874" t="n">
        <v>256.596</v>
      </c>
      <c r="C874" t="n">
        <v>213.122</v>
      </c>
      <c r="D874" t="n">
        <v>258.59</v>
      </c>
      <c r="E874" t="n">
        <v>264.588</v>
      </c>
    </row>
    <row r="875">
      <c r="A875" s="96" t="n">
        <v>43739</v>
      </c>
      <c r="B875" t="n">
        <v>257.305</v>
      </c>
      <c r="C875" t="n">
        <v>216.62</v>
      </c>
      <c r="D875" t="n">
        <v>259.025</v>
      </c>
      <c r="E875" t="n">
        <v>265.019</v>
      </c>
    </row>
    <row r="876">
      <c r="A876" s="96" t="n">
        <v>43770</v>
      </c>
      <c r="B876" t="n">
        <v>257.788</v>
      </c>
      <c r="C876" t="n">
        <v>217.435</v>
      </c>
      <c r="D876" t="n">
        <v>259.485</v>
      </c>
      <c r="E876" t="n">
        <v>265.461</v>
      </c>
    </row>
    <row r="877">
      <c r="A877" s="96" t="n">
        <v>43800</v>
      </c>
      <c r="B877" t="n">
        <v>258.263</v>
      </c>
      <c r="C877" t="n">
        <v>219.786</v>
      </c>
      <c r="D877" t="n">
        <v>259.845</v>
      </c>
      <c r="E877" t="n">
        <v>265.742</v>
      </c>
    </row>
    <row r="878">
      <c r="A878" s="96" t="n">
        <v>43831</v>
      </c>
      <c r="B878" t="n">
        <v>258.682</v>
      </c>
      <c r="C878" t="n">
        <v>217.803</v>
      </c>
      <c r="D878" t="n">
        <v>260.671</v>
      </c>
      <c r="E878" t="n">
        <v>266.418</v>
      </c>
    </row>
    <row r="879">
      <c r="A879" s="96" t="n">
        <v>43862</v>
      </c>
      <c r="B879" t="n">
        <v>259.007</v>
      </c>
      <c r="C879" t="n">
        <v>214.119</v>
      </c>
      <c r="D879" t="n">
        <v>261.492</v>
      </c>
      <c r="E879" t="n">
        <v>267.083</v>
      </c>
    </row>
    <row r="880">
      <c r="A880" s="96" t="n">
        <v>43891</v>
      </c>
      <c r="B880" t="n">
        <v>258.165</v>
      </c>
      <c r="C880" t="n">
        <v>203.912</v>
      </c>
      <c r="D880" t="n">
        <v>262.323</v>
      </c>
      <c r="E880" t="n">
        <v>266.916</v>
      </c>
    </row>
    <row r="881">
      <c r="A881" s="96" t="n">
        <v>43922</v>
      </c>
      <c r="B881" t="n">
        <v>256.094</v>
      </c>
      <c r="C881" t="n">
        <v>182.889</v>
      </c>
      <c r="D881" t="n">
        <v>265.882</v>
      </c>
      <c r="E881" t="n">
        <v>265.771</v>
      </c>
    </row>
    <row r="882">
      <c r="A882" s="96" t="n">
        <v>43952</v>
      </c>
      <c r="B882" t="n">
        <v>255.944</v>
      </c>
      <c r="C882" t="n">
        <v>179.542</v>
      </c>
      <c r="D882" t="n">
        <v>267.693</v>
      </c>
      <c r="E882" t="n">
        <v>265.606</v>
      </c>
    </row>
    <row r="883">
      <c r="A883" s="96" t="n">
        <v>43983</v>
      </c>
      <c r="B883" t="n">
        <v>257.217</v>
      </c>
      <c r="C883" t="n">
        <v>188.437</v>
      </c>
      <c r="D883" t="n">
        <v>268.95</v>
      </c>
      <c r="E883" t="n">
        <v>266.088</v>
      </c>
    </row>
    <row r="884">
      <c r="A884" s="96" t="n">
        <v>44013</v>
      </c>
      <c r="B884" t="n">
        <v>258.543</v>
      </c>
      <c r="C884" t="n">
        <v>192.556</v>
      </c>
      <c r="D884" t="n">
        <v>267.977</v>
      </c>
      <c r="E884" t="n">
        <v>267.552</v>
      </c>
    </row>
    <row r="885">
      <c r="A885" s="96" t="n">
        <v>44044</v>
      </c>
      <c r="B885" t="n">
        <v>259.58</v>
      </c>
      <c r="C885" t="n">
        <v>194.285</v>
      </c>
      <c r="D885" t="n">
        <v>268.289</v>
      </c>
      <c r="E885" t="n">
        <v>268.662</v>
      </c>
    </row>
    <row r="886">
      <c r="A886" s="96" t="n">
        <v>44075</v>
      </c>
      <c r="B886" t="n">
        <v>260.19</v>
      </c>
      <c r="C886" t="n">
        <v>196.875</v>
      </c>
      <c r="D886" t="n">
        <v>268.428</v>
      </c>
      <c r="E886" t="n">
        <v>269.152</v>
      </c>
    </row>
    <row r="887">
      <c r="A887" s="96" t="n">
        <v>44105</v>
      </c>
      <c r="B887" t="n">
        <v>260.352</v>
      </c>
      <c r="C887" t="n">
        <v>196.435</v>
      </c>
      <c r="D887" t="n">
        <v>268.904</v>
      </c>
      <c r="E887" t="n">
        <v>269.332</v>
      </c>
    </row>
    <row r="888">
      <c r="A888" s="96" t="n">
        <v>44136</v>
      </c>
      <c r="B888" t="n">
        <v>260.721</v>
      </c>
      <c r="C888" t="n">
        <v>196.359</v>
      </c>
      <c r="D888" t="n">
        <v>268.999</v>
      </c>
      <c r="E888" t="n">
        <v>269.816</v>
      </c>
    </row>
    <row r="889">
      <c r="A889" s="96" t="n">
        <v>44166</v>
      </c>
      <c r="B889" t="n">
        <v>261.564</v>
      </c>
      <c r="C889" t="n">
        <v>203.649</v>
      </c>
      <c r="D889" t="n">
        <v>269.82</v>
      </c>
      <c r="E889" t="n">
        <v>269.984</v>
      </c>
    </row>
    <row r="890">
      <c r="A890" s="96" t="n">
        <v>44197</v>
      </c>
      <c r="B890" t="n">
        <v>262.2</v>
      </c>
      <c r="C890" t="n">
        <v>209.328</v>
      </c>
      <c r="D890" t="n">
        <v>270.347</v>
      </c>
      <c r="E890" t="n">
        <v>270.114</v>
      </c>
    </row>
    <row r="891">
      <c r="A891" s="96" t="n">
        <v>44228</v>
      </c>
      <c r="B891" t="n">
        <v>263.346</v>
      </c>
      <c r="C891" t="n">
        <v>218.944</v>
      </c>
      <c r="D891" t="n">
        <v>270.705</v>
      </c>
      <c r="E891" t="n">
        <v>270.522</v>
      </c>
    </row>
    <row r="892">
      <c r="A892" s="96" t="n">
        <v>44256</v>
      </c>
      <c r="B892" t="n">
        <v>265.028</v>
      </c>
      <c r="C892" t="n">
        <v>231.127</v>
      </c>
      <c r="D892" t="n">
        <v>271.16</v>
      </c>
      <c r="E892" t="n">
        <v>271.347</v>
      </c>
    </row>
    <row r="893">
      <c r="A893" s="96" t="n">
        <v>44287</v>
      </c>
      <c r="B893" t="n">
        <v>266.727</v>
      </c>
      <c r="C893" t="n">
        <v>228.374</v>
      </c>
      <c r="D893" t="n">
        <v>272.101</v>
      </c>
      <c r="E893" t="n">
        <v>273.669</v>
      </c>
    </row>
    <row r="894">
      <c r="A894" s="96" t="n">
        <v>44317</v>
      </c>
      <c r="B894" t="n">
        <v>268.599</v>
      </c>
      <c r="C894" t="n">
        <v>229.874</v>
      </c>
      <c r="D894" t="n">
        <v>273.338</v>
      </c>
      <c r="E894" t="n">
        <v>275.715</v>
      </c>
    </row>
    <row r="895">
      <c r="A895" s="96" t="n">
        <v>44348</v>
      </c>
      <c r="B895" t="n">
        <v>270.955</v>
      </c>
      <c r="C895" t="n">
        <v>234.625</v>
      </c>
      <c r="D895" t="n">
        <v>275.251</v>
      </c>
      <c r="E895" t="n">
        <v>277.922</v>
      </c>
    </row>
    <row r="896">
      <c r="A896" s="96" t="n">
        <v>44378</v>
      </c>
      <c r="B896" t="n">
        <v>272.184</v>
      </c>
      <c r="C896" t="n">
        <v>238.447</v>
      </c>
      <c r="D896" t="n">
        <v>276.992</v>
      </c>
      <c r="E896" t="n">
        <v>278.794</v>
      </c>
    </row>
    <row r="897">
      <c r="A897" s="96" t="n">
        <v>44409</v>
      </c>
      <c r="B897" t="n">
        <v>273.092</v>
      </c>
      <c r="C897" t="n">
        <v>242.958</v>
      </c>
      <c r="D897" t="n">
        <v>278.062</v>
      </c>
      <c r="E897" t="n">
        <v>279.306</v>
      </c>
    </row>
    <row r="898">
      <c r="A898" s="96" t="n">
        <v>44440</v>
      </c>
      <c r="B898" t="n">
        <v>274.214</v>
      </c>
      <c r="C898" t="n">
        <v>245.847</v>
      </c>
      <c r="D898" t="n">
        <v>280.413</v>
      </c>
      <c r="E898" t="n">
        <v>280.017</v>
      </c>
    </row>
    <row r="899">
      <c r="A899" s="96" t="n">
        <v>44470</v>
      </c>
      <c r="B899" t="n">
        <v>276.59</v>
      </c>
      <c r="C899" t="n">
        <v>255.01</v>
      </c>
      <c r="D899" t="n">
        <v>282.661</v>
      </c>
      <c r="E899" t="n">
        <v>281.705</v>
      </c>
    </row>
    <row r="900">
      <c r="A900" s="96" t="n">
        <v>44501</v>
      </c>
      <c r="B900" t="n">
        <v>278.524</v>
      </c>
      <c r="C900" t="n">
        <v>261.257</v>
      </c>
      <c r="D900" t="n">
        <v>284.676</v>
      </c>
      <c r="E900" t="n">
        <v>283.179</v>
      </c>
    </row>
    <row r="901">
      <c r="A901" s="96" t="n">
        <v>44531</v>
      </c>
      <c r="B901" t="n">
        <v>280.126</v>
      </c>
      <c r="C901" t="n">
        <v>263.553</v>
      </c>
      <c r="D901" t="n">
        <v>286.018</v>
      </c>
      <c r="E901" t="n">
        <v>284.77</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row r="908">
      <c r="A908" s="96" t="n">
        <v>44743</v>
      </c>
      <c r="B908" t="n">
        <v>295.271</v>
      </c>
      <c r="C908" t="n">
        <v>316.955</v>
      </c>
      <c r="D908" t="n">
        <v>306.023</v>
      </c>
      <c r="E908" t="n">
        <v>295.275</v>
      </c>
    </row>
    <row r="909">
      <c r="A909" s="96" t="n">
        <v>44774</v>
      </c>
      <c r="B909" t="n">
        <v>295.62</v>
      </c>
      <c r="C909" t="n">
        <v>301.045</v>
      </c>
      <c r="D909" t="n">
        <v>308.369</v>
      </c>
      <c r="E909" t="n">
        <v>296.95</v>
      </c>
    </row>
    <row r="910">
      <c r="A910" s="96" t="n">
        <v>44805</v>
      </c>
      <c r="B910" t="n">
        <v>296.761</v>
      </c>
      <c r="C910" t="n">
        <v>294.705</v>
      </c>
      <c r="D910" t="n">
        <v>310.635</v>
      </c>
      <c r="E910" t="n">
        <v>298.66</v>
      </c>
    </row>
    <row r="911">
      <c r="A911" s="96" t="n">
        <v>44835</v>
      </c>
      <c r="B911" t="n">
        <v>298.062</v>
      </c>
      <c r="C911" t="n">
        <v>300.013</v>
      </c>
      <c r="D911" t="n">
        <v>312.533</v>
      </c>
      <c r="E911" t="n">
        <v>299.471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2"/>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77" min="1" max="1"/>
    <col width="20.36328125" customWidth="1" style="5" min="2" max="2"/>
    <col width="9.1796875" customWidth="1" style="77" min="3" max="4"/>
    <col width="13.36328125" customWidth="1" style="5" min="5" max="5"/>
    <col width="16.36328125" customWidth="1" style="5" min="6" max="6"/>
    <col width="9.1796875" customWidth="1" style="77" min="7" max="18"/>
    <col width="9.1796875" customWidth="1" style="77" min="19"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row r="818">
      <c r="A818" s="96" t="n">
        <v>44743</v>
      </c>
      <c r="B818" t="n">
        <v>2.5</v>
      </c>
      <c r="C818" t="n">
        <v>1.68</v>
      </c>
    </row>
    <row r="819">
      <c r="A819" s="96" t="n">
        <v>44774</v>
      </c>
      <c r="B819" t="n">
        <v>2.5</v>
      </c>
      <c r="C819" t="n">
        <v>2.33</v>
      </c>
    </row>
    <row r="820">
      <c r="A820" s="96" t="n">
        <v>44805</v>
      </c>
      <c r="B820" t="n">
        <v>3.25</v>
      </c>
      <c r="C820" t="n">
        <v>2.56</v>
      </c>
    </row>
    <row r="821">
      <c r="A821" s="96" t="n">
        <v>44835</v>
      </c>
      <c r="B821" t="n">
        <v>3.25</v>
      </c>
      <c r="C821" t="n">
        <v>3.08</v>
      </c>
    </row>
    <row r="822">
      <c r="A822" s="96" t="n">
        <v>44866</v>
      </c>
      <c r="B822" t="n">
        <v>4</v>
      </c>
      <c r="C822" t="n">
        <v>3.78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1"/>
  <sheetViews>
    <sheetView zoomScale="90" zoomScaleNormal="90" workbookViewId="0">
      <pane ySplit="4" topLeftCell="A886" activePane="bottomLeft" state="frozen"/>
      <selection pane="bottomLeft" activeCell="W888" sqref="W888"/>
    </sheetView>
  </sheetViews>
  <sheetFormatPr baseColWidth="8" defaultColWidth="8.81640625" defaultRowHeight="14.5"/>
  <cols>
    <col width="7.6328125" customWidth="1" style="1" min="1" max="1"/>
    <col width="15.81640625" customWidth="1" style="62" min="2" max="2"/>
    <col width="18.1796875" customWidth="1" style="1" min="3" max="3"/>
    <col width="16.6328125" customWidth="1" style="1" min="4" max="4"/>
    <col width="11" customWidth="1" style="4" min="5" max="5"/>
    <col width="12.6328125" customWidth="1" style="4" min="6" max="6"/>
    <col width="9.1796875" customWidth="1" style="77" min="7" max="26"/>
    <col width="7.6328125" customWidth="1" style="77" min="27" max="30"/>
    <col width="9.179687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61" t="n">
        <v>44621</v>
      </c>
      <c r="B907" s="68">
        <f>VLOOKUP(Table2[[#This Row],[Date]],Database!A:E,2,)</f>
        <v/>
      </c>
      <c r="C907" s="14">
        <f>(B907-B906)/B906</f>
        <v/>
      </c>
      <c r="D907" s="14">
        <f>(B907-B895)/B895</f>
        <v/>
      </c>
      <c r="E907" s="15">
        <f>VLOOKUP(Table2[[#This Row],[Date]],'Fed Fund New'!$A:$C,2,FALSE)</f>
        <v/>
      </c>
      <c r="F907" s="15">
        <f>VLOOKUP(Table2[[#This Row],[Date]],'Fed Fund New'!$A:$C,3,FALSE)</f>
        <v/>
      </c>
    </row>
    <row r="908" customFormat="1" s="77">
      <c r="A908" s="61" t="n">
        <v>44652</v>
      </c>
      <c r="B908" s="68">
        <f>VLOOKUP(Table2[[#This Row],[Date]],Database!A:E,2,)</f>
        <v/>
      </c>
      <c r="C908" s="14">
        <f>(B908-B907)/B907</f>
        <v/>
      </c>
      <c r="D908" s="14">
        <f>(B908-B896)/B896</f>
        <v/>
      </c>
      <c r="E908" s="15">
        <f>VLOOKUP(Table2[[#This Row],[Date]],'Fed Fund New'!$A:$C,2,FALSE)</f>
        <v/>
      </c>
      <c r="F908" s="15">
        <f>VLOOKUP(Table2[[#This Row],[Date]],'Fed Fund New'!$A:$C,3,FALSE)</f>
        <v/>
      </c>
    </row>
    <row r="909" customFormat="1" s="77">
      <c r="A909" s="61" t="n">
        <v>44682</v>
      </c>
      <c r="B909" s="68">
        <f>VLOOKUP(Table2[[#This Row],[Date]],Database!A:E,2,)</f>
        <v/>
      </c>
      <c r="C909" s="14">
        <f>(B909-B908)/B908</f>
        <v/>
      </c>
      <c r="D909" s="14">
        <f>(B909-B897)/B897</f>
        <v/>
      </c>
      <c r="E909" s="15">
        <f>VLOOKUP(Table2[[#This Row],[Date]],'Fed Fund New'!$A:$C,2,FALSE)</f>
        <v/>
      </c>
      <c r="F909" s="15">
        <f>VLOOKUP(Table2[[#This Row],[Date]],'Fed Fund New'!$A:$C,3,FALSE)</f>
        <v/>
      </c>
    </row>
    <row r="910" customFormat="1" s="77">
      <c r="A910" s="61" t="n">
        <v>44713</v>
      </c>
      <c r="B910" s="68">
        <f>VLOOKUP(Table2[[#This Row],[Date]],Database!A:E,2,)</f>
        <v/>
      </c>
      <c r="C910" s="14">
        <f>(B910-B909)/B909</f>
        <v/>
      </c>
      <c r="D910" s="14">
        <f>(B910-B898)/B898</f>
        <v/>
      </c>
      <c r="E910" s="15">
        <f>VLOOKUP(Table2[[#This Row],[Date]],'Fed Fund New'!$A:$C,2,FALSE)</f>
        <v/>
      </c>
      <c r="F910" s="15">
        <f>VLOOKUP(Table2[[#This Row],[Date]],'Fed Fund New'!$A:$C,3,FALSE)</f>
        <v/>
      </c>
    </row>
    <row r="911" customFormat="1" s="77">
      <c r="A911" s="61" t="n">
        <v>44743</v>
      </c>
      <c r="B911" s="68">
        <f>VLOOKUP(Table2[[#This Row],[Date]],Database!A:E,2,)</f>
        <v/>
      </c>
      <c r="C911" s="14">
        <f>(B911-B910)/B910</f>
        <v/>
      </c>
      <c r="D911" s="14">
        <f>(B911-B899)/B899</f>
        <v/>
      </c>
      <c r="E911" s="15">
        <f>VLOOKUP(Table2[[#This Row],[Date]],'Fed Fund New'!$A:$C,2,FALSE)</f>
        <v/>
      </c>
      <c r="F911" s="15">
        <f>VLOOKUP(Table2[[#This Row],[Date]],'Fed Fund New'!$A:$C,3,FALSE)</f>
        <v/>
      </c>
    </row>
    <row r="912" customFormat="1" s="77">
      <c r="A912" s="61" t="n">
        <v>44774</v>
      </c>
      <c r="B912" s="68">
        <f>VLOOKUP(Table2[[#This Row],[Date]],Database!A:E,2,)</f>
        <v/>
      </c>
      <c r="C912" s="14">
        <f>(B912-B911)/B911</f>
        <v/>
      </c>
      <c r="D912" s="14">
        <f>(B912-B900)/B900</f>
        <v/>
      </c>
      <c r="E912" s="15">
        <f>VLOOKUP(Table2[[#This Row],[Date]],'Fed Fund New'!$A:$C,2,FALSE)</f>
        <v/>
      </c>
      <c r="F912" s="15">
        <f>VLOOKUP(Table2[[#This Row],[Date]],'Fed Fund New'!$A:$C,3,FALSE)</f>
        <v/>
      </c>
    </row>
    <row r="913" customFormat="1" s="77">
      <c r="A913" s="61" t="n">
        <v>44805</v>
      </c>
      <c r="B913" s="68">
        <f>VLOOKUP(Table2[[#This Row],[Date]],Database!A:E,2,)</f>
        <v/>
      </c>
      <c r="C913" s="14">
        <f>(B913-B912)/B912</f>
        <v/>
      </c>
      <c r="D913" s="14">
        <f>(B913-B901)/B901</f>
        <v/>
      </c>
      <c r="E913" s="15">
        <f>VLOOKUP(Table2[[#This Row],[Date]],'Fed Fund New'!$A:$C,2,FALSE)</f>
        <v/>
      </c>
      <c r="F913" s="15">
        <f>VLOOKUP(Table2[[#This Row],[Date]],'Fed Fund New'!$A:$C,3,FALSE)</f>
        <v/>
      </c>
    </row>
    <row r="914" customFormat="1" s="77">
      <c r="A914" s="61" t="n">
        <v>44835</v>
      </c>
      <c r="B914" s="68">
        <f>VLOOKUP(Table2[[#This Row],[Date]],Database!A:E,2,)</f>
        <v/>
      </c>
      <c r="C914" s="14">
        <f>(B914-B913)/B913</f>
        <v/>
      </c>
      <c r="D914" s="14">
        <f>(B914-B902)/B902</f>
        <v/>
      </c>
      <c r="E914" s="15">
        <f>VLOOKUP(Table2[[#This Row],[Date]],'Fed Fund New'!$A:$C,2,FALSE)</f>
        <v/>
      </c>
      <c r="F914" s="15">
        <f>VLOOKUP(Table2[[#This Row],[Date]],'Fed Fund New'!$A:$C,3,FALSE)</f>
        <v/>
      </c>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row r="1784">
      <c r="A1784" s="2" t="n"/>
      <c r="B1784" s="64" t="n"/>
      <c r="C1784" s="2" t="n"/>
      <c r="D1784" s="2" t="n"/>
      <c r="E1784" s="5" t="n"/>
      <c r="F1784" s="5" t="n"/>
    </row>
    <row r="1785">
      <c r="A1785" s="2" t="n"/>
      <c r="B1785" s="64" t="n"/>
      <c r="C1785" s="2" t="n"/>
      <c r="D1785" s="2" t="n"/>
      <c r="E1785" s="5" t="n"/>
      <c r="F1785" s="5" t="n"/>
    </row>
    <row r="1786">
      <c r="A1786" s="2" t="n"/>
      <c r="B1786" s="64" t="n"/>
      <c r="C1786" s="2" t="n"/>
      <c r="D1786" s="2" t="n"/>
      <c r="E1786" s="5" t="n"/>
      <c r="F1786" s="5" t="n"/>
    </row>
    <row r="1787">
      <c r="A1787" s="2" t="n"/>
      <c r="B1787" s="64" t="n"/>
      <c r="C1787" s="2" t="n"/>
      <c r="D1787" s="2" t="n"/>
      <c r="E1787" s="5" t="n"/>
      <c r="F1787" s="5" t="n"/>
    </row>
    <row r="1788">
      <c r="A1788" s="2" t="n"/>
      <c r="B1788" s="64" t="n"/>
      <c r="C1788" s="2" t="n"/>
      <c r="D1788" s="2" t="n"/>
      <c r="E1788" s="5" t="n"/>
      <c r="F1788" s="5" t="n"/>
    </row>
    <row r="1789">
      <c r="A1789" s="2" t="n"/>
      <c r="B1789" s="64" t="n"/>
      <c r="C1789" s="2" t="n"/>
      <c r="D1789" s="2" t="n"/>
      <c r="E1789" s="5" t="n"/>
      <c r="F1789" s="5" t="n"/>
    </row>
    <row r="1790">
      <c r="A1790" s="2" t="n"/>
      <c r="B1790" s="64" t="n"/>
      <c r="C1790" s="2" t="n"/>
      <c r="D1790" s="2" t="n"/>
      <c r="E1790" s="5" t="n"/>
      <c r="F1790" s="5" t="n"/>
    </row>
    <row r="1791">
      <c r="A1791" s="2" t="n"/>
      <c r="B1791" s="64" t="n"/>
      <c r="C1791" s="2" t="n"/>
      <c r="D1791" s="2" t="n"/>
      <c r="E1791" s="5" t="n"/>
      <c r="F1791" s="5" t="n"/>
    </row>
  </sheetData>
  <conditionalFormatting sqref="D761:D914">
    <cfRule type="colorScale" priority="43">
      <colorScale>
        <cfvo type="min"/>
        <cfvo type="percentile" val="50"/>
        <cfvo type="max"/>
        <color rgb="FFF8696B"/>
        <color rgb="FFFFEB84"/>
        <color rgb="FF63BE7B"/>
      </colorScale>
    </cfRule>
  </conditionalFormatting>
  <conditionalFormatting sqref="C761:C91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6"/>
  <sheetViews>
    <sheetView zoomScale="70" zoomScaleNormal="70" workbookViewId="0">
      <pane ySplit="4" topLeftCell="A639" activePane="bottomLeft" state="frozen"/>
      <selection activeCell="N27" sqref="N27"/>
      <selection pane="bottomLeft" activeCell="E675" sqref="E675"/>
    </sheetView>
  </sheetViews>
  <sheetFormatPr baseColWidth="8" defaultColWidth="8.81640625" defaultRowHeight="14.5"/>
  <cols>
    <col width="8.6328125" customWidth="1" style="1" min="1" max="1"/>
    <col width="20.36328125" customWidth="1" style="62" min="2" max="2"/>
    <col width="18.6328125" customWidth="1" style="1" min="3" max="3"/>
    <col width="20.1796875" customWidth="1" style="1" min="4" max="4"/>
    <col width="20.6328125" customWidth="1" style="77" min="5" max="5"/>
    <col width="9.179687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61" t="n">
        <v>44621</v>
      </c>
      <c r="B667" s="68">
        <f>VLOOKUP(Table3[[#This Row],[Date]],Database!A:E,4,)</f>
        <v/>
      </c>
      <c r="C667" s="14">
        <f>(B667-B666)/B666</f>
        <v/>
      </c>
      <c r="D667" s="14">
        <f>(B667-B655)/B655</f>
        <v/>
      </c>
    </row>
    <row r="668" customFormat="1" s="77">
      <c r="A668" s="61" t="n">
        <v>44652</v>
      </c>
      <c r="B668" s="68">
        <f>VLOOKUP(Table3[[#This Row],[Date]],Database!A:E,4,)</f>
        <v/>
      </c>
      <c r="C668" s="14">
        <f>(B668-B667)/B667</f>
        <v/>
      </c>
      <c r="D668" s="14">
        <f>(B668-B656)/B656</f>
        <v/>
      </c>
    </row>
    <row r="669" customFormat="1" s="77">
      <c r="A669" s="61" t="n">
        <v>44682</v>
      </c>
      <c r="B669" s="68">
        <f>VLOOKUP(Table3[[#This Row],[Date]],Database!A:E,4,)</f>
        <v/>
      </c>
      <c r="C669" s="14">
        <f>(B669-B668)/B668</f>
        <v/>
      </c>
      <c r="D669" s="14">
        <f>(B669-B657)/B657</f>
        <v/>
      </c>
    </row>
    <row r="670" customFormat="1" s="77">
      <c r="A670" s="61" t="n">
        <v>44713</v>
      </c>
      <c r="B670" s="68">
        <f>VLOOKUP(Table3[[#This Row],[Date]],Database!A:E,4,)</f>
        <v/>
      </c>
      <c r="C670" s="14">
        <f>(B670-B669)/B669</f>
        <v/>
      </c>
      <c r="D670" s="14">
        <f>(B670-B658)/B658</f>
        <v/>
      </c>
    </row>
    <row r="671" customFormat="1" s="77">
      <c r="A671" s="61" t="n">
        <v>44743</v>
      </c>
      <c r="B671" s="68">
        <f>VLOOKUP(Table3[[#This Row],[Date]],Database!A:E,4,)</f>
        <v/>
      </c>
      <c r="C671" s="14">
        <f>(B671-B670)/B670</f>
        <v/>
      </c>
      <c r="D671" s="14">
        <f>(B671-B659)/B659</f>
        <v/>
      </c>
    </row>
    <row r="672" customFormat="1" s="77">
      <c r="A672" s="61" t="n">
        <v>44774</v>
      </c>
      <c r="B672" s="68">
        <f>VLOOKUP(Table3[[#This Row],[Date]],Database!A:E,4,)</f>
        <v/>
      </c>
      <c r="C672" s="14">
        <f>(B672-B671)/B671</f>
        <v/>
      </c>
      <c r="D672" s="14">
        <f>(B672-B660)/B660</f>
        <v/>
      </c>
    </row>
    <row r="673" customFormat="1" s="77">
      <c r="A673" s="61" t="n">
        <v>44805</v>
      </c>
      <c r="B673" s="68">
        <f>VLOOKUP(Table3[[#This Row],[Date]],Database!A:E,4,)</f>
        <v/>
      </c>
      <c r="C673" s="14">
        <f>(B673-B672)/B672</f>
        <v/>
      </c>
      <c r="D673" s="14">
        <f>(B673-B661)/B661</f>
        <v/>
      </c>
    </row>
    <row r="674" customFormat="1" s="77">
      <c r="A674" s="61" t="n">
        <v>44835</v>
      </c>
      <c r="B674" s="68">
        <f>VLOOKUP(Table3[[#This Row],[Date]],Database!A:E,4,)</f>
        <v/>
      </c>
      <c r="C674" s="14">
        <f>(B674-B673)/B673</f>
        <v/>
      </c>
      <c r="D674" s="14">
        <f>(B674-B662)/B662</f>
        <v/>
      </c>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row r="909">
      <c r="A909" s="2" t="n"/>
      <c r="B909" s="64" t="n"/>
      <c r="C909" s="2" t="n"/>
      <c r="D909" s="2" t="n"/>
    </row>
    <row r="910">
      <c r="A910" s="2" t="n"/>
      <c r="B910" s="64" t="n"/>
      <c r="C910" s="2" t="n"/>
      <c r="D910" s="2" t="n"/>
    </row>
    <row r="911">
      <c r="A911" s="2" t="n"/>
      <c r="B911" s="64" t="n"/>
      <c r="C911" s="2" t="n"/>
      <c r="D911" s="2" t="n"/>
    </row>
    <row r="912">
      <c r="A912" s="2" t="n"/>
      <c r="B912" s="64" t="n"/>
      <c r="C912" s="2" t="n"/>
      <c r="D912" s="2" t="n"/>
    </row>
    <row r="913">
      <c r="A913" s="2" t="n"/>
      <c r="B913" s="64" t="n"/>
      <c r="C913" s="2" t="n"/>
      <c r="D913" s="2" t="n"/>
    </row>
    <row r="914">
      <c r="A914" s="2" t="n"/>
      <c r="B914" s="64" t="n"/>
      <c r="C914" s="2" t="n"/>
      <c r="D914" s="2" t="n"/>
    </row>
    <row r="915">
      <c r="A915" s="2" t="n"/>
      <c r="B915" s="64" t="n"/>
      <c r="C915" s="2" t="n"/>
      <c r="D915" s="2" t="n"/>
    </row>
    <row r="916">
      <c r="A916" s="2" t="n"/>
      <c r="B916" s="64" t="n"/>
      <c r="C916" s="2" t="n"/>
      <c r="D916" s="2" t="n"/>
    </row>
  </sheetData>
  <conditionalFormatting sqref="D521:D674">
    <cfRule type="colorScale" priority="35">
      <colorScale>
        <cfvo type="min"/>
        <cfvo type="percentile" val="50"/>
        <cfvo type="max"/>
        <color rgb="FFF8696B"/>
        <color rgb="FFFFEB84"/>
        <color rgb="FF63BE7B"/>
      </colorScale>
    </cfRule>
  </conditionalFormatting>
  <conditionalFormatting sqref="C521:C67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7"/>
  <sheetViews>
    <sheetView zoomScale="60" zoomScaleNormal="60" workbookViewId="0">
      <pane ySplit="4" topLeftCell="A640" activePane="bottomLeft" state="frozen"/>
      <selection activeCell="N27" sqref="N27"/>
      <selection pane="bottomLeft" activeCell="Q663" sqref="Q663"/>
    </sheetView>
  </sheetViews>
  <sheetFormatPr baseColWidth="8" defaultColWidth="8.81640625" defaultRowHeight="14.5"/>
  <cols>
    <col width="8.6328125" customWidth="1" style="1" min="1" max="1"/>
    <col width="14.36328125" customWidth="1" style="62" min="2" max="2"/>
    <col width="20.1796875" customWidth="1" style="1" min="3" max="3"/>
    <col width="19.36328125" customWidth="1" style="1" min="4" max="4"/>
    <col width="9.179687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61" t="n">
        <v>44621</v>
      </c>
      <c r="B667" s="68">
        <f>VLOOKUP(Table4[[#This Row],[Date]],Database!A:E,3,)</f>
        <v/>
      </c>
      <c r="C667" s="14">
        <f>(B667-B666)/B666</f>
        <v/>
      </c>
      <c r="D667" s="14">
        <f>(B667-B655)/B655</f>
        <v/>
      </c>
    </row>
    <row r="668" customFormat="1" s="77">
      <c r="A668" s="61" t="n">
        <v>44652</v>
      </c>
      <c r="B668" s="68">
        <f>VLOOKUP(Table4[[#This Row],[Date]],Database!A:E,3,)</f>
        <v/>
      </c>
      <c r="C668" s="14">
        <f>(B668-B667)/B667</f>
        <v/>
      </c>
      <c r="D668" s="14">
        <f>(B668-B656)/B656</f>
        <v/>
      </c>
    </row>
    <row r="669" customFormat="1" s="77">
      <c r="A669" s="61" t="n">
        <v>44682</v>
      </c>
      <c r="B669" s="68">
        <f>VLOOKUP(Table4[[#This Row],[Date]],Database!A:E,3,)</f>
        <v/>
      </c>
      <c r="C669" s="14">
        <f>(B669-B668)/B668</f>
        <v/>
      </c>
      <c r="D669" s="14">
        <f>(B669-B657)/B657</f>
        <v/>
      </c>
    </row>
    <row r="670" customFormat="1" s="77">
      <c r="A670" s="61" t="n">
        <v>44713</v>
      </c>
      <c r="B670" s="68">
        <f>VLOOKUP(Table4[[#This Row],[Date]],Database!A:E,3,)</f>
        <v/>
      </c>
      <c r="C670" s="14">
        <f>(B670-B669)/B669</f>
        <v/>
      </c>
      <c r="D670" s="14">
        <f>(B670-B658)/B658</f>
        <v/>
      </c>
    </row>
    <row r="671" customFormat="1" s="77">
      <c r="A671" s="61" t="n">
        <v>44743</v>
      </c>
      <c r="B671" s="68">
        <f>VLOOKUP(Table4[[#This Row],[Date]],Database!A:E,3,)</f>
        <v/>
      </c>
      <c r="C671" s="14">
        <f>(B671-B670)/B670</f>
        <v/>
      </c>
      <c r="D671" s="14">
        <f>(B671-B659)/B659</f>
        <v/>
      </c>
    </row>
    <row r="672" customFormat="1" s="77">
      <c r="A672" s="61" t="n">
        <v>44774</v>
      </c>
      <c r="B672" s="68">
        <f>VLOOKUP(Table4[[#This Row],[Date]],Database!A:E,3,)</f>
        <v/>
      </c>
      <c r="C672" s="14">
        <f>(B672-B671)/B671</f>
        <v/>
      </c>
      <c r="D672" s="14">
        <f>(B672-B660)/B660</f>
        <v/>
      </c>
    </row>
    <row r="673" customFormat="1" s="77">
      <c r="A673" s="61" t="n">
        <v>44805</v>
      </c>
      <c r="B673" s="68">
        <f>VLOOKUP(Table4[[#This Row],[Date]],Database!A:E,3,)</f>
        <v/>
      </c>
      <c r="C673" s="14">
        <f>(B673-B672)/B672</f>
        <v/>
      </c>
      <c r="D673" s="14">
        <f>(B673-B661)/B661</f>
        <v/>
      </c>
    </row>
    <row r="674" customFormat="1" s="77">
      <c r="A674" s="61" t="n">
        <v>44835</v>
      </c>
      <c r="B674" s="68">
        <f>VLOOKUP(Table4[[#This Row],[Date]],Database!A:E,3,)</f>
        <v/>
      </c>
      <c r="C674" s="14">
        <f>(B674-B673)/B673</f>
        <v/>
      </c>
      <c r="D674" s="14">
        <f>(B674-B662)/B662</f>
        <v/>
      </c>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row r="1060">
      <c r="A1060" s="2" t="n"/>
      <c r="B1060" s="64" t="n"/>
      <c r="C1060" s="2" t="n"/>
      <c r="D1060" s="2" t="n"/>
    </row>
    <row r="1061">
      <c r="A1061" s="2" t="n"/>
      <c r="B1061" s="64" t="n"/>
      <c r="C1061" s="2" t="n"/>
      <c r="D1061" s="2" t="n"/>
    </row>
    <row r="1062">
      <c r="A1062" s="2" t="n"/>
      <c r="B1062" s="64" t="n"/>
      <c r="C1062" s="2" t="n"/>
      <c r="D1062" s="2" t="n"/>
    </row>
    <row r="1063">
      <c r="A1063" s="2" t="n"/>
      <c r="B1063" s="64" t="n"/>
      <c r="C1063" s="2" t="n"/>
      <c r="D1063" s="2" t="n"/>
    </row>
    <row r="1064">
      <c r="A1064" s="2" t="n"/>
      <c r="B1064" s="64" t="n"/>
      <c r="C1064" s="2" t="n"/>
      <c r="D1064" s="2" t="n"/>
    </row>
    <row r="1065">
      <c r="A1065" s="2" t="n"/>
      <c r="B1065" s="64" t="n"/>
      <c r="C1065" s="2" t="n"/>
      <c r="D1065" s="2" t="n"/>
    </row>
    <row r="1066">
      <c r="A1066" s="2" t="n"/>
      <c r="B1066" s="64" t="n"/>
      <c r="C1066" s="2" t="n"/>
      <c r="D1066" s="2" t="n"/>
    </row>
    <row r="1067">
      <c r="A1067" s="2" t="n"/>
      <c r="B1067" s="64" t="n"/>
      <c r="C1067" s="2" t="n"/>
      <c r="D1067" s="2" t="n"/>
    </row>
  </sheetData>
  <conditionalFormatting sqref="C545:C674">
    <cfRule type="colorScale" priority="37">
      <colorScale>
        <cfvo type="min"/>
        <cfvo type="percentile" val="50"/>
        <cfvo type="max"/>
        <color rgb="FFF8696B"/>
        <color rgb="FFFFEB84"/>
        <color rgb="FF63BE7B"/>
      </colorScale>
    </cfRule>
  </conditionalFormatting>
  <conditionalFormatting sqref="D545:D674">
    <cfRule type="colorScale" priority="38">
      <colorScale>
        <cfvo type="min"/>
        <cfvo type="percentile" val="50"/>
        <cfvo type="max"/>
        <color rgb="FFF8696B"/>
        <color rgb="FFFFEB84"/>
        <color rgb="FF63BE7B"/>
      </colorScale>
    </cfRule>
  </conditionalFormatting>
  <conditionalFormatting sqref="D521:D674">
    <cfRule type="colorScale" priority="39">
      <colorScale>
        <cfvo type="min"/>
        <cfvo type="percentile" val="50"/>
        <cfvo type="max"/>
        <color rgb="FFF8696B"/>
        <color rgb="FFFFEB84"/>
        <color rgb="FF63BE7B"/>
      </colorScale>
    </cfRule>
  </conditionalFormatting>
  <conditionalFormatting sqref="C521:C67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1"/>
  <sheetViews>
    <sheetView zoomScale="60" zoomScaleNormal="60" workbookViewId="0">
      <pane ySplit="4" topLeftCell="A648" activePane="bottomLeft" state="frozen"/>
      <selection activeCell="N27" sqref="N27"/>
      <selection pane="bottomLeft" activeCell="R680" sqref="R680"/>
    </sheetView>
  </sheetViews>
  <sheetFormatPr baseColWidth="8" defaultColWidth="8.81640625" defaultRowHeight="14.5"/>
  <cols>
    <col width="10" customWidth="1" style="1" min="1" max="1"/>
    <col width="20.1796875" customWidth="1" style="62" min="2" max="2"/>
    <col width="20.6328125" customWidth="1" style="1" min="3" max="3"/>
    <col width="17.81640625" customWidth="1" style="1" min="4" max="4"/>
    <col width="12.6328125" customWidth="1" style="12" min="5" max="5"/>
    <col width="9.1796875" customWidth="1" style="4" min="6" max="6"/>
    <col width="9.179687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61" t="n">
        <v>44621</v>
      </c>
      <c r="B667" s="68">
        <f>VLOOKUP(Table5[[#This Row],[Date]],Database!A:E,5,)</f>
        <v/>
      </c>
      <c r="C667" s="14">
        <f>(B667-B666)/B666</f>
        <v/>
      </c>
      <c r="D667" s="14">
        <f>(B667-B655)/B655</f>
        <v/>
      </c>
      <c r="E667" s="15">
        <f>VLOOKUP(Table5[[#This Row],[Date]],'Fed Fund New'!$A:$C,2,FALSE)</f>
        <v/>
      </c>
      <c r="F667" s="27" t="n">
        <v>0.02</v>
      </c>
    </row>
    <row r="668" customFormat="1" s="77">
      <c r="A668" s="61" t="n">
        <v>44652</v>
      </c>
      <c r="B668" s="68">
        <f>VLOOKUP(Table5[[#This Row],[Date]],Database!A:E,5,)</f>
        <v/>
      </c>
      <c r="C668" s="14">
        <f>(B668-B667)/B667</f>
        <v/>
      </c>
      <c r="D668" s="14">
        <f>(B668-B656)/B656</f>
        <v/>
      </c>
      <c r="E668" s="15">
        <f>VLOOKUP(Table5[[#This Row],[Date]],'Fed Fund New'!$A:$C,2,FALSE)</f>
        <v/>
      </c>
      <c r="F668" s="27" t="n">
        <v>0.02</v>
      </c>
    </row>
    <row r="669" customFormat="1" s="77">
      <c r="A669" s="61" t="n">
        <v>44682</v>
      </c>
      <c r="B669" s="68">
        <f>VLOOKUP(Table5[[#This Row],[Date]],Database!A:E,5,)</f>
        <v/>
      </c>
      <c r="C669" s="14">
        <f>(B669-B668)/B668</f>
        <v/>
      </c>
      <c r="D669" s="14">
        <f>(B669-B657)/B657</f>
        <v/>
      </c>
      <c r="E669" s="15">
        <f>VLOOKUP(Table5[[#This Row],[Date]],'Fed Fund New'!$A:$C,2,FALSE)</f>
        <v/>
      </c>
      <c r="F669" s="27" t="n">
        <v>0.02</v>
      </c>
    </row>
    <row r="670" customFormat="1" s="77">
      <c r="A670" s="61" t="n">
        <v>44713</v>
      </c>
      <c r="B670" s="68">
        <f>VLOOKUP(Table5[[#This Row],[Date]],Database!A:E,5,)</f>
        <v/>
      </c>
      <c r="C670" s="14">
        <f>(B670-B669)/B669</f>
        <v/>
      </c>
      <c r="D670" s="14">
        <f>(B670-B658)/B658</f>
        <v/>
      </c>
      <c r="E670" s="15">
        <f>VLOOKUP(Table5[[#This Row],[Date]],'Fed Fund New'!$A:$C,2,FALSE)</f>
        <v/>
      </c>
      <c r="F670" s="27" t="n">
        <v>0.02</v>
      </c>
    </row>
    <row r="671" customFormat="1" s="77">
      <c r="A671" s="61" t="n">
        <v>44743</v>
      </c>
      <c r="B671" s="68">
        <f>VLOOKUP(Table5[[#This Row],[Date]],Database!A:E,5,)</f>
        <v/>
      </c>
      <c r="C671" s="14">
        <f>(B671-B670)/B670</f>
        <v/>
      </c>
      <c r="D671" s="14">
        <f>(B671-B659)/B659</f>
        <v/>
      </c>
      <c r="E671" s="15">
        <f>VLOOKUP(Table5[[#This Row],[Date]],'Fed Fund New'!$A:$C,2,FALSE)</f>
        <v/>
      </c>
      <c r="F671" s="27" t="n">
        <v>0.02</v>
      </c>
    </row>
    <row r="672" customFormat="1" s="77">
      <c r="A672" s="61" t="n">
        <v>44774</v>
      </c>
      <c r="B672" s="68">
        <f>VLOOKUP(Table5[[#This Row],[Date]],Database!A:E,5,)</f>
        <v/>
      </c>
      <c r="C672" s="14">
        <f>(B672-B671)/B671</f>
        <v/>
      </c>
      <c r="D672" s="14">
        <f>(B672-B660)/B660</f>
        <v/>
      </c>
      <c r="E672" s="15">
        <f>VLOOKUP(Table5[[#This Row],[Date]],'Fed Fund New'!$A:$C,2,FALSE)</f>
        <v/>
      </c>
      <c r="F672" s="27" t="n">
        <v>0.02</v>
      </c>
    </row>
    <row r="673" customFormat="1" s="77">
      <c r="A673" s="61" t="n">
        <v>44805</v>
      </c>
      <c r="B673" s="68">
        <f>VLOOKUP(Table5[[#This Row],[Date]],Database!A:E,5,)</f>
        <v/>
      </c>
      <c r="C673" s="14">
        <f>(B673-B672)/B672</f>
        <v/>
      </c>
      <c r="D673" s="14">
        <f>(B673-B661)/B661</f>
        <v/>
      </c>
      <c r="E673" s="15">
        <f>VLOOKUP(Table5[[#This Row],[Date]],'Fed Fund New'!$A:$C,2,FALSE)</f>
        <v/>
      </c>
      <c r="F673" s="27" t="n">
        <v>0.02</v>
      </c>
    </row>
    <row r="674" customFormat="1" s="77">
      <c r="A674" s="61" t="n">
        <v>44835</v>
      </c>
      <c r="B674" s="68">
        <f>VLOOKUP(Table5[[#This Row],[Date]],Database!A:E,5,)</f>
        <v/>
      </c>
      <c r="C674" s="14">
        <f>(B674-B673)/B673</f>
        <v/>
      </c>
      <c r="D674" s="14">
        <f>(B674-B662)/B662</f>
        <v/>
      </c>
      <c r="E674" s="15">
        <f>VLOOKUP(Table5[[#This Row],[Date]],'Fed Fund New'!$A:$C,2,FALSE)</f>
        <v/>
      </c>
      <c r="F674" s="27" t="n">
        <v>0.02</v>
      </c>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row r="1264">
      <c r="A1264" s="2" t="n"/>
      <c r="B1264" s="64" t="n"/>
      <c r="C1264" s="2" t="n"/>
      <c r="D1264" s="2" t="n"/>
      <c r="E1264" s="11" t="n"/>
      <c r="F1264" s="5" t="n"/>
    </row>
    <row r="1265">
      <c r="A1265" s="2" t="n"/>
      <c r="B1265" s="64" t="n"/>
      <c r="C1265" s="2" t="n"/>
      <c r="D1265" s="2" t="n"/>
      <c r="E1265" s="11" t="n"/>
      <c r="F1265" s="5" t="n"/>
    </row>
    <row r="1266">
      <c r="A1266" s="2" t="n"/>
      <c r="B1266" s="64" t="n"/>
      <c r="C1266" s="2" t="n"/>
      <c r="D1266" s="2" t="n"/>
      <c r="E1266" s="11" t="n"/>
      <c r="F1266" s="5" t="n"/>
    </row>
    <row r="1267">
      <c r="A1267" s="2" t="n"/>
      <c r="B1267" s="64" t="n"/>
      <c r="C1267" s="2" t="n"/>
      <c r="D1267" s="2" t="n"/>
      <c r="E1267" s="11" t="n"/>
      <c r="F1267" s="5" t="n"/>
    </row>
    <row r="1268">
      <c r="A1268" s="2" t="n"/>
      <c r="B1268" s="64" t="n"/>
      <c r="C1268" s="2" t="n"/>
      <c r="D1268" s="2" t="n"/>
      <c r="E1268" s="11" t="n"/>
      <c r="F1268" s="5" t="n"/>
    </row>
    <row r="1269">
      <c r="A1269" s="2" t="n"/>
      <c r="B1269" s="64" t="n"/>
      <c r="C1269" s="2" t="n"/>
      <c r="D1269" s="2" t="n"/>
      <c r="E1269" s="11" t="n"/>
      <c r="F1269" s="5" t="n"/>
    </row>
    <row r="1270">
      <c r="A1270" s="2" t="n"/>
      <c r="B1270" s="64" t="n"/>
      <c r="C1270" s="2" t="n"/>
      <c r="D1270" s="2" t="n"/>
      <c r="E1270" s="11" t="n"/>
      <c r="F1270" s="5" t="n"/>
    </row>
    <row r="1271">
      <c r="A1271" s="2" t="n"/>
      <c r="B1271" s="64" t="n"/>
      <c r="C1271" s="2" t="n"/>
      <c r="D1271" s="2" t="n"/>
      <c r="E1271" s="11" t="n"/>
      <c r="F1271" s="5" t="n"/>
    </row>
  </sheetData>
  <conditionalFormatting sqref="C545:C674">
    <cfRule type="colorScale" priority="32">
      <colorScale>
        <cfvo type="min"/>
        <cfvo type="percentile" val="50"/>
        <cfvo type="max"/>
        <color rgb="FFF8696B"/>
        <color rgb="FFFFEB84"/>
        <color rgb="FF63BE7B"/>
      </colorScale>
    </cfRule>
  </conditionalFormatting>
  <conditionalFormatting sqref="D545:D674">
    <cfRule type="colorScale" priority="33">
      <colorScale>
        <cfvo type="min"/>
        <cfvo type="percentile" val="50"/>
        <cfvo type="max"/>
        <color rgb="FFF8696B"/>
        <color rgb="FFFFEB84"/>
        <color rgb="FF63BE7B"/>
      </colorScale>
    </cfRule>
  </conditionalFormatting>
  <conditionalFormatting sqref="C521:C674">
    <cfRule type="colorScale" priority="2">
      <colorScale>
        <cfvo type="min"/>
        <cfvo type="percentile" val="50"/>
        <cfvo type="max"/>
        <color rgb="FFF8696B"/>
        <color rgb="FFFFEB84"/>
        <color rgb="FF63BE7B"/>
      </colorScale>
    </cfRule>
  </conditionalFormatting>
  <conditionalFormatting sqref="D521:D67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N7" sqref="N7"/>
    </sheetView>
  </sheetViews>
  <sheetFormatPr baseColWidth="8" defaultColWidth="9.1796875" defaultRowHeight="14.5"/>
  <cols>
    <col width="9.1796875" customWidth="1" style="77" min="1" max="2"/>
    <col width="18.6328125" customWidth="1" style="77" min="3" max="3"/>
    <col width="13.6328125" customWidth="1" style="77" min="4" max="4"/>
    <col width="9.1796875" customWidth="1" style="77" min="5" max="6"/>
    <col width="15.36328125" customWidth="1" style="77" min="7" max="7"/>
    <col width="14" customWidth="1" style="77" min="8" max="8"/>
    <col width="13.36328125" customWidth="1" style="77" min="9" max="9"/>
    <col width="9.1796875" customWidth="1" style="77" min="10" max="21"/>
    <col width="9.1796875" customWidth="1" style="77" min="22"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44835</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2022-12-03T12:29:24Z</dcterms:modified>
  <cp:lastModifiedBy>Mark Mukherjee</cp:lastModifiedBy>
</cp:coreProperties>
</file>